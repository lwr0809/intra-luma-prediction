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G:\杂料\26_lwr毕业论文\科研三\2_多数据对比\"/>
    </mc:Choice>
  </mc:AlternateContent>
  <xr:revisionPtr revIDLastSave="0" documentId="13_ncr:1_{C03857E3-B69F-4BB9-A16C-87AB616F07A7}" xr6:coauthVersionLast="47" xr6:coauthVersionMax="47" xr10:uidLastSave="{00000000-0000-0000-0000-000000000000}"/>
  <bookViews>
    <workbookView xWindow="29610" yWindow="15" windowWidth="28110" windowHeight="16440" tabRatio="884" activeTab="2" xr2:uid="{00000000-000D-0000-FFFF-FFFF00000000}"/>
  </bookViews>
  <sheets>
    <sheet name="AAA_-0.01" sheetId="51" r:id="rId1"/>
    <sheet name="AAA_-0.001~-0.01" sheetId="63" r:id="rId2"/>
    <sheet name="AAA_copy" sheetId="52" r:id="rId3"/>
    <sheet name="AAA_temp" sheetId="64" r:id="rId4"/>
    <sheet name="AAA_平均_-0.01" sheetId="56" r:id="rId5"/>
    <sheet name="AAA_平均_copy" sheetId="53" r:id="rId6"/>
  </sheets>
  <functionGroups builtInGroupCount="19"/>
  <definedNames>
    <definedName name="_xlnm._FilterDatabase" localSheetId="1" hidden="1">'AAA_-0.001~-0.01'!$BD$1:$BD$187</definedName>
    <definedName name="_xlnm._FilterDatabase" localSheetId="0" hidden="1">'AAA_-0.01'!$BD$1:$BD$187</definedName>
    <definedName name="_xlnm._FilterDatabase" localSheetId="2" hidden="1">AAA_copy!$BD$1:$BD$189</definedName>
    <definedName name="Training_Loss">OFFSET(#REF!,,,COUNTIF(#REF!:#REF!,"&lt;&gt;"),1)</definedName>
    <definedName name="Training_Loss1">OFFSET(#REF!,,,COUNTIF(#REF!:#REF!,"&lt;&gt;"),1)</definedName>
    <definedName name="Training_Loss2">OFFSET(#REF!,,,COUNTIF(#REF!:#REF!,"&lt;&gt;"),1)</definedName>
    <definedName name="Training_Loss3">OFFSET(#REF!,,,COUNTIF(#REF!:#REF!,"&lt;&gt;"),1)</definedName>
    <definedName name="Validation_Loss">OFFSET(#REF!,,,COUNTIF(#REF!:#REF!,"&lt;&gt;"))</definedName>
    <definedName name="Validation_Loss1">OFFSET(#REF!,,,COUNTIF(#REF!:#REF!,"&lt;&gt;"))</definedName>
    <definedName name="Validation_Loss2">OFFSET(#REF!,,,COUNTIF(#REF!:#REF!,"&lt;&gt;"))</definedName>
    <definedName name="Validation_Loss3">OFFSET(#REF!,,,COUNTIF(#REF!:#REF!,"&lt;&gt;"))</definedName>
  </definedNames>
  <calcPr calcId="191029"/>
</workbook>
</file>

<file path=xl/calcChain.xml><?xml version="1.0" encoding="utf-8"?>
<calcChain xmlns="http://schemas.openxmlformats.org/spreadsheetml/2006/main">
  <c r="AA164" i="51" l="1"/>
  <c r="AB164" i="51"/>
  <c r="AB164" i="63"/>
  <c r="AA164" i="63"/>
  <c r="AB165" i="52"/>
  <c r="AA165" i="52"/>
  <c r="AA154" i="52"/>
  <c r="X162" i="51" l="1"/>
  <c r="Z153" i="51"/>
  <c r="X163" i="51"/>
  <c r="N162" i="51"/>
  <c r="Z162" i="51"/>
  <c r="Z162" i="52"/>
  <c r="X163" i="52"/>
  <c r="L162" i="52"/>
  <c r="L161" i="52"/>
  <c r="Z173" i="63"/>
  <c r="Z174" i="63"/>
  <c r="AA168" i="63"/>
  <c r="AA169" i="63"/>
  <c r="AA170" i="63"/>
  <c r="AA171" i="63"/>
  <c r="AA172" i="63"/>
  <c r="AA173" i="63"/>
  <c r="AA174" i="63"/>
  <c r="AA177" i="63"/>
  <c r="AA178" i="63"/>
  <c r="AA179" i="63"/>
  <c r="AA180" i="63"/>
  <c r="AA181" i="63"/>
  <c r="AA182" i="63"/>
  <c r="AA183" i="63"/>
  <c r="AA184" i="63"/>
  <c r="AA167" i="63"/>
  <c r="AB159" i="51"/>
  <c r="AA177" i="51"/>
  <c r="AA178" i="51"/>
  <c r="AA179" i="51"/>
  <c r="AA180" i="51"/>
  <c r="AA181" i="51"/>
  <c r="AA182" i="51"/>
  <c r="AA183" i="51"/>
  <c r="AA184" i="51"/>
  <c r="AA168" i="51"/>
  <c r="AA169" i="51"/>
  <c r="AA170" i="51"/>
  <c r="AA171" i="51"/>
  <c r="AA172" i="51"/>
  <c r="AA173" i="51"/>
  <c r="AA174" i="51"/>
  <c r="AA167" i="51"/>
  <c r="Z167" i="51"/>
  <c r="X167" i="51"/>
  <c r="L167" i="51"/>
  <c r="L161" i="51"/>
  <c r="L154" i="51"/>
  <c r="L153" i="51"/>
  <c r="AF189" i="52"/>
  <c r="AA178" i="52"/>
  <c r="AA179" i="52"/>
  <c r="AA180" i="52"/>
  <c r="AA181" i="52"/>
  <c r="AA182" i="52"/>
  <c r="AA183" i="52"/>
  <c r="AA184" i="52"/>
  <c r="AA177" i="52"/>
  <c r="Z177" i="52"/>
  <c r="AA168" i="52"/>
  <c r="AA169" i="52"/>
  <c r="AA170" i="52"/>
  <c r="AA171" i="52"/>
  <c r="AA172" i="52"/>
  <c r="AA173" i="52"/>
  <c r="AA174" i="52"/>
  <c r="AA167" i="52"/>
  <c r="X167" i="52"/>
  <c r="N167" i="52"/>
  <c r="L167" i="52"/>
  <c r="AB167" i="52"/>
  <c r="N168" i="52"/>
  <c r="AA161" i="52"/>
  <c r="X161" i="52"/>
  <c r="N161" i="52"/>
  <c r="AA153" i="52"/>
  <c r="L154" i="52"/>
  <c r="L155" i="52"/>
  <c r="L156" i="52"/>
  <c r="L157" i="52"/>
  <c r="L158" i="52"/>
  <c r="L159" i="52"/>
  <c r="L153" i="52"/>
  <c r="AB3" i="52"/>
  <c r="AA3" i="52"/>
  <c r="M168" i="52"/>
  <c r="AB3" i="51"/>
  <c r="AA3" i="51"/>
  <c r="Z163" i="51" l="1"/>
  <c r="AA4" i="63"/>
  <c r="AA5" i="63"/>
  <c r="AA6" i="63"/>
  <c r="AA7" i="63"/>
  <c r="AA8" i="63"/>
  <c r="AA9" i="63"/>
  <c r="AA10" i="63"/>
  <c r="AA11" i="63"/>
  <c r="AA12" i="63"/>
  <c r="AA13" i="63"/>
  <c r="AA14" i="63"/>
  <c r="AA15" i="63"/>
  <c r="AA16" i="63"/>
  <c r="AA17" i="63"/>
  <c r="AA18" i="63"/>
  <c r="AA19" i="63"/>
  <c r="AA20" i="63"/>
  <c r="AA21" i="63"/>
  <c r="AA22" i="63"/>
  <c r="AA23" i="63"/>
  <c r="AA24" i="63"/>
  <c r="AA25" i="63"/>
  <c r="AA26" i="63"/>
  <c r="AA27" i="63"/>
  <c r="AA28" i="63"/>
  <c r="AA29" i="63"/>
  <c r="AA30" i="63"/>
  <c r="AA31" i="63"/>
  <c r="AA32" i="63"/>
  <c r="AA33" i="63"/>
  <c r="AA34" i="63"/>
  <c r="AA35" i="63"/>
  <c r="AA36" i="63"/>
  <c r="AA37" i="63"/>
  <c r="AA38" i="63"/>
  <c r="AA39" i="63"/>
  <c r="AA40" i="63"/>
  <c r="AA41" i="63"/>
  <c r="AA42" i="63"/>
  <c r="AA43" i="63"/>
  <c r="AA44" i="63"/>
  <c r="AA45" i="63"/>
  <c r="AA46" i="63"/>
  <c r="AA47" i="63"/>
  <c r="AA48" i="63"/>
  <c r="AA49" i="63"/>
  <c r="AA50" i="63"/>
  <c r="AA51" i="63"/>
  <c r="AA52" i="63"/>
  <c r="AA53" i="63"/>
  <c r="AA54" i="63"/>
  <c r="AA55" i="63"/>
  <c r="AA56" i="63"/>
  <c r="AA57" i="63"/>
  <c r="AA58" i="63"/>
  <c r="AA59" i="63"/>
  <c r="AA60" i="63"/>
  <c r="AA61" i="63"/>
  <c r="AA62" i="63"/>
  <c r="AA63" i="63"/>
  <c r="AA64" i="63"/>
  <c r="AA65" i="63"/>
  <c r="AA66" i="63"/>
  <c r="AA67" i="63"/>
  <c r="AA68" i="63"/>
  <c r="AA69" i="63"/>
  <c r="AA70" i="63"/>
  <c r="AA71" i="63"/>
  <c r="AA72" i="63"/>
  <c r="AA73" i="63"/>
  <c r="AA74" i="63"/>
  <c r="AA75" i="63"/>
  <c r="AA76" i="63"/>
  <c r="AA77" i="63"/>
  <c r="AA78" i="63"/>
  <c r="AA79" i="63"/>
  <c r="AA80" i="63"/>
  <c r="AA81" i="63"/>
  <c r="AA82" i="63"/>
  <c r="AA83" i="63"/>
  <c r="AA84" i="63"/>
  <c r="AA85" i="63"/>
  <c r="AA86" i="63"/>
  <c r="AA87" i="63"/>
  <c r="AA88" i="63"/>
  <c r="AA89" i="63"/>
  <c r="AA90" i="63"/>
  <c r="AA91" i="63"/>
  <c r="AA92" i="63"/>
  <c r="AA93" i="63"/>
  <c r="AA94" i="63"/>
  <c r="AA95" i="63"/>
  <c r="AA96" i="63"/>
  <c r="AA97" i="63"/>
  <c r="AA98" i="63"/>
  <c r="AA99" i="63"/>
  <c r="AA100" i="63"/>
  <c r="AA101" i="63"/>
  <c r="AA102" i="63"/>
  <c r="AA103" i="63"/>
  <c r="AA104" i="63"/>
  <c r="AA105" i="63"/>
  <c r="AA106" i="63"/>
  <c r="AA107" i="63"/>
  <c r="AA108" i="63"/>
  <c r="AA109" i="63"/>
  <c r="AA110" i="63"/>
  <c r="AA111" i="63"/>
  <c r="AA112" i="63"/>
  <c r="AA113" i="63"/>
  <c r="AA114" i="63"/>
  <c r="AA115" i="63"/>
  <c r="AA116" i="63"/>
  <c r="AA117" i="63"/>
  <c r="AA118" i="63"/>
  <c r="AA119" i="63"/>
  <c r="AA120" i="63"/>
  <c r="AA121" i="63"/>
  <c r="AA122" i="63"/>
  <c r="AA123" i="63"/>
  <c r="AA124" i="63"/>
  <c r="AA125" i="63"/>
  <c r="AA126" i="63"/>
  <c r="AA127" i="63"/>
  <c r="AA128" i="63"/>
  <c r="AA129" i="63"/>
  <c r="AA130" i="63"/>
  <c r="AA131" i="63"/>
  <c r="AA132" i="63"/>
  <c r="AA3" i="63"/>
  <c r="AA4" i="52"/>
  <c r="AA5" i="52"/>
  <c r="AA6" i="52"/>
  <c r="AA7" i="52"/>
  <c r="AA8" i="52"/>
  <c r="AA9" i="52"/>
  <c r="AA10" i="52"/>
  <c r="AA11" i="52"/>
  <c r="AA12" i="52"/>
  <c r="AA13" i="52"/>
  <c r="AA14" i="52"/>
  <c r="AA15" i="52"/>
  <c r="AA16" i="52"/>
  <c r="AA17" i="52"/>
  <c r="AA18" i="52"/>
  <c r="AA19" i="52"/>
  <c r="AA20" i="52"/>
  <c r="AA21" i="52"/>
  <c r="AA22" i="52"/>
  <c r="AA23" i="52"/>
  <c r="AA24" i="52"/>
  <c r="AA25" i="52"/>
  <c r="AA26" i="52"/>
  <c r="AA27" i="52"/>
  <c r="AA28" i="52"/>
  <c r="AA29" i="52"/>
  <c r="AA30" i="52"/>
  <c r="AA31" i="52"/>
  <c r="AA32" i="52"/>
  <c r="AA33" i="52"/>
  <c r="AA34" i="52"/>
  <c r="AA35" i="52"/>
  <c r="AA36" i="52"/>
  <c r="AA37" i="52"/>
  <c r="AA38" i="52"/>
  <c r="AA39" i="52"/>
  <c r="AA40" i="52"/>
  <c r="AA41" i="52"/>
  <c r="AA42" i="52"/>
  <c r="AA43" i="52"/>
  <c r="AA44" i="52"/>
  <c r="AA45" i="52"/>
  <c r="AA46" i="52"/>
  <c r="AA47" i="52"/>
  <c r="AA48" i="52"/>
  <c r="AA49" i="52"/>
  <c r="AA50" i="52"/>
  <c r="AA51" i="52"/>
  <c r="AA52" i="52"/>
  <c r="AA53" i="52"/>
  <c r="AA54" i="52"/>
  <c r="AA55" i="52"/>
  <c r="AA56" i="52"/>
  <c r="AA57" i="52"/>
  <c r="AA58" i="52"/>
  <c r="AA59" i="52"/>
  <c r="AA60" i="52"/>
  <c r="AA61" i="52"/>
  <c r="AA62" i="52"/>
  <c r="AA63" i="52"/>
  <c r="AA64" i="52"/>
  <c r="AA65" i="52"/>
  <c r="AA66" i="52"/>
  <c r="AA67" i="52"/>
  <c r="AA68" i="52"/>
  <c r="AA69" i="52"/>
  <c r="AA70" i="52"/>
  <c r="AA71" i="52"/>
  <c r="AA72" i="52"/>
  <c r="AA73" i="52"/>
  <c r="AA74" i="52"/>
  <c r="AA75" i="52"/>
  <c r="AA76" i="52"/>
  <c r="AA77" i="52"/>
  <c r="AA78" i="52"/>
  <c r="AA79" i="52"/>
  <c r="AA80" i="52"/>
  <c r="AA81" i="52"/>
  <c r="AA82" i="52"/>
  <c r="AA83" i="52"/>
  <c r="AA84" i="52"/>
  <c r="AA85" i="52"/>
  <c r="AA86" i="52"/>
  <c r="AA87" i="52"/>
  <c r="AA88" i="52"/>
  <c r="AA89" i="52"/>
  <c r="AA90" i="52"/>
  <c r="AA91" i="52"/>
  <c r="AA92" i="52"/>
  <c r="AA93" i="52"/>
  <c r="AA94" i="52"/>
  <c r="AA95" i="52"/>
  <c r="AA96" i="52"/>
  <c r="AA97" i="52"/>
  <c r="AA98" i="52"/>
  <c r="AA99" i="52"/>
  <c r="AA100" i="52"/>
  <c r="AA101" i="52"/>
  <c r="AA102" i="52"/>
  <c r="AA103" i="52"/>
  <c r="AA104" i="52"/>
  <c r="AA105" i="52"/>
  <c r="AA106" i="52"/>
  <c r="AA107" i="52"/>
  <c r="AA108" i="52"/>
  <c r="AA109" i="52"/>
  <c r="AA110" i="52"/>
  <c r="AA111" i="52"/>
  <c r="AA112" i="52"/>
  <c r="AA113" i="52"/>
  <c r="AA114" i="52"/>
  <c r="AA115" i="52"/>
  <c r="AA116" i="52"/>
  <c r="AA117" i="52"/>
  <c r="AA118" i="52"/>
  <c r="AA119" i="52"/>
  <c r="AA120" i="52"/>
  <c r="AA121" i="52"/>
  <c r="AA122" i="52"/>
  <c r="AA123" i="52"/>
  <c r="AA124" i="52"/>
  <c r="AA125" i="52"/>
  <c r="AA126" i="52"/>
  <c r="AA127" i="52"/>
  <c r="AA128" i="52"/>
  <c r="AA129" i="52"/>
  <c r="AA130" i="52"/>
  <c r="AA131" i="52"/>
  <c r="AA132" i="52"/>
  <c r="AA4" i="51"/>
  <c r="AA5" i="51"/>
  <c r="AA6" i="51"/>
  <c r="AA7" i="51"/>
  <c r="AA8" i="51"/>
  <c r="AA9" i="51"/>
  <c r="AA10" i="51"/>
  <c r="AA11" i="51"/>
  <c r="AA12" i="51"/>
  <c r="AA13" i="51"/>
  <c r="AA14" i="51"/>
  <c r="AA15" i="51"/>
  <c r="AA16" i="51"/>
  <c r="AA17" i="51"/>
  <c r="AA18" i="51"/>
  <c r="AA19" i="51"/>
  <c r="AA20" i="51"/>
  <c r="AA21" i="51"/>
  <c r="AA22" i="51"/>
  <c r="AA23" i="51"/>
  <c r="AA24" i="51"/>
  <c r="AA25" i="51"/>
  <c r="AA26" i="51"/>
  <c r="AA27" i="51"/>
  <c r="AA28" i="51"/>
  <c r="AA29" i="51"/>
  <c r="AA30" i="51"/>
  <c r="AA31" i="51"/>
  <c r="AA32" i="51"/>
  <c r="AA33" i="51"/>
  <c r="AA34" i="51"/>
  <c r="AA35" i="51"/>
  <c r="AA36" i="51"/>
  <c r="AA37" i="51"/>
  <c r="AA38" i="51"/>
  <c r="AA39" i="51"/>
  <c r="AA40" i="51"/>
  <c r="AA41" i="51"/>
  <c r="AA42" i="51"/>
  <c r="AA43" i="51"/>
  <c r="AA44" i="51"/>
  <c r="AA45" i="51"/>
  <c r="AA46" i="51"/>
  <c r="AA47" i="51"/>
  <c r="AA48" i="51"/>
  <c r="AA49" i="51"/>
  <c r="AA50" i="51"/>
  <c r="AA51" i="51"/>
  <c r="AA52" i="51"/>
  <c r="AA53" i="51"/>
  <c r="AA54" i="51"/>
  <c r="AA55" i="51"/>
  <c r="AA56" i="51"/>
  <c r="AA57" i="51"/>
  <c r="AA58" i="51"/>
  <c r="AA59" i="51"/>
  <c r="AA60" i="51"/>
  <c r="AA61" i="51"/>
  <c r="AA62" i="51"/>
  <c r="AA63" i="51"/>
  <c r="AA64" i="51"/>
  <c r="AA65" i="51"/>
  <c r="AA66" i="51"/>
  <c r="AA67" i="51"/>
  <c r="AA68" i="51"/>
  <c r="AA69" i="51"/>
  <c r="AA70" i="51"/>
  <c r="AA71" i="51"/>
  <c r="AA72" i="51"/>
  <c r="AA73" i="51"/>
  <c r="AA74" i="51"/>
  <c r="AA75" i="51"/>
  <c r="AA76" i="51"/>
  <c r="AA77" i="51"/>
  <c r="AA78" i="51"/>
  <c r="AA79" i="51"/>
  <c r="AA80" i="51"/>
  <c r="AA81" i="51"/>
  <c r="AA82" i="51"/>
  <c r="AA83" i="51"/>
  <c r="AA84" i="51"/>
  <c r="AA85" i="51"/>
  <c r="AA86" i="51"/>
  <c r="AA87" i="51"/>
  <c r="AA88" i="51"/>
  <c r="AA89" i="51"/>
  <c r="AA90" i="51"/>
  <c r="AA91" i="51"/>
  <c r="AA92" i="51"/>
  <c r="AA93" i="51"/>
  <c r="AA94" i="51"/>
  <c r="AA95" i="51"/>
  <c r="AA96" i="51"/>
  <c r="AA97" i="51"/>
  <c r="AA98" i="51"/>
  <c r="AA99" i="51"/>
  <c r="AA100" i="51"/>
  <c r="AA101" i="51"/>
  <c r="AA102" i="51"/>
  <c r="AA103" i="51"/>
  <c r="AA104" i="51"/>
  <c r="AA105" i="51"/>
  <c r="AA106" i="51"/>
  <c r="AA107" i="51"/>
  <c r="AA108" i="51"/>
  <c r="AA109" i="51"/>
  <c r="AA110" i="51"/>
  <c r="AA111" i="51"/>
  <c r="AA112" i="51"/>
  <c r="AA113" i="51"/>
  <c r="AA114" i="51"/>
  <c r="AA115" i="51"/>
  <c r="AA116" i="51"/>
  <c r="AA117" i="51"/>
  <c r="AA118" i="51"/>
  <c r="AA119" i="51"/>
  <c r="AA120" i="51"/>
  <c r="AA121" i="51"/>
  <c r="AA122" i="51"/>
  <c r="AA123" i="51"/>
  <c r="AA124" i="51"/>
  <c r="AA125" i="51"/>
  <c r="AA126" i="51"/>
  <c r="AA127" i="51"/>
  <c r="AA128" i="51"/>
  <c r="AA129" i="51"/>
  <c r="AA130" i="51"/>
  <c r="AA131" i="51"/>
  <c r="AA132" i="51"/>
  <c r="BD4" i="51" l="1"/>
  <c r="BD5" i="51"/>
  <c r="BD6" i="51"/>
  <c r="BD7" i="51"/>
  <c r="BD9" i="51"/>
  <c r="BD10" i="51"/>
  <c r="BD11" i="51"/>
  <c r="BD12" i="51"/>
  <c r="BD14" i="51"/>
  <c r="BD15" i="51"/>
  <c r="BD16" i="51"/>
  <c r="BD17" i="51"/>
  <c r="BD19" i="51"/>
  <c r="BD20" i="51"/>
  <c r="BD21" i="51"/>
  <c r="BD22" i="51"/>
  <c r="BD24" i="51"/>
  <c r="BD25" i="51"/>
  <c r="BD26" i="51"/>
  <c r="BD27" i="51"/>
  <c r="BD29" i="51"/>
  <c r="BD30" i="51"/>
  <c r="BD31" i="51"/>
  <c r="BD32" i="51"/>
  <c r="BD34" i="51"/>
  <c r="BD35" i="51"/>
  <c r="BD36" i="51"/>
  <c r="BD37" i="51"/>
  <c r="BD39" i="51"/>
  <c r="BD40" i="51"/>
  <c r="BD41" i="51"/>
  <c r="BD42" i="51"/>
  <c r="BD44" i="51"/>
  <c r="BD45" i="51"/>
  <c r="BD46" i="51"/>
  <c r="BD47" i="51"/>
  <c r="BD49" i="51"/>
  <c r="BD50" i="51"/>
  <c r="BD51" i="51"/>
  <c r="BD52" i="51"/>
  <c r="BD54" i="51"/>
  <c r="BD55" i="51"/>
  <c r="BD56" i="51"/>
  <c r="BD57" i="51"/>
  <c r="BD59" i="51"/>
  <c r="BD60" i="51"/>
  <c r="BD61" i="51"/>
  <c r="BD62" i="51"/>
  <c r="BD64" i="51"/>
  <c r="BD65" i="51"/>
  <c r="BD66" i="51"/>
  <c r="BD67" i="51"/>
  <c r="BD69" i="51"/>
  <c r="BD70" i="51"/>
  <c r="BD71" i="51"/>
  <c r="BD72" i="51"/>
  <c r="BD74" i="51"/>
  <c r="BD75" i="51"/>
  <c r="BD76" i="51"/>
  <c r="BD77" i="51"/>
  <c r="BD79" i="51"/>
  <c r="BD80" i="51"/>
  <c r="BD81" i="51"/>
  <c r="BD82" i="51"/>
  <c r="BD84" i="51"/>
  <c r="BD85" i="51"/>
  <c r="BD86" i="51"/>
  <c r="BD87" i="51"/>
  <c r="BD89" i="51"/>
  <c r="BD90" i="51"/>
  <c r="BD91" i="51"/>
  <c r="BD92" i="51"/>
  <c r="BD94" i="51"/>
  <c r="BD95" i="51"/>
  <c r="BD96" i="51"/>
  <c r="BD97" i="51"/>
  <c r="BD99" i="51"/>
  <c r="BD100" i="51"/>
  <c r="BD101" i="51"/>
  <c r="BD102" i="51"/>
  <c r="BD104" i="51"/>
  <c r="BD105" i="51"/>
  <c r="BD106" i="51"/>
  <c r="BD107" i="51"/>
  <c r="BD109" i="51"/>
  <c r="BD110" i="51"/>
  <c r="BD111" i="51"/>
  <c r="BD112" i="51"/>
  <c r="BD114" i="51"/>
  <c r="BD115" i="51"/>
  <c r="BD116" i="51"/>
  <c r="BD117" i="51"/>
  <c r="BD119" i="51"/>
  <c r="BD120" i="51"/>
  <c r="BD121" i="51"/>
  <c r="BD122" i="51"/>
  <c r="BD124" i="51"/>
  <c r="BD125" i="51"/>
  <c r="BD126" i="51"/>
  <c r="BD127" i="51"/>
  <c r="BD129" i="51"/>
  <c r="BD130" i="51"/>
  <c r="BD131" i="51"/>
  <c r="BD132" i="51"/>
  <c r="BD4" i="63"/>
  <c r="BD5" i="63"/>
  <c r="BD6" i="63"/>
  <c r="BD7" i="63"/>
  <c r="BD9" i="63"/>
  <c r="BD10" i="63"/>
  <c r="BD11" i="63"/>
  <c r="BD12" i="63"/>
  <c r="BD14" i="63"/>
  <c r="BD15" i="63"/>
  <c r="BD16" i="63"/>
  <c r="BD17" i="63"/>
  <c r="BD19" i="63"/>
  <c r="BD20" i="63"/>
  <c r="BD21" i="63"/>
  <c r="BD22" i="63"/>
  <c r="BD24" i="63"/>
  <c r="BD25" i="63"/>
  <c r="BD26" i="63"/>
  <c r="BD27" i="63"/>
  <c r="BD29" i="63"/>
  <c r="BD30" i="63"/>
  <c r="BD31" i="63"/>
  <c r="BD32" i="63"/>
  <c r="BD34" i="63"/>
  <c r="BD35" i="63"/>
  <c r="BD36" i="63"/>
  <c r="BD37" i="63"/>
  <c r="BD39" i="63"/>
  <c r="BD40" i="63"/>
  <c r="BD41" i="63"/>
  <c r="BD42" i="63"/>
  <c r="BD44" i="63"/>
  <c r="BD45" i="63"/>
  <c r="BD46" i="63"/>
  <c r="BD47" i="63"/>
  <c r="BD49" i="63"/>
  <c r="BD50" i="63"/>
  <c r="BD51" i="63"/>
  <c r="BD52" i="63"/>
  <c r="BD54" i="63"/>
  <c r="BD55" i="63"/>
  <c r="BD56" i="63"/>
  <c r="BD57" i="63"/>
  <c r="BD59" i="63"/>
  <c r="BD60" i="63"/>
  <c r="BD61" i="63"/>
  <c r="BD62" i="63"/>
  <c r="BD64" i="63"/>
  <c r="BD65" i="63"/>
  <c r="BD66" i="63"/>
  <c r="BD67" i="63"/>
  <c r="BD69" i="63"/>
  <c r="BD70" i="63"/>
  <c r="BD71" i="63"/>
  <c r="BD72" i="63"/>
  <c r="BD74" i="63"/>
  <c r="BD75" i="63"/>
  <c r="BD76" i="63"/>
  <c r="BD77" i="63"/>
  <c r="BD79" i="63"/>
  <c r="BD80" i="63"/>
  <c r="BD81" i="63"/>
  <c r="BD82" i="63"/>
  <c r="BD84" i="63"/>
  <c r="BD85" i="63"/>
  <c r="BD86" i="63"/>
  <c r="BD87" i="63"/>
  <c r="BD89" i="63"/>
  <c r="BD90" i="63"/>
  <c r="BD91" i="63"/>
  <c r="BD92" i="63"/>
  <c r="BD94" i="63"/>
  <c r="BD95" i="63"/>
  <c r="BD96" i="63"/>
  <c r="BD97" i="63"/>
  <c r="BD99" i="63"/>
  <c r="BD100" i="63"/>
  <c r="BD101" i="63"/>
  <c r="BD102" i="63"/>
  <c r="BD104" i="63"/>
  <c r="BD105" i="63"/>
  <c r="BD106" i="63"/>
  <c r="BD107" i="63"/>
  <c r="BD109" i="63"/>
  <c r="BD110" i="63"/>
  <c r="BD111" i="63"/>
  <c r="BD112" i="63"/>
  <c r="BD114" i="63"/>
  <c r="BD115" i="63"/>
  <c r="BD116" i="63"/>
  <c r="BD117" i="63"/>
  <c r="BD119" i="63"/>
  <c r="BD120" i="63"/>
  <c r="BD121" i="63"/>
  <c r="BD122" i="63"/>
  <c r="BD124" i="63"/>
  <c r="BD125" i="63"/>
  <c r="BD126" i="63"/>
  <c r="BD127" i="63"/>
  <c r="BD129" i="63"/>
  <c r="BD130" i="63"/>
  <c r="BD131" i="63"/>
  <c r="BD132" i="63"/>
  <c r="BD134" i="63"/>
  <c r="BD135" i="63"/>
  <c r="BD136" i="63"/>
  <c r="BD137" i="63"/>
  <c r="BD139" i="63"/>
  <c r="BD140" i="63"/>
  <c r="BD141" i="63"/>
  <c r="BD142" i="63"/>
  <c r="BD144" i="63"/>
  <c r="BD145" i="63"/>
  <c r="BD146" i="63"/>
  <c r="BD147" i="63"/>
  <c r="BD149" i="63"/>
  <c r="BD150" i="63"/>
  <c r="BD151" i="63"/>
  <c r="BD4" i="52"/>
  <c r="BD5" i="52"/>
  <c r="BD6" i="52"/>
  <c r="BD7" i="52"/>
  <c r="BD9" i="52"/>
  <c r="BD10" i="52"/>
  <c r="BD11" i="52"/>
  <c r="BD12" i="52"/>
  <c r="BD14" i="52"/>
  <c r="BD15" i="52"/>
  <c r="BD16" i="52"/>
  <c r="BD17" i="52"/>
  <c r="BD19" i="52"/>
  <c r="BD20" i="52"/>
  <c r="BD21" i="52"/>
  <c r="BD22" i="52"/>
  <c r="BD24" i="52"/>
  <c r="BD25" i="52"/>
  <c r="BD26" i="52"/>
  <c r="BD27" i="52"/>
  <c r="BD29" i="52"/>
  <c r="BD30" i="52"/>
  <c r="BD31" i="52"/>
  <c r="BD32" i="52"/>
  <c r="BD34" i="52"/>
  <c r="BD35" i="52"/>
  <c r="BD36" i="52"/>
  <c r="BD37" i="52"/>
  <c r="BD39" i="52"/>
  <c r="BD40" i="52"/>
  <c r="BD41" i="52"/>
  <c r="BD42" i="52"/>
  <c r="BD44" i="52"/>
  <c r="BD45" i="52"/>
  <c r="BD46" i="52"/>
  <c r="BD47" i="52"/>
  <c r="BD49" i="52"/>
  <c r="BD50" i="52"/>
  <c r="BD51" i="52"/>
  <c r="BD52" i="52"/>
  <c r="BD54" i="52"/>
  <c r="BD55" i="52"/>
  <c r="BD56" i="52"/>
  <c r="BD57" i="52"/>
  <c r="BD59" i="52"/>
  <c r="BD60" i="52"/>
  <c r="BD61" i="52"/>
  <c r="BD62" i="52"/>
  <c r="BD64" i="52"/>
  <c r="BD65" i="52"/>
  <c r="BD66" i="52"/>
  <c r="BD67" i="52"/>
  <c r="BD69" i="52"/>
  <c r="BD70" i="52"/>
  <c r="BD71" i="52"/>
  <c r="BD72" i="52"/>
  <c r="BD74" i="52"/>
  <c r="BD75" i="52"/>
  <c r="BD76" i="52"/>
  <c r="BD77" i="52"/>
  <c r="BD79" i="52"/>
  <c r="BD80" i="52"/>
  <c r="BD81" i="52"/>
  <c r="BD82" i="52"/>
  <c r="BD84" i="52"/>
  <c r="BD85" i="52"/>
  <c r="BD86" i="52"/>
  <c r="BD87" i="52"/>
  <c r="BD89" i="52"/>
  <c r="BD90" i="52"/>
  <c r="BD91" i="52"/>
  <c r="BD92" i="52"/>
  <c r="BD94" i="52"/>
  <c r="BD95" i="52"/>
  <c r="BD96" i="52"/>
  <c r="BD97" i="52"/>
  <c r="BD99" i="52"/>
  <c r="BD100" i="52"/>
  <c r="BD101" i="52"/>
  <c r="BD102" i="52"/>
  <c r="BD104" i="52"/>
  <c r="BD105" i="52"/>
  <c r="BD106" i="52"/>
  <c r="BD107" i="52"/>
  <c r="BD109" i="52"/>
  <c r="BD110" i="52"/>
  <c r="BD111" i="52"/>
  <c r="BD112" i="52"/>
  <c r="BD114" i="52"/>
  <c r="BD115" i="52"/>
  <c r="BD116" i="52"/>
  <c r="BD117" i="52"/>
  <c r="BD119" i="52"/>
  <c r="BD120" i="52"/>
  <c r="BD121" i="52"/>
  <c r="BD122" i="52"/>
  <c r="BD124" i="52"/>
  <c r="BD125" i="52"/>
  <c r="BD126" i="52"/>
  <c r="BD127" i="52"/>
  <c r="BD129" i="52"/>
  <c r="BD130" i="52"/>
  <c r="BD131" i="52"/>
  <c r="BD132" i="52"/>
  <c r="BD134" i="52"/>
  <c r="BD135" i="52"/>
  <c r="BD136" i="52"/>
  <c r="BD137" i="52"/>
  <c r="BD139" i="52"/>
  <c r="BD140" i="52"/>
  <c r="BD141" i="52"/>
  <c r="BD142" i="52"/>
  <c r="BD144" i="52"/>
  <c r="BD145" i="52"/>
  <c r="BD146" i="52"/>
  <c r="BD147" i="52"/>
  <c r="BD149" i="52"/>
  <c r="BD150" i="52"/>
  <c r="BD151" i="52"/>
  <c r="AL4" i="56"/>
  <c r="Y173" i="63" l="1"/>
  <c r="L169" i="63"/>
  <c r="M159" i="63"/>
  <c r="L155" i="63"/>
  <c r="AX152" i="63"/>
  <c r="AC152" i="63"/>
  <c r="Y152" i="63"/>
  <c r="X152" i="63"/>
  <c r="W152" i="63"/>
  <c r="Z152" i="63" s="1"/>
  <c r="V152" i="63"/>
  <c r="AA152" i="63" s="1"/>
  <c r="U152" i="63"/>
  <c r="T152" i="63"/>
  <c r="S152" i="63"/>
  <c r="R152" i="63"/>
  <c r="Q152" i="63"/>
  <c r="P152" i="63"/>
  <c r="N152" i="63"/>
  <c r="M152" i="63"/>
  <c r="L152" i="63"/>
  <c r="AB152" i="63" s="1"/>
  <c r="K152" i="63"/>
  <c r="J152" i="63"/>
  <c r="I152" i="63"/>
  <c r="H152" i="63"/>
  <c r="G152" i="63"/>
  <c r="F152" i="63"/>
  <c r="E152" i="63"/>
  <c r="D152" i="63"/>
  <c r="AD152" i="63" s="1"/>
  <c r="AA151" i="63"/>
  <c r="Y151" i="63"/>
  <c r="X151" i="63"/>
  <c r="AY151" i="63" s="1"/>
  <c r="W151" i="63"/>
  <c r="Z151" i="63" s="1"/>
  <c r="V151" i="63"/>
  <c r="BA151" i="63" s="1"/>
  <c r="U151" i="63"/>
  <c r="T151" i="63"/>
  <c r="S151" i="63"/>
  <c r="R151" i="63"/>
  <c r="Q151" i="63"/>
  <c r="P151" i="63"/>
  <c r="N151" i="63"/>
  <c r="M151" i="63"/>
  <c r="AC151" i="63" s="1"/>
  <c r="L151" i="63"/>
  <c r="BB151" i="63" s="1"/>
  <c r="K151" i="63"/>
  <c r="J151" i="63"/>
  <c r="I151" i="63"/>
  <c r="H151" i="63"/>
  <c r="G151" i="63"/>
  <c r="F151" i="63"/>
  <c r="E151" i="63"/>
  <c r="D151" i="63"/>
  <c r="AD151" i="63" s="1"/>
  <c r="BB150" i="63"/>
  <c r="AC150" i="63"/>
  <c r="AB150" i="63"/>
  <c r="AA150" i="63"/>
  <c r="Y150" i="63"/>
  <c r="X150" i="63"/>
  <c r="W150" i="63"/>
  <c r="Z150" i="63" s="1"/>
  <c r="V150" i="63"/>
  <c r="BA150" i="63" s="1"/>
  <c r="U150" i="63"/>
  <c r="T150" i="63"/>
  <c r="S150" i="63"/>
  <c r="R150" i="63"/>
  <c r="Q150" i="63"/>
  <c r="P150" i="63"/>
  <c r="M150" i="63"/>
  <c r="L150" i="63"/>
  <c r="K150" i="63"/>
  <c r="N150" i="63" s="1"/>
  <c r="J150" i="63"/>
  <c r="I150" i="63"/>
  <c r="H150" i="63"/>
  <c r="G150" i="63"/>
  <c r="F150" i="63"/>
  <c r="E150" i="63"/>
  <c r="D150" i="63"/>
  <c r="AD150" i="63" s="1"/>
  <c r="Z149" i="63"/>
  <c r="BC149" i="63" s="1"/>
  <c r="Y149" i="63"/>
  <c r="AC149" i="63" s="1"/>
  <c r="X149" i="63"/>
  <c r="W149" i="63"/>
  <c r="V149" i="63"/>
  <c r="BA149" i="63" s="1"/>
  <c r="U149" i="63"/>
  <c r="T149" i="63"/>
  <c r="S149" i="63"/>
  <c r="R149" i="63"/>
  <c r="Q149" i="63"/>
  <c r="P149" i="63"/>
  <c r="M149" i="63"/>
  <c r="L149" i="63"/>
  <c r="BB149" i="63" s="1"/>
  <c r="K149" i="63"/>
  <c r="N149" i="63" s="1"/>
  <c r="J149" i="63"/>
  <c r="AA149" i="63" s="1"/>
  <c r="I149" i="63"/>
  <c r="H149" i="63"/>
  <c r="G149" i="63"/>
  <c r="F149" i="63"/>
  <c r="E149" i="63"/>
  <c r="D149" i="63"/>
  <c r="AC148" i="63"/>
  <c r="Z148" i="63"/>
  <c r="Y148" i="63"/>
  <c r="X148" i="63"/>
  <c r="W148" i="63"/>
  <c r="V148" i="63"/>
  <c r="U148" i="63"/>
  <c r="T148" i="63"/>
  <c r="S148" i="63"/>
  <c r="R148" i="63"/>
  <c r="Q148" i="63"/>
  <c r="P148" i="63"/>
  <c r="M148" i="63"/>
  <c r="L148" i="63"/>
  <c r="K148" i="63"/>
  <c r="N148" i="63" s="1"/>
  <c r="J148" i="63"/>
  <c r="I148" i="63"/>
  <c r="H148" i="63"/>
  <c r="G148" i="63"/>
  <c r="F148" i="63"/>
  <c r="E148" i="63"/>
  <c r="D148" i="63"/>
  <c r="AD148" i="63" s="1"/>
  <c r="AY147" i="63"/>
  <c r="AX147" i="63"/>
  <c r="Y147" i="63"/>
  <c r="AC147" i="63" s="1"/>
  <c r="X147" i="63"/>
  <c r="AB147" i="63" s="1"/>
  <c r="W147" i="63"/>
  <c r="Z147" i="63" s="1"/>
  <c r="V147" i="63"/>
  <c r="U147" i="63"/>
  <c r="T147" i="63"/>
  <c r="S147" i="63"/>
  <c r="R147" i="63"/>
  <c r="Q147" i="63"/>
  <c r="P147" i="63"/>
  <c r="AD147" i="63" s="1"/>
  <c r="N147" i="63"/>
  <c r="M147" i="63"/>
  <c r="L147" i="63"/>
  <c r="K147" i="63"/>
  <c r="J147" i="63"/>
  <c r="AA147" i="63" s="1"/>
  <c r="I147" i="63"/>
  <c r="H147" i="63"/>
  <c r="G147" i="63"/>
  <c r="F147" i="63"/>
  <c r="E147" i="63"/>
  <c r="D147" i="63"/>
  <c r="BB146" i="63"/>
  <c r="AY146" i="63"/>
  <c r="Z146" i="63"/>
  <c r="Y146" i="63"/>
  <c r="AC146" i="63" s="1"/>
  <c r="X146" i="63"/>
  <c r="AB146" i="63" s="1"/>
  <c r="W146" i="63"/>
  <c r="V146" i="63"/>
  <c r="U146" i="63"/>
  <c r="T146" i="63"/>
  <c r="S146" i="63"/>
  <c r="R146" i="63"/>
  <c r="Q146" i="63"/>
  <c r="P146" i="63"/>
  <c r="AD146" i="63" s="1"/>
  <c r="N146" i="63"/>
  <c r="M146" i="63"/>
  <c r="L146" i="63"/>
  <c r="K146" i="63"/>
  <c r="J146" i="63"/>
  <c r="I146" i="63"/>
  <c r="H146" i="63"/>
  <c r="G146" i="63"/>
  <c r="F146" i="63"/>
  <c r="E146" i="63"/>
  <c r="D146" i="63"/>
  <c r="BA145" i="63"/>
  <c r="AY145" i="63"/>
  <c r="AX145" i="63"/>
  <c r="Z145" i="63"/>
  <c r="Y145" i="63"/>
  <c r="AC145" i="63" s="1"/>
  <c r="X145" i="63"/>
  <c r="AB145" i="63" s="1"/>
  <c r="W145" i="63"/>
  <c r="V145" i="63"/>
  <c r="U145" i="63"/>
  <c r="T145" i="63"/>
  <c r="S145" i="63"/>
  <c r="R145" i="63"/>
  <c r="Q145" i="63"/>
  <c r="P145" i="63"/>
  <c r="AD145" i="63" s="1"/>
  <c r="N145" i="63"/>
  <c r="M145" i="63"/>
  <c r="L145" i="63"/>
  <c r="K145" i="63"/>
  <c r="J145" i="63"/>
  <c r="AA145" i="63" s="1"/>
  <c r="I145" i="63"/>
  <c r="H145" i="63"/>
  <c r="G145" i="63"/>
  <c r="F145" i="63"/>
  <c r="E145" i="63"/>
  <c r="D145" i="63"/>
  <c r="BB144" i="63"/>
  <c r="AY144" i="63"/>
  <c r="Y144" i="63"/>
  <c r="AC144" i="63" s="1"/>
  <c r="X144" i="63"/>
  <c r="AB144" i="63" s="1"/>
  <c r="W144" i="63"/>
  <c r="Z144" i="63" s="1"/>
  <c r="V144" i="63"/>
  <c r="U144" i="63"/>
  <c r="T144" i="63"/>
  <c r="S144" i="63"/>
  <c r="R144" i="63"/>
  <c r="Q144" i="63"/>
  <c r="P144" i="63"/>
  <c r="AD144" i="63" s="1"/>
  <c r="N144" i="63"/>
  <c r="M144" i="63"/>
  <c r="L144" i="63"/>
  <c r="K144" i="63"/>
  <c r="J144" i="63"/>
  <c r="I144" i="63"/>
  <c r="H144" i="63"/>
  <c r="G144" i="63"/>
  <c r="F144" i="63"/>
  <c r="E144" i="63"/>
  <c r="D144" i="63"/>
  <c r="AD143" i="63"/>
  <c r="Y143" i="63"/>
  <c r="AC143" i="63" s="1"/>
  <c r="X143" i="63"/>
  <c r="W143" i="63"/>
  <c r="Z143" i="63" s="1"/>
  <c r="BC143" i="63" s="1"/>
  <c r="V143" i="63"/>
  <c r="U143" i="63"/>
  <c r="T143" i="63"/>
  <c r="S143" i="63"/>
  <c r="R143" i="63"/>
  <c r="Q143" i="63"/>
  <c r="P143" i="63"/>
  <c r="N143" i="63"/>
  <c r="M143" i="63"/>
  <c r="L143" i="63"/>
  <c r="K143" i="63"/>
  <c r="J143" i="63"/>
  <c r="I143" i="63"/>
  <c r="H143" i="63"/>
  <c r="G143" i="63"/>
  <c r="F143" i="63"/>
  <c r="E143" i="63"/>
  <c r="D143" i="63"/>
  <c r="Y142" i="63"/>
  <c r="X142" i="63"/>
  <c r="AY142" i="63" s="1"/>
  <c r="W142" i="63"/>
  <c r="Z142" i="63" s="1"/>
  <c r="V142" i="63"/>
  <c r="AX142" i="63" s="1"/>
  <c r="U142" i="63"/>
  <c r="T142" i="63"/>
  <c r="S142" i="63"/>
  <c r="R142" i="63"/>
  <c r="Q142" i="63"/>
  <c r="P142" i="63"/>
  <c r="N142" i="63"/>
  <c r="M142" i="63"/>
  <c r="AC142" i="63" s="1"/>
  <c r="L142" i="63"/>
  <c r="AB142" i="63" s="1"/>
  <c r="K142" i="63"/>
  <c r="J142" i="63"/>
  <c r="I142" i="63"/>
  <c r="H142" i="63"/>
  <c r="G142" i="63"/>
  <c r="F142" i="63"/>
  <c r="E142" i="63"/>
  <c r="D142" i="63"/>
  <c r="AD142" i="63" s="1"/>
  <c r="BB141" i="63"/>
  <c r="AX141" i="63"/>
  <c r="AB141" i="63"/>
  <c r="AA141" i="63"/>
  <c r="Y141" i="63"/>
  <c r="X141" i="63"/>
  <c r="W141" i="63"/>
  <c r="Z141" i="63" s="1"/>
  <c r="V141" i="63"/>
  <c r="BA141" i="63" s="1"/>
  <c r="U141" i="63"/>
  <c r="T141" i="63"/>
  <c r="S141" i="63"/>
  <c r="R141" i="63"/>
  <c r="Q141" i="63"/>
  <c r="P141" i="63"/>
  <c r="N141" i="63"/>
  <c r="M141" i="63"/>
  <c r="AC141" i="63" s="1"/>
  <c r="L141" i="63"/>
  <c r="K141" i="63"/>
  <c r="J141" i="63"/>
  <c r="I141" i="63"/>
  <c r="H141" i="63"/>
  <c r="G141" i="63"/>
  <c r="F141" i="63"/>
  <c r="E141" i="63"/>
  <c r="D141" i="63"/>
  <c r="AD141" i="63" s="1"/>
  <c r="AX140" i="63"/>
  <c r="Y140" i="63"/>
  <c r="X140" i="63"/>
  <c r="W140" i="63"/>
  <c r="Z140" i="63" s="1"/>
  <c r="V140" i="63"/>
  <c r="U140" i="63"/>
  <c r="T140" i="63"/>
  <c r="S140" i="63"/>
  <c r="R140" i="63"/>
  <c r="Q140" i="63"/>
  <c r="P140" i="63"/>
  <c r="N140" i="63"/>
  <c r="M140" i="63"/>
  <c r="AC140" i="63" s="1"/>
  <c r="L140" i="63"/>
  <c r="K140" i="63"/>
  <c r="J140" i="63"/>
  <c r="AA140" i="63" s="1"/>
  <c r="I140" i="63"/>
  <c r="H140" i="63"/>
  <c r="G140" i="63"/>
  <c r="F140" i="63"/>
  <c r="E140" i="63"/>
  <c r="D140" i="63"/>
  <c r="AD140" i="63" s="1"/>
  <c r="AX139" i="63"/>
  <c r="AC139" i="63"/>
  <c r="AA139" i="63"/>
  <c r="Z139" i="63"/>
  <c r="Y139" i="63"/>
  <c r="X139" i="63"/>
  <c r="AY139" i="63" s="1"/>
  <c r="W139" i="63"/>
  <c r="V139" i="63"/>
  <c r="BA139" i="63" s="1"/>
  <c r="U139" i="63"/>
  <c r="T139" i="63"/>
  <c r="S139" i="63"/>
  <c r="R139" i="63"/>
  <c r="Q139" i="63"/>
  <c r="P139" i="63"/>
  <c r="AD139" i="63" s="1"/>
  <c r="M139" i="63"/>
  <c r="L139" i="63"/>
  <c r="AB139" i="63" s="1"/>
  <c r="K139" i="63"/>
  <c r="N139" i="63" s="1"/>
  <c r="J139" i="63"/>
  <c r="I139" i="63"/>
  <c r="H139" i="63"/>
  <c r="G139" i="63"/>
  <c r="F139" i="63"/>
  <c r="E139" i="63"/>
  <c r="D139" i="63"/>
  <c r="BA138" i="63"/>
  <c r="AC138" i="63"/>
  <c r="AB138" i="63"/>
  <c r="Z138" i="63"/>
  <c r="Y138" i="63"/>
  <c r="X138" i="63"/>
  <c r="W138" i="63"/>
  <c r="V138" i="63"/>
  <c r="U138" i="63"/>
  <c r="T138" i="63"/>
  <c r="S138" i="63"/>
  <c r="R138" i="63"/>
  <c r="Q138" i="63"/>
  <c r="P138" i="63"/>
  <c r="M138" i="63"/>
  <c r="L138" i="63"/>
  <c r="BB138" i="63" s="1"/>
  <c r="K138" i="63"/>
  <c r="N138" i="63" s="1"/>
  <c r="J138" i="63"/>
  <c r="AA138" i="63" s="1"/>
  <c r="I138" i="63"/>
  <c r="H138" i="63"/>
  <c r="G138" i="63"/>
  <c r="F138" i="63"/>
  <c r="E138" i="63"/>
  <c r="D138" i="63"/>
  <c r="AD138" i="63" s="1"/>
  <c r="AY137" i="63"/>
  <c r="AD137" i="63"/>
  <c r="Y137" i="63"/>
  <c r="AC137" i="63" s="1"/>
  <c r="X137" i="63"/>
  <c r="W137" i="63"/>
  <c r="Z137" i="63" s="1"/>
  <c r="V137" i="63"/>
  <c r="U137" i="63"/>
  <c r="T137" i="63"/>
  <c r="S137" i="63"/>
  <c r="R137" i="63"/>
  <c r="Q137" i="63"/>
  <c r="P137" i="63"/>
  <c r="N137" i="63"/>
  <c r="M137" i="63"/>
  <c r="L137" i="63"/>
  <c r="K137" i="63"/>
  <c r="J137" i="63"/>
  <c r="AA137" i="63" s="1"/>
  <c r="I137" i="63"/>
  <c r="H137" i="63"/>
  <c r="G137" i="63"/>
  <c r="F137" i="63"/>
  <c r="E137" i="63"/>
  <c r="D137" i="63"/>
  <c r="BB136" i="63"/>
  <c r="AD136" i="63"/>
  <c r="AB136" i="63"/>
  <c r="Y136" i="63"/>
  <c r="AC136" i="63" s="1"/>
  <c r="X136" i="63"/>
  <c r="AY136" i="63" s="1"/>
  <c r="W136" i="63"/>
  <c r="Z136" i="63" s="1"/>
  <c r="V136" i="63"/>
  <c r="AX136" i="63" s="1"/>
  <c r="U136" i="63"/>
  <c r="T136" i="63"/>
  <c r="S136" i="63"/>
  <c r="R136" i="63"/>
  <c r="Q136" i="63"/>
  <c r="P136" i="63"/>
  <c r="N136" i="63"/>
  <c r="M136" i="63"/>
  <c r="L136" i="63"/>
  <c r="K136" i="63"/>
  <c r="J136" i="63"/>
  <c r="AA136" i="63" s="1"/>
  <c r="I136" i="63"/>
  <c r="H136" i="63"/>
  <c r="G136" i="63"/>
  <c r="F136" i="63"/>
  <c r="E136" i="63"/>
  <c r="D136" i="63"/>
  <c r="BB135" i="63"/>
  <c r="AD135" i="63"/>
  <c r="AB135" i="63"/>
  <c r="Y135" i="63"/>
  <c r="AC135" i="63" s="1"/>
  <c r="X135" i="63"/>
  <c r="AY135" i="63" s="1"/>
  <c r="W135" i="63"/>
  <c r="Z135" i="63" s="1"/>
  <c r="V135" i="63"/>
  <c r="AX135" i="63" s="1"/>
  <c r="U135" i="63"/>
  <c r="T135" i="63"/>
  <c r="S135" i="63"/>
  <c r="R135" i="63"/>
  <c r="Q135" i="63"/>
  <c r="P135" i="63"/>
  <c r="N135" i="63"/>
  <c r="M135" i="63"/>
  <c r="L135" i="63"/>
  <c r="K135" i="63"/>
  <c r="J135" i="63"/>
  <c r="AA135" i="63" s="1"/>
  <c r="I135" i="63"/>
  <c r="H135" i="63"/>
  <c r="G135" i="63"/>
  <c r="F135" i="63"/>
  <c r="E135" i="63"/>
  <c r="D135" i="63"/>
  <c r="BA134" i="63"/>
  <c r="AX134" i="63"/>
  <c r="AX160" i="63" s="1"/>
  <c r="Z134" i="63"/>
  <c r="Y134" i="63"/>
  <c r="AC134" i="63" s="1"/>
  <c r="X134" i="63"/>
  <c r="W134" i="63"/>
  <c r="V134" i="63"/>
  <c r="U134" i="63"/>
  <c r="T134" i="63"/>
  <c r="S134" i="63"/>
  <c r="R134" i="63"/>
  <c r="Q134" i="63"/>
  <c r="P134" i="63"/>
  <c r="N134" i="63"/>
  <c r="M134" i="63"/>
  <c r="L134" i="63"/>
  <c r="K134" i="63"/>
  <c r="J134" i="63"/>
  <c r="AA134" i="63" s="1"/>
  <c r="I134" i="63"/>
  <c r="H134" i="63"/>
  <c r="G134" i="63"/>
  <c r="F134" i="63"/>
  <c r="E134" i="63"/>
  <c r="D134" i="63"/>
  <c r="Z133" i="63"/>
  <c r="Z160" i="63" s="1"/>
  <c r="Y133" i="63"/>
  <c r="X133" i="63"/>
  <c r="W133" i="63"/>
  <c r="V133" i="63"/>
  <c r="BA133" i="63" s="1"/>
  <c r="BA160" i="63" s="1"/>
  <c r="U133" i="63"/>
  <c r="T133" i="63"/>
  <c r="S133" i="63"/>
  <c r="R133" i="63"/>
  <c r="Q133" i="63"/>
  <c r="P133" i="63"/>
  <c r="M133" i="63"/>
  <c r="M160" i="63" s="1"/>
  <c r="L133" i="63"/>
  <c r="L160" i="63" s="1"/>
  <c r="K133" i="63"/>
  <c r="N133" i="63" s="1"/>
  <c r="J133" i="63"/>
  <c r="I133" i="63"/>
  <c r="H133" i="63"/>
  <c r="G133" i="63"/>
  <c r="F133" i="63"/>
  <c r="E133" i="63"/>
  <c r="D133" i="63"/>
  <c r="AD133" i="63" s="1"/>
  <c r="AD160" i="63" s="1"/>
  <c r="AX132" i="63"/>
  <c r="AD132" i="63"/>
  <c r="Z132" i="63"/>
  <c r="Y132" i="63"/>
  <c r="AB132" i="63"/>
  <c r="M132" i="63"/>
  <c r="AC132" i="63" s="1"/>
  <c r="N132" i="63"/>
  <c r="BA131" i="63"/>
  <c r="AY131" i="63"/>
  <c r="AX131" i="63"/>
  <c r="AD131" i="63"/>
  <c r="AB131" i="63"/>
  <c r="Z131" i="63"/>
  <c r="Y131" i="63"/>
  <c r="AC131" i="63" s="1"/>
  <c r="BB131" i="63"/>
  <c r="M131" i="63"/>
  <c r="N131" i="63"/>
  <c r="BB130" i="63"/>
  <c r="BA130" i="63"/>
  <c r="AX130" i="63"/>
  <c r="AD130" i="63"/>
  <c r="Y130" i="63"/>
  <c r="AC130" i="63" s="1"/>
  <c r="AY130" i="63"/>
  <c r="Z130" i="63"/>
  <c r="M130" i="63"/>
  <c r="AB130" i="63"/>
  <c r="N130" i="63"/>
  <c r="BB129" i="63"/>
  <c r="BA129" i="63"/>
  <c r="AX129" i="63"/>
  <c r="AD129" i="63"/>
  <c r="Y129" i="63"/>
  <c r="AC129" i="63" s="1"/>
  <c r="Z129" i="63"/>
  <c r="N129" i="63"/>
  <c r="M129" i="63"/>
  <c r="AY129" i="63"/>
  <c r="BB128" i="63"/>
  <c r="BA128" i="63"/>
  <c r="AD128" i="63"/>
  <c r="AC128" i="63"/>
  <c r="Y128" i="63"/>
  <c r="Z128" i="63"/>
  <c r="N128" i="63"/>
  <c r="M128" i="63"/>
  <c r="AB128" i="63"/>
  <c r="AY127" i="63"/>
  <c r="AX127" i="63"/>
  <c r="AD127" i="63"/>
  <c r="AB127" i="63"/>
  <c r="Y127" i="63"/>
  <c r="Z127" i="63"/>
  <c r="N127" i="63"/>
  <c r="M127" i="63"/>
  <c r="AC127" i="63" s="1"/>
  <c r="BA126" i="63"/>
  <c r="AX126" i="63"/>
  <c r="AD126" i="63"/>
  <c r="Z126" i="63"/>
  <c r="Y126" i="63"/>
  <c r="M126" i="63"/>
  <c r="AC126" i="63" s="1"/>
  <c r="N126" i="63"/>
  <c r="BA125" i="63"/>
  <c r="AX125" i="63"/>
  <c r="AD125" i="63"/>
  <c r="AC125" i="63"/>
  <c r="AB125" i="63"/>
  <c r="Y125" i="63"/>
  <c r="Z125" i="63"/>
  <c r="M125" i="63"/>
  <c r="N125" i="63"/>
  <c r="BA124" i="63"/>
  <c r="AX124" i="63"/>
  <c r="AD124" i="63"/>
  <c r="Z124" i="63"/>
  <c r="Y124" i="63"/>
  <c r="AC124" i="63" s="1"/>
  <c r="N124" i="63"/>
  <c r="M124" i="63"/>
  <c r="BA123" i="63"/>
  <c r="AD123" i="63"/>
  <c r="AB123" i="63"/>
  <c r="Z123" i="63"/>
  <c r="BC123" i="63" s="1"/>
  <c r="Y123" i="63"/>
  <c r="BB123" i="63"/>
  <c r="M123" i="63"/>
  <c r="AC123" i="63" s="1"/>
  <c r="N123" i="63"/>
  <c r="AX122" i="63"/>
  <c r="AD122" i="63"/>
  <c r="Z122" i="63"/>
  <c r="Y122" i="63"/>
  <c r="AC122" i="63" s="1"/>
  <c r="AY122" i="63"/>
  <c r="N122" i="63"/>
  <c r="M122" i="63"/>
  <c r="AB122" i="63"/>
  <c r="BA121" i="63"/>
  <c r="AY121" i="63"/>
  <c r="AX121" i="63"/>
  <c r="AD121" i="63"/>
  <c r="AB121" i="63"/>
  <c r="Y121" i="63"/>
  <c r="AC121" i="63" s="1"/>
  <c r="BB121" i="63"/>
  <c r="Z121" i="63"/>
  <c r="N121" i="63"/>
  <c r="M121" i="63"/>
  <c r="BA120" i="63"/>
  <c r="AX120" i="63"/>
  <c r="AD120" i="63"/>
  <c r="AC120" i="63"/>
  <c r="Z120" i="63"/>
  <c r="Y120" i="63"/>
  <c r="AY120" i="63"/>
  <c r="N120" i="63"/>
  <c r="M120" i="63"/>
  <c r="BA119" i="63"/>
  <c r="AY119" i="63"/>
  <c r="AX119" i="63"/>
  <c r="AD119" i="63"/>
  <c r="AC119" i="63"/>
  <c r="Z119" i="63"/>
  <c r="Y119" i="63"/>
  <c r="M119" i="63"/>
  <c r="N119" i="63"/>
  <c r="BA118" i="63"/>
  <c r="AD118" i="63"/>
  <c r="Z118" i="63"/>
  <c r="Y118" i="63"/>
  <c r="AC118" i="63" s="1"/>
  <c r="N118" i="63"/>
  <c r="M118" i="63"/>
  <c r="AY117" i="63"/>
  <c r="AX117" i="63"/>
  <c r="AD117" i="63"/>
  <c r="AC117" i="63"/>
  <c r="Y117" i="63"/>
  <c r="AB117" i="63"/>
  <c r="Z117" i="63"/>
  <c r="N117" i="63"/>
  <c r="M117" i="63"/>
  <c r="BB116" i="63"/>
  <c r="BA116" i="63"/>
  <c r="AX116" i="63"/>
  <c r="AD116" i="63"/>
  <c r="Y116" i="63"/>
  <c r="AC116" i="63" s="1"/>
  <c r="AY116" i="63"/>
  <c r="Z116" i="63"/>
  <c r="M116" i="63"/>
  <c r="AB116" i="63"/>
  <c r="N116" i="63"/>
  <c r="BA115" i="63"/>
  <c r="AX115" i="63"/>
  <c r="AD115" i="63"/>
  <c r="Z115" i="63"/>
  <c r="Y115" i="63"/>
  <c r="AC115" i="63" s="1"/>
  <c r="AB115" i="63"/>
  <c r="M115" i="63"/>
  <c r="N115" i="63"/>
  <c r="BA114" i="63"/>
  <c r="AX114" i="63"/>
  <c r="AD114" i="63"/>
  <c r="Z114" i="63"/>
  <c r="Y114" i="63"/>
  <c r="AC114" i="63" s="1"/>
  <c r="AC160" i="63" s="1"/>
  <c r="N114" i="63"/>
  <c r="M114" i="63"/>
  <c r="AY114" i="63"/>
  <c r="BA113" i="63"/>
  <c r="AD113" i="63"/>
  <c r="AB113" i="63"/>
  <c r="Y113" i="63"/>
  <c r="Z113" i="63"/>
  <c r="M113" i="63"/>
  <c r="N113" i="63"/>
  <c r="AY112" i="63"/>
  <c r="AX112" i="63"/>
  <c r="AD112" i="63"/>
  <c r="Y112" i="63"/>
  <c r="AB112" i="63"/>
  <c r="Z112" i="63"/>
  <c r="N112" i="63"/>
  <c r="M112" i="63"/>
  <c r="AC112" i="63" s="1"/>
  <c r="BA111" i="63"/>
  <c r="AX111" i="63"/>
  <c r="AD111" i="63"/>
  <c r="AB111" i="63"/>
  <c r="Y111" i="63"/>
  <c r="AC111" i="63" s="1"/>
  <c r="Z111" i="63"/>
  <c r="N111" i="63"/>
  <c r="M111" i="63"/>
  <c r="AY111" i="63"/>
  <c r="BA110" i="63"/>
  <c r="AX110" i="63"/>
  <c r="AD110" i="63"/>
  <c r="Y110" i="63"/>
  <c r="AC110" i="63" s="1"/>
  <c r="Z110" i="63"/>
  <c r="N110" i="63"/>
  <c r="M110" i="63"/>
  <c r="BB110" i="63"/>
  <c r="BA109" i="63"/>
  <c r="AX109" i="63"/>
  <c r="AD109" i="63"/>
  <c r="Z109" i="63"/>
  <c r="Y109" i="63"/>
  <c r="AC109" i="63" s="1"/>
  <c r="N109" i="63"/>
  <c r="M109" i="63"/>
  <c r="AY109" i="63"/>
  <c r="BA108" i="63"/>
  <c r="AD108" i="63"/>
  <c r="AB108" i="63"/>
  <c r="Y108" i="63"/>
  <c r="Z108" i="63"/>
  <c r="N108" i="63"/>
  <c r="M108" i="63"/>
  <c r="AC108" i="63" s="1"/>
  <c r="BB108" i="63"/>
  <c r="AX107" i="63"/>
  <c r="AD107" i="63"/>
  <c r="AC107" i="63"/>
  <c r="Y107" i="63"/>
  <c r="Z107" i="63"/>
  <c r="M107" i="63"/>
  <c r="AB107" i="63"/>
  <c r="N107" i="63"/>
  <c r="BB106" i="63"/>
  <c r="BA106" i="63"/>
  <c r="AY106" i="63"/>
  <c r="AX106" i="63"/>
  <c r="AD106" i="63"/>
  <c r="AC106" i="63"/>
  <c r="Z106" i="63"/>
  <c r="Y106" i="63"/>
  <c r="AB106" i="63"/>
  <c r="M106" i="63"/>
  <c r="N106" i="63"/>
  <c r="BA105" i="63"/>
  <c r="AX105" i="63"/>
  <c r="AD105" i="63"/>
  <c r="AB105" i="63"/>
  <c r="Z105" i="63"/>
  <c r="Y105" i="63"/>
  <c r="BB105" i="63"/>
  <c r="M105" i="63"/>
  <c r="AC105" i="63" s="1"/>
  <c r="N105" i="63"/>
  <c r="BB104" i="63"/>
  <c r="BA104" i="63"/>
  <c r="AX104" i="63"/>
  <c r="AD104" i="63"/>
  <c r="Z104" i="63"/>
  <c r="Y104" i="63"/>
  <c r="N104" i="63"/>
  <c r="M104" i="63"/>
  <c r="AC104" i="63" s="1"/>
  <c r="BA103" i="63"/>
  <c r="AD103" i="63"/>
  <c r="AC103" i="63"/>
  <c r="Z103" i="63"/>
  <c r="Y103" i="63"/>
  <c r="BB103" i="63"/>
  <c r="M103" i="63"/>
  <c r="N103" i="63"/>
  <c r="AX102" i="63"/>
  <c r="AD102" i="63"/>
  <c r="AB102" i="63"/>
  <c r="Y102" i="63"/>
  <c r="AC102" i="63" s="1"/>
  <c r="Z102" i="63"/>
  <c r="N102" i="63"/>
  <c r="AZ102" i="63" s="1"/>
  <c r="M102" i="63"/>
  <c r="BA101" i="63"/>
  <c r="AX101" i="63"/>
  <c r="AD101" i="63"/>
  <c r="Y101" i="63"/>
  <c r="Z101" i="63"/>
  <c r="N101" i="63"/>
  <c r="M101" i="63"/>
  <c r="AC101" i="63" s="1"/>
  <c r="BB100" i="63"/>
  <c r="BA100" i="63"/>
  <c r="AY100" i="63"/>
  <c r="AX100" i="63"/>
  <c r="AD100" i="63"/>
  <c r="AC100" i="63"/>
  <c r="Y100" i="63"/>
  <c r="AB100" i="63"/>
  <c r="Z100" i="63"/>
  <c r="M100" i="63"/>
  <c r="N100" i="63"/>
  <c r="BA99" i="63"/>
  <c r="AX99" i="63"/>
  <c r="AD99" i="63"/>
  <c r="Z99" i="63"/>
  <c r="Y99" i="63"/>
  <c r="M99" i="63"/>
  <c r="AC99" i="63" s="1"/>
  <c r="N99" i="63"/>
  <c r="BA98" i="63"/>
  <c r="AD98" i="63"/>
  <c r="Z98" i="63"/>
  <c r="Y98" i="63"/>
  <c r="N98" i="63"/>
  <c r="M98" i="63"/>
  <c r="AX97" i="63"/>
  <c r="AD97" i="63"/>
  <c r="Z97" i="63"/>
  <c r="Y97" i="63"/>
  <c r="AB97" i="63"/>
  <c r="N97" i="63"/>
  <c r="M97" i="63"/>
  <c r="AC97" i="63" s="1"/>
  <c r="BA96" i="63"/>
  <c r="AX96" i="63"/>
  <c r="AD96" i="63"/>
  <c r="Z96" i="63"/>
  <c r="Y96" i="63"/>
  <c r="AC96" i="63" s="1"/>
  <c r="N96" i="63"/>
  <c r="M96" i="63"/>
  <c r="BB96" i="63"/>
  <c r="BA95" i="63"/>
  <c r="AX95" i="63"/>
  <c r="AD95" i="63"/>
  <c r="Y95" i="63"/>
  <c r="AC95" i="63" s="1"/>
  <c r="Z95" i="63"/>
  <c r="M95" i="63"/>
  <c r="N95" i="63"/>
  <c r="BA94" i="63"/>
  <c r="AY94" i="63"/>
  <c r="AX94" i="63"/>
  <c r="AD94" i="63"/>
  <c r="AC94" i="63"/>
  <c r="Z94" i="63"/>
  <c r="Y94" i="63"/>
  <c r="M94" i="63"/>
  <c r="BB94" i="63"/>
  <c r="N94" i="63"/>
  <c r="BB93" i="63"/>
  <c r="BA93" i="63"/>
  <c r="AD93" i="63"/>
  <c r="AC93" i="63"/>
  <c r="Y93" i="63"/>
  <c r="AB93" i="63"/>
  <c r="Z93" i="63"/>
  <c r="N93" i="63"/>
  <c r="M93" i="63"/>
  <c r="AX92" i="63"/>
  <c r="AD92" i="63"/>
  <c r="AC92" i="63"/>
  <c r="Z92" i="63"/>
  <c r="Y92" i="63"/>
  <c r="AB92" i="63"/>
  <c r="M92" i="63"/>
  <c r="N92" i="63"/>
  <c r="AZ92" i="63" s="1"/>
  <c r="BA91" i="63"/>
  <c r="AX91" i="63"/>
  <c r="AD91" i="63"/>
  <c r="AB91" i="63"/>
  <c r="Z91" i="63"/>
  <c r="Y91" i="63"/>
  <c r="AC91" i="63" s="1"/>
  <c r="AY91" i="63"/>
  <c r="M91" i="63"/>
  <c r="BB91" i="63"/>
  <c r="N91" i="63"/>
  <c r="BA90" i="63"/>
  <c r="AX90" i="63"/>
  <c r="AD90" i="63"/>
  <c r="AB90" i="63"/>
  <c r="Y90" i="63"/>
  <c r="AY90" i="63"/>
  <c r="Z90" i="63"/>
  <c r="M90" i="63"/>
  <c r="AC90" i="63" s="1"/>
  <c r="BB90" i="63"/>
  <c r="N90" i="63"/>
  <c r="BB89" i="63"/>
  <c r="BA89" i="63"/>
  <c r="AY89" i="63"/>
  <c r="AX89" i="63"/>
  <c r="AD89" i="63"/>
  <c r="AB89" i="63"/>
  <c r="Y89" i="63"/>
  <c r="AC89" i="63" s="1"/>
  <c r="Z89" i="63"/>
  <c r="N89" i="63"/>
  <c r="M89" i="63"/>
  <c r="BA88" i="63"/>
  <c r="AD88" i="63"/>
  <c r="Z88" i="63"/>
  <c r="Y88" i="63"/>
  <c r="AC88" i="63" s="1"/>
  <c r="AB88" i="63"/>
  <c r="N88" i="63"/>
  <c r="M88" i="63"/>
  <c r="AX87" i="63"/>
  <c r="AD87" i="63"/>
  <c r="AC87" i="63"/>
  <c r="Y87" i="63"/>
  <c r="AB87" i="63"/>
  <c r="Z87" i="63"/>
  <c r="M87" i="63"/>
  <c r="N87" i="63"/>
  <c r="BB86" i="63"/>
  <c r="BA86" i="63"/>
  <c r="AY86" i="63"/>
  <c r="AX86" i="63"/>
  <c r="AD86" i="63"/>
  <c r="AC86" i="63"/>
  <c r="Z86" i="63"/>
  <c r="Y86" i="63"/>
  <c r="AB86" i="63"/>
  <c r="M86" i="63"/>
  <c r="N86" i="63"/>
  <c r="BB85" i="63"/>
  <c r="BA85" i="63"/>
  <c r="AX85" i="63"/>
  <c r="AD85" i="63"/>
  <c r="AC85" i="63"/>
  <c r="Z85" i="63"/>
  <c r="Y85" i="63"/>
  <c r="M85" i="63"/>
  <c r="AB85" i="63"/>
  <c r="N85" i="63"/>
  <c r="BB84" i="63"/>
  <c r="BA84" i="63"/>
  <c r="AX84" i="63"/>
  <c r="AD84" i="63"/>
  <c r="AC84" i="63"/>
  <c r="AB84" i="63"/>
  <c r="Y84" i="63"/>
  <c r="Z84" i="63"/>
  <c r="M84" i="63"/>
  <c r="AY84" i="63"/>
  <c r="N84" i="63"/>
  <c r="BB83" i="63"/>
  <c r="BA83" i="63"/>
  <c r="AD83" i="63"/>
  <c r="Y83" i="63"/>
  <c r="Z83" i="63"/>
  <c r="N83" i="63"/>
  <c r="M83" i="63"/>
  <c r="AC83" i="63" s="1"/>
  <c r="AB83" i="63"/>
  <c r="AX82" i="63"/>
  <c r="AD82" i="63"/>
  <c r="AC82" i="63"/>
  <c r="Y82" i="63"/>
  <c r="Z82" i="63"/>
  <c r="M82" i="63"/>
  <c r="AB82" i="63"/>
  <c r="N82" i="63"/>
  <c r="C82" i="63"/>
  <c r="BA81" i="63"/>
  <c r="AX81" i="63"/>
  <c r="AD81" i="63"/>
  <c r="Y81" i="63"/>
  <c r="AC81" i="63" s="1"/>
  <c r="Z81" i="63"/>
  <c r="N81" i="63"/>
  <c r="M81" i="63"/>
  <c r="AY81" i="63"/>
  <c r="C81" i="63"/>
  <c r="BA80" i="63"/>
  <c r="AX80" i="63"/>
  <c r="AD80" i="63"/>
  <c r="AB80" i="63"/>
  <c r="Y80" i="63"/>
  <c r="AY80" i="63"/>
  <c r="Z80" i="63"/>
  <c r="M80" i="63"/>
  <c r="BB80" i="63"/>
  <c r="N80" i="63"/>
  <c r="C80" i="63"/>
  <c r="BA79" i="63"/>
  <c r="AX79" i="63"/>
  <c r="AD79" i="63"/>
  <c r="Z79" i="63"/>
  <c r="Y79" i="63"/>
  <c r="BB79" i="63"/>
  <c r="M79" i="63"/>
  <c r="AC79" i="63" s="1"/>
  <c r="N79" i="63"/>
  <c r="C79" i="63"/>
  <c r="BA78" i="63"/>
  <c r="AD78" i="63"/>
  <c r="Z78" i="63"/>
  <c r="Y78" i="63"/>
  <c r="N78" i="63"/>
  <c r="M78" i="63"/>
  <c r="C78" i="63"/>
  <c r="AX77" i="63"/>
  <c r="AD77" i="63"/>
  <c r="Z77" i="63"/>
  <c r="Y77" i="63"/>
  <c r="AC77" i="63" s="1"/>
  <c r="N77" i="63"/>
  <c r="M77" i="63"/>
  <c r="AY77" i="63"/>
  <c r="BB76" i="63"/>
  <c r="BA76" i="63"/>
  <c r="AY76" i="63"/>
  <c r="AX76" i="63"/>
  <c r="AD76" i="63"/>
  <c r="Z76" i="63"/>
  <c r="Y76" i="63"/>
  <c r="AC76" i="63" s="1"/>
  <c r="AB76" i="63"/>
  <c r="M76" i="63"/>
  <c r="N76" i="63"/>
  <c r="BC76" i="63" s="1"/>
  <c r="BA75" i="63"/>
  <c r="AX75" i="63"/>
  <c r="AD75" i="63"/>
  <c r="Z75" i="63"/>
  <c r="Y75" i="63"/>
  <c r="M75" i="63"/>
  <c r="AC75" i="63" s="1"/>
  <c r="AB75" i="63"/>
  <c r="N75" i="63"/>
  <c r="BA74" i="63"/>
  <c r="AX74" i="63"/>
  <c r="AD74" i="63"/>
  <c r="Z74" i="63"/>
  <c r="Y74" i="63"/>
  <c r="N74" i="63"/>
  <c r="M74" i="63"/>
  <c r="AC74" i="63" s="1"/>
  <c r="BA73" i="63"/>
  <c r="AD73" i="63"/>
  <c r="Y73" i="63"/>
  <c r="Z73" i="63"/>
  <c r="N73" i="63"/>
  <c r="M73" i="63"/>
  <c r="AX72" i="63"/>
  <c r="AD72" i="63"/>
  <c r="Z72" i="63"/>
  <c r="Y72" i="63"/>
  <c r="AC72" i="63" s="1"/>
  <c r="N72" i="63"/>
  <c r="M72" i="63"/>
  <c r="AB72" i="63"/>
  <c r="BA71" i="63"/>
  <c r="AX71" i="63"/>
  <c r="AD71" i="63"/>
  <c r="AB71" i="63"/>
  <c r="Y71" i="63"/>
  <c r="AC71" i="63" s="1"/>
  <c r="Z71" i="63"/>
  <c r="N71" i="63"/>
  <c r="M71" i="63"/>
  <c r="BB70" i="63"/>
  <c r="BA70" i="63"/>
  <c r="AX70" i="63"/>
  <c r="AD70" i="63"/>
  <c r="Z70" i="63"/>
  <c r="Y70" i="63"/>
  <c r="AC70" i="63" s="1"/>
  <c r="AY70" i="63"/>
  <c r="N70" i="63"/>
  <c r="M70" i="63"/>
  <c r="AB70" i="63"/>
  <c r="BA69" i="63"/>
  <c r="AX69" i="63"/>
  <c r="AD69" i="63"/>
  <c r="Z69" i="63"/>
  <c r="Y69" i="63"/>
  <c r="N69" i="63"/>
  <c r="M69" i="63"/>
  <c r="AC69" i="63" s="1"/>
  <c r="BB69" i="63"/>
  <c r="BA68" i="63"/>
  <c r="AD68" i="63"/>
  <c r="AC68" i="63"/>
  <c r="Y68" i="63"/>
  <c r="Z68" i="63"/>
  <c r="N68" i="63"/>
  <c r="M68" i="63"/>
  <c r="AX67" i="63"/>
  <c r="AD67" i="63"/>
  <c r="Z67" i="63"/>
  <c r="Y67" i="63"/>
  <c r="AB67" i="63"/>
  <c r="M67" i="63"/>
  <c r="AC67" i="63" s="1"/>
  <c r="N67" i="63"/>
  <c r="BA66" i="63"/>
  <c r="AX66" i="63"/>
  <c r="AD66" i="63"/>
  <c r="Z66" i="63"/>
  <c r="Y66" i="63"/>
  <c r="AC66" i="63" s="1"/>
  <c r="N66" i="63"/>
  <c r="M66" i="63"/>
  <c r="AB66" i="63"/>
  <c r="BA65" i="63"/>
  <c r="AX65" i="63"/>
  <c r="AD65" i="63"/>
  <c r="Y65" i="63"/>
  <c r="AC65" i="63" s="1"/>
  <c r="Z65" i="63"/>
  <c r="N65" i="63"/>
  <c r="M65" i="63"/>
  <c r="AB65" i="63"/>
  <c r="BA64" i="63"/>
  <c r="AX64" i="63"/>
  <c r="AD64" i="63"/>
  <c r="Z64" i="63"/>
  <c r="Y64" i="63"/>
  <c r="AC64" i="63" s="1"/>
  <c r="M64" i="63"/>
  <c r="AB64" i="63"/>
  <c r="N64" i="63"/>
  <c r="BA63" i="63"/>
  <c r="AD63" i="63"/>
  <c r="AC63" i="63"/>
  <c r="AB63" i="63"/>
  <c r="Y63" i="63"/>
  <c r="Z63" i="63"/>
  <c r="N63" i="63"/>
  <c r="M63" i="63"/>
  <c r="BB63" i="63"/>
  <c r="AX62" i="63"/>
  <c r="AD62" i="63"/>
  <c r="Z62" i="63"/>
  <c r="Y62" i="63"/>
  <c r="AC62" i="63" s="1"/>
  <c r="N62" i="63"/>
  <c r="M62" i="63"/>
  <c r="AB62" i="63"/>
  <c r="BA61" i="63"/>
  <c r="AX61" i="63"/>
  <c r="AD61" i="63"/>
  <c r="AC61" i="63"/>
  <c r="Y61" i="63"/>
  <c r="Z61" i="63"/>
  <c r="N61" i="63"/>
  <c r="M61" i="63"/>
  <c r="BB61" i="63"/>
  <c r="BA60" i="63"/>
  <c r="AY60" i="63"/>
  <c r="AX60" i="63"/>
  <c r="AD60" i="63"/>
  <c r="Z60" i="63"/>
  <c r="Y60" i="63"/>
  <c r="N60" i="63"/>
  <c r="M60" i="63"/>
  <c r="AC60" i="63" s="1"/>
  <c r="BA59" i="63"/>
  <c r="AY59" i="63"/>
  <c r="AX59" i="63"/>
  <c r="AD59" i="63"/>
  <c r="AC59" i="63"/>
  <c r="Y59" i="63"/>
  <c r="BB59" i="63"/>
  <c r="Z59" i="63"/>
  <c r="N59" i="63"/>
  <c r="M59" i="63"/>
  <c r="AB59" i="63"/>
  <c r="BB58" i="63"/>
  <c r="BA58" i="63"/>
  <c r="AD58" i="63"/>
  <c r="AB58" i="63"/>
  <c r="Y58" i="63"/>
  <c r="Z58" i="63"/>
  <c r="M58" i="63"/>
  <c r="N58" i="63"/>
  <c r="AX57" i="63"/>
  <c r="AD57" i="63"/>
  <c r="AB57" i="63"/>
  <c r="Z57" i="63"/>
  <c r="Y57" i="63"/>
  <c r="AC57" i="63" s="1"/>
  <c r="N57" i="63"/>
  <c r="M57" i="63"/>
  <c r="BA56" i="63"/>
  <c r="AX56" i="63"/>
  <c r="AD56" i="63"/>
  <c r="AC56" i="63"/>
  <c r="Z56" i="63"/>
  <c r="Y56" i="63"/>
  <c r="AY56" i="63"/>
  <c r="N56" i="63"/>
  <c r="M56" i="63"/>
  <c r="BA55" i="63"/>
  <c r="AX55" i="63"/>
  <c r="AD55" i="63"/>
  <c r="AB55" i="63"/>
  <c r="Y55" i="63"/>
  <c r="AY55" i="63"/>
  <c r="Z55" i="63"/>
  <c r="M55" i="63"/>
  <c r="AC55" i="63" s="1"/>
  <c r="N55" i="63"/>
  <c r="BA54" i="63"/>
  <c r="AY54" i="63"/>
  <c r="AX54" i="63"/>
  <c r="AD54" i="63"/>
  <c r="AB54" i="63"/>
  <c r="Y54" i="63"/>
  <c r="Z54" i="63"/>
  <c r="N54" i="63"/>
  <c r="M54" i="63"/>
  <c r="AC54" i="63" s="1"/>
  <c r="BA53" i="63"/>
  <c r="AD53" i="63"/>
  <c r="Y53" i="63"/>
  <c r="AC53" i="63" s="1"/>
  <c r="Z53" i="63"/>
  <c r="N53" i="63"/>
  <c r="M53" i="63"/>
  <c r="AY52" i="63"/>
  <c r="AX52" i="63"/>
  <c r="AD52" i="63"/>
  <c r="AB52" i="63"/>
  <c r="Y52" i="63"/>
  <c r="AC52" i="63" s="1"/>
  <c r="Z52" i="63"/>
  <c r="N52" i="63"/>
  <c r="M52" i="63"/>
  <c r="BA51" i="63"/>
  <c r="AX51" i="63"/>
  <c r="AD51" i="63"/>
  <c r="AB51" i="63"/>
  <c r="Y51" i="63"/>
  <c r="AC51" i="63" s="1"/>
  <c r="Z51" i="63"/>
  <c r="N51" i="63"/>
  <c r="M51" i="63"/>
  <c r="BB51" i="63"/>
  <c r="BB50" i="63"/>
  <c r="BA50" i="63"/>
  <c r="AX50" i="63"/>
  <c r="AD50" i="63"/>
  <c r="Z50" i="63"/>
  <c r="Y50" i="63"/>
  <c r="AC50" i="63" s="1"/>
  <c r="AY50" i="63"/>
  <c r="N50" i="63"/>
  <c r="M50" i="63"/>
  <c r="AB50" i="63"/>
  <c r="BA49" i="63"/>
  <c r="AY49" i="63"/>
  <c r="AX49" i="63"/>
  <c r="AD49" i="63"/>
  <c r="Z49" i="63"/>
  <c r="Y49" i="63"/>
  <c r="AC49" i="63" s="1"/>
  <c r="N49" i="63"/>
  <c r="M49" i="63"/>
  <c r="BB49" i="63"/>
  <c r="BA48" i="63"/>
  <c r="AD48" i="63"/>
  <c r="Y48" i="63"/>
  <c r="AC48" i="63" s="1"/>
  <c r="Z48" i="63"/>
  <c r="N48" i="63"/>
  <c r="M48" i="63"/>
  <c r="BB48" i="63"/>
  <c r="AX47" i="63"/>
  <c r="AD47" i="63"/>
  <c r="Y47" i="63"/>
  <c r="AB47" i="63"/>
  <c r="Z47" i="63"/>
  <c r="M47" i="63"/>
  <c r="AC47" i="63" s="1"/>
  <c r="N47" i="63"/>
  <c r="BA46" i="63"/>
  <c r="AX46" i="63"/>
  <c r="AD46" i="63"/>
  <c r="Y46" i="63"/>
  <c r="AC46" i="63" s="1"/>
  <c r="Z46" i="63"/>
  <c r="N46" i="63"/>
  <c r="M46" i="63"/>
  <c r="AY46" i="63"/>
  <c r="BA45" i="63"/>
  <c r="AY45" i="63"/>
  <c r="AX45" i="63"/>
  <c r="AD45" i="63"/>
  <c r="AB45" i="63"/>
  <c r="Y45" i="63"/>
  <c r="AC45" i="63" s="1"/>
  <c r="Z45" i="63"/>
  <c r="N45" i="63"/>
  <c r="M45" i="63"/>
  <c r="BB45" i="63"/>
  <c r="BA44" i="63"/>
  <c r="AX44" i="63"/>
  <c r="AD44" i="63"/>
  <c r="Y44" i="63"/>
  <c r="AC44" i="63" s="1"/>
  <c r="AY44" i="63"/>
  <c r="Z44" i="63"/>
  <c r="M44" i="63"/>
  <c r="N44" i="63"/>
  <c r="BA43" i="63"/>
  <c r="AD43" i="63"/>
  <c r="AB43" i="63"/>
  <c r="Y43" i="63"/>
  <c r="AC43" i="63" s="1"/>
  <c r="Z43" i="63"/>
  <c r="N43" i="63"/>
  <c r="M43" i="63"/>
  <c r="BB43" i="63"/>
  <c r="AX42" i="63"/>
  <c r="AD42" i="63"/>
  <c r="Z42" i="63"/>
  <c r="Y42" i="63"/>
  <c r="AC42" i="63" s="1"/>
  <c r="AY42" i="63"/>
  <c r="N42" i="63"/>
  <c r="M42" i="63"/>
  <c r="BA41" i="63"/>
  <c r="AX41" i="63"/>
  <c r="AD41" i="63"/>
  <c r="AB41" i="63"/>
  <c r="Y41" i="63"/>
  <c r="Z41" i="63"/>
  <c r="N41" i="63"/>
  <c r="M41" i="63"/>
  <c r="AC41" i="63" s="1"/>
  <c r="BB41" i="63"/>
  <c r="BA40" i="63"/>
  <c r="AY40" i="63"/>
  <c r="AX40" i="63"/>
  <c r="AD40" i="63"/>
  <c r="AC40" i="63"/>
  <c r="Z40" i="63"/>
  <c r="Y40" i="63"/>
  <c r="N40" i="63"/>
  <c r="M40" i="63"/>
  <c r="BA39" i="63"/>
  <c r="AX39" i="63"/>
  <c r="AD39" i="63"/>
  <c r="AC39" i="63"/>
  <c r="Y39" i="63"/>
  <c r="Z39" i="63"/>
  <c r="N39" i="63"/>
  <c r="M39" i="63"/>
  <c r="AB39" i="63"/>
  <c r="BB38" i="63"/>
  <c r="BA38" i="63"/>
  <c r="AD38" i="63"/>
  <c r="AB38" i="63"/>
  <c r="Y38" i="63"/>
  <c r="Z38" i="63"/>
  <c r="BC38" i="63" s="1"/>
  <c r="M38" i="63"/>
  <c r="N38" i="63"/>
  <c r="AX37" i="63"/>
  <c r="AD37" i="63"/>
  <c r="AB37" i="63"/>
  <c r="Y37" i="63"/>
  <c r="AC37" i="63" s="1"/>
  <c r="Z37" i="63"/>
  <c r="M37" i="63"/>
  <c r="N37" i="63"/>
  <c r="BA36" i="63"/>
  <c r="AX36" i="63"/>
  <c r="AD36" i="63"/>
  <c r="Z36" i="63"/>
  <c r="Y36" i="63"/>
  <c r="N36" i="63"/>
  <c r="M36" i="63"/>
  <c r="AC36" i="63" s="1"/>
  <c r="BA35" i="63"/>
  <c r="AX35" i="63"/>
  <c r="AD35" i="63"/>
  <c r="Y35" i="63"/>
  <c r="AY35" i="63"/>
  <c r="Z35" i="63"/>
  <c r="M35" i="63"/>
  <c r="AC35" i="63" s="1"/>
  <c r="AB35" i="63"/>
  <c r="N35" i="63"/>
  <c r="BA34" i="63"/>
  <c r="AY34" i="63"/>
  <c r="AX34" i="63"/>
  <c r="AD34" i="63"/>
  <c r="AC34" i="63"/>
  <c r="Y34" i="63"/>
  <c r="Z34" i="63"/>
  <c r="N34" i="63"/>
  <c r="M34" i="63"/>
  <c r="AB34" i="63"/>
  <c r="BA33" i="63"/>
  <c r="AD33" i="63"/>
  <c r="Y33" i="63"/>
  <c r="Z33" i="63"/>
  <c r="N33" i="63"/>
  <c r="M33" i="63"/>
  <c r="L179" i="63"/>
  <c r="AX32" i="63"/>
  <c r="AD32" i="63"/>
  <c r="Y32" i="63"/>
  <c r="AC32" i="63" s="1"/>
  <c r="AY32" i="63"/>
  <c r="Z32" i="63"/>
  <c r="N32" i="63"/>
  <c r="M32" i="63"/>
  <c r="BA31" i="63"/>
  <c r="AY31" i="63"/>
  <c r="AX31" i="63"/>
  <c r="AD31" i="63"/>
  <c r="AB31" i="63"/>
  <c r="Y31" i="63"/>
  <c r="AC31" i="63" s="1"/>
  <c r="Z31" i="63"/>
  <c r="N31" i="63"/>
  <c r="M31" i="63"/>
  <c r="BB31" i="63"/>
  <c r="BA30" i="63"/>
  <c r="AX30" i="63"/>
  <c r="AD30" i="63"/>
  <c r="Z30" i="63"/>
  <c r="Y30" i="63"/>
  <c r="AC30" i="63" s="1"/>
  <c r="N30" i="63"/>
  <c r="M30" i="63"/>
  <c r="AB30" i="63"/>
  <c r="BB29" i="63"/>
  <c r="BA29" i="63"/>
  <c r="AY29" i="63"/>
  <c r="AX29" i="63"/>
  <c r="AD29" i="63"/>
  <c r="Z29" i="63"/>
  <c r="Y29" i="63"/>
  <c r="N29" i="63"/>
  <c r="M29" i="63"/>
  <c r="AC29" i="63" s="1"/>
  <c r="AB29" i="63"/>
  <c r="BA28" i="63"/>
  <c r="AD28" i="63"/>
  <c r="AC28" i="63"/>
  <c r="Y28" i="63"/>
  <c r="AB28" i="63"/>
  <c r="Z28" i="63"/>
  <c r="N28" i="63"/>
  <c r="M28" i="63"/>
  <c r="BB28" i="63"/>
  <c r="AY27" i="63"/>
  <c r="AX27" i="63"/>
  <c r="AD27" i="63"/>
  <c r="AC27" i="63"/>
  <c r="Y27" i="63"/>
  <c r="AB27" i="63"/>
  <c r="Z27" i="63"/>
  <c r="M27" i="63"/>
  <c r="N27" i="63"/>
  <c r="BA26" i="63"/>
  <c r="AY26" i="63"/>
  <c r="AX26" i="63"/>
  <c r="AD26" i="63"/>
  <c r="AB26" i="63"/>
  <c r="Y26" i="63"/>
  <c r="AC26" i="63" s="1"/>
  <c r="Z26" i="63"/>
  <c r="N26" i="63"/>
  <c r="M26" i="63"/>
  <c r="BA25" i="63"/>
  <c r="AX25" i="63"/>
  <c r="AD25" i="63"/>
  <c r="Z25" i="63"/>
  <c r="Y25" i="63"/>
  <c r="AC25" i="63" s="1"/>
  <c r="N25" i="63"/>
  <c r="M25" i="63"/>
  <c r="AB25" i="63"/>
  <c r="BA24" i="63"/>
  <c r="AX24" i="63"/>
  <c r="AD24" i="63"/>
  <c r="Y24" i="63"/>
  <c r="AC24" i="63" s="1"/>
  <c r="AY24" i="63"/>
  <c r="Z24" i="63"/>
  <c r="M24" i="63"/>
  <c r="N24" i="63"/>
  <c r="BA23" i="63"/>
  <c r="AD23" i="63"/>
  <c r="AB23" i="63"/>
  <c r="Y23" i="63"/>
  <c r="AC23" i="63" s="1"/>
  <c r="Z23" i="63"/>
  <c r="N23" i="63"/>
  <c r="M23" i="63"/>
  <c r="BB23" i="63"/>
  <c r="AY22" i="63"/>
  <c r="AX22" i="63"/>
  <c r="AD22" i="63"/>
  <c r="Z22" i="63"/>
  <c r="Y22" i="63"/>
  <c r="AC22" i="63" s="1"/>
  <c r="AB22" i="63"/>
  <c r="M22" i="63"/>
  <c r="N22" i="63"/>
  <c r="BB21" i="63"/>
  <c r="BA21" i="63"/>
  <c r="AX21" i="63"/>
  <c r="AD21" i="63"/>
  <c r="Z21" i="63"/>
  <c r="Y21" i="63"/>
  <c r="AY21" i="63"/>
  <c r="N21" i="63"/>
  <c r="M21" i="63"/>
  <c r="AC21" i="63" s="1"/>
  <c r="AB21" i="63"/>
  <c r="BA20" i="63"/>
  <c r="AY20" i="63"/>
  <c r="AX20" i="63"/>
  <c r="AD20" i="63"/>
  <c r="Z20" i="63"/>
  <c r="Y20" i="63"/>
  <c r="N20" i="63"/>
  <c r="M20" i="63"/>
  <c r="AC20" i="63" s="1"/>
  <c r="BA19" i="63"/>
  <c r="AY19" i="63"/>
  <c r="AX19" i="63"/>
  <c r="AD19" i="63"/>
  <c r="AB19" i="63"/>
  <c r="Z19" i="63"/>
  <c r="Y19" i="63"/>
  <c r="AC19" i="63" s="1"/>
  <c r="BB19" i="63"/>
  <c r="N19" i="63"/>
  <c r="M19" i="63"/>
  <c r="BB18" i="63"/>
  <c r="BA18" i="63"/>
  <c r="AD18" i="63"/>
  <c r="AB18" i="63"/>
  <c r="Y18" i="63"/>
  <c r="Z18" i="63"/>
  <c r="M18" i="63"/>
  <c r="N18" i="63"/>
  <c r="AX17" i="63"/>
  <c r="AD17" i="63"/>
  <c r="AB17" i="63"/>
  <c r="Y17" i="63"/>
  <c r="AC17" i="63" s="1"/>
  <c r="AY17" i="63"/>
  <c r="Z17" i="63"/>
  <c r="M17" i="63"/>
  <c r="N17" i="63"/>
  <c r="BA16" i="63"/>
  <c r="AX16" i="63"/>
  <c r="AD16" i="63"/>
  <c r="AC16" i="63"/>
  <c r="Z16" i="63"/>
  <c r="Y16" i="63"/>
  <c r="AB16" i="63"/>
  <c r="N16" i="63"/>
  <c r="M16" i="63"/>
  <c r="BA15" i="63"/>
  <c r="AX15" i="63"/>
  <c r="AD15" i="63"/>
  <c r="AB15" i="63"/>
  <c r="Y15" i="63"/>
  <c r="Z15" i="63"/>
  <c r="M15" i="63"/>
  <c r="AC15" i="63" s="1"/>
  <c r="N15" i="63"/>
  <c r="BA14" i="63"/>
  <c r="AY14" i="63"/>
  <c r="AX14" i="63"/>
  <c r="AD14" i="63"/>
  <c r="AC14" i="63"/>
  <c r="Y14" i="63"/>
  <c r="Z14" i="63"/>
  <c r="N14" i="63"/>
  <c r="M14" i="63"/>
  <c r="AB14" i="63"/>
  <c r="BA13" i="63"/>
  <c r="AD13" i="63"/>
  <c r="AC13" i="63"/>
  <c r="Z13" i="63"/>
  <c r="Y13" i="63"/>
  <c r="N13" i="63"/>
  <c r="M13" i="63"/>
  <c r="AX12" i="63"/>
  <c r="AD12" i="63"/>
  <c r="Y12" i="63"/>
  <c r="AC12" i="63" s="1"/>
  <c r="AY12" i="63"/>
  <c r="Z12" i="63"/>
  <c r="N12" i="63"/>
  <c r="M12" i="63"/>
  <c r="BA11" i="63"/>
  <c r="AX11" i="63"/>
  <c r="AD11" i="63"/>
  <c r="AB11" i="63"/>
  <c r="Y11" i="63"/>
  <c r="AC11" i="63" s="1"/>
  <c r="Z11" i="63"/>
  <c r="N11" i="63"/>
  <c r="M11" i="63"/>
  <c r="BB11" i="63"/>
  <c r="BA10" i="63"/>
  <c r="AX10" i="63"/>
  <c r="AD10" i="63"/>
  <c r="Z10" i="63"/>
  <c r="Y10" i="63"/>
  <c r="AC10" i="63" s="1"/>
  <c r="N10" i="63"/>
  <c r="M10" i="63"/>
  <c r="AB10" i="63"/>
  <c r="BB9" i="63"/>
  <c r="BA9" i="63"/>
  <c r="AY9" i="63"/>
  <c r="AX9" i="63"/>
  <c r="AD9" i="63"/>
  <c r="Z9" i="63"/>
  <c r="Y9" i="63"/>
  <c r="AC9" i="63" s="1"/>
  <c r="N9" i="63"/>
  <c r="M9" i="63"/>
  <c r="AB9" i="63"/>
  <c r="BB8" i="63"/>
  <c r="BA8" i="63"/>
  <c r="AD8" i="63"/>
  <c r="Y8" i="63"/>
  <c r="AC8" i="63" s="1"/>
  <c r="Z8" i="63"/>
  <c r="N8" i="63"/>
  <c r="M8" i="63"/>
  <c r="AY7" i="63"/>
  <c r="AX7" i="63"/>
  <c r="AD7" i="63"/>
  <c r="Y7" i="63"/>
  <c r="AB7" i="63"/>
  <c r="Z7" i="63"/>
  <c r="M7" i="63"/>
  <c r="AC7" i="63" s="1"/>
  <c r="N7" i="63"/>
  <c r="BA6" i="63"/>
  <c r="AX6" i="63"/>
  <c r="AD6" i="63"/>
  <c r="Z6" i="63"/>
  <c r="Y6" i="63"/>
  <c r="AC6" i="63" s="1"/>
  <c r="BB6" i="63"/>
  <c r="N6" i="63"/>
  <c r="M6" i="63"/>
  <c r="AB6" i="63"/>
  <c r="BB5" i="63"/>
  <c r="BA5" i="63"/>
  <c r="AX5" i="63"/>
  <c r="AD5" i="63"/>
  <c r="AB5" i="63"/>
  <c r="Y5" i="63"/>
  <c r="AC5" i="63" s="1"/>
  <c r="AY5" i="63"/>
  <c r="Z5" i="63"/>
  <c r="M5" i="63"/>
  <c r="N5" i="63"/>
  <c r="BA4" i="63"/>
  <c r="AY4" i="63"/>
  <c r="AX4" i="63"/>
  <c r="AD4" i="63"/>
  <c r="AB4" i="63"/>
  <c r="Y4" i="63"/>
  <c r="AC4" i="63" s="1"/>
  <c r="Z4" i="63"/>
  <c r="M4" i="63"/>
  <c r="BB4" i="63"/>
  <c r="N4" i="63"/>
  <c r="BB3" i="63"/>
  <c r="BA3" i="63"/>
  <c r="AD3" i="63"/>
  <c r="Y3" i="63"/>
  <c r="Z3" i="63"/>
  <c r="N3" i="63"/>
  <c r="M3" i="63"/>
  <c r="BC115" i="63" l="1"/>
  <c r="BC119" i="63"/>
  <c r="AZ27" i="63"/>
  <c r="BC66" i="63"/>
  <c r="AZ95" i="63"/>
  <c r="BC75" i="63"/>
  <c r="AZ131" i="63"/>
  <c r="AZ91" i="63"/>
  <c r="AZ22" i="63"/>
  <c r="AZ62" i="63"/>
  <c r="BC96" i="63"/>
  <c r="Z158" i="63"/>
  <c r="BC30" i="63"/>
  <c r="AZ125" i="63"/>
  <c r="BC8" i="63"/>
  <c r="AZ19" i="63"/>
  <c r="BC68" i="63"/>
  <c r="BC85" i="63"/>
  <c r="AZ17" i="63"/>
  <c r="AZ97" i="63"/>
  <c r="AZ144" i="63"/>
  <c r="AZ147" i="63"/>
  <c r="BC148" i="63"/>
  <c r="AZ66" i="63"/>
  <c r="BC84" i="63"/>
  <c r="AZ5" i="63"/>
  <c r="BC90" i="63"/>
  <c r="AZ115" i="63"/>
  <c r="AZ124" i="63"/>
  <c r="BC138" i="63"/>
  <c r="BC20" i="63"/>
  <c r="BC50" i="63"/>
  <c r="AZ57" i="63"/>
  <c r="AZ69" i="63"/>
  <c r="BC118" i="63"/>
  <c r="AZ122" i="63"/>
  <c r="BC146" i="63"/>
  <c r="BC6" i="63"/>
  <c r="AZ6" i="63"/>
  <c r="BC108" i="63"/>
  <c r="AZ42" i="63"/>
  <c r="BC43" i="63"/>
  <c r="BC48" i="63"/>
  <c r="BC53" i="63"/>
  <c r="BC101" i="63"/>
  <c r="BC103" i="63"/>
  <c r="BC104" i="63"/>
  <c r="AZ105" i="63"/>
  <c r="BC105" i="63"/>
  <c r="AZ121" i="63"/>
  <c r="BC129" i="63"/>
  <c r="Z182" i="63"/>
  <c r="BC26" i="63"/>
  <c r="AZ117" i="63"/>
  <c r="AZ7" i="63"/>
  <c r="BC10" i="63"/>
  <c r="AZ32" i="63"/>
  <c r="AZ49" i="63"/>
  <c r="AZ72" i="63"/>
  <c r="BC73" i="63"/>
  <c r="AZ85" i="63"/>
  <c r="BC95" i="63"/>
  <c r="BC98" i="63"/>
  <c r="BA159" i="63"/>
  <c r="BC28" i="63"/>
  <c r="AZ39" i="63"/>
  <c r="BC63" i="63"/>
  <c r="AZ12" i="63"/>
  <c r="BC23" i="63"/>
  <c r="AZ47" i="63"/>
  <c r="BC60" i="63"/>
  <c r="AZ74" i="63"/>
  <c r="AZ84" i="63"/>
  <c r="BC94" i="63"/>
  <c r="AZ116" i="63"/>
  <c r="AZ132" i="63"/>
  <c r="AZ146" i="63"/>
  <c r="AD158" i="63"/>
  <c r="AZ4" i="63"/>
  <c r="BC13" i="63"/>
  <c r="BC24" i="63"/>
  <c r="BC46" i="63"/>
  <c r="AZ77" i="63"/>
  <c r="AZ96" i="63"/>
  <c r="AZ107" i="63"/>
  <c r="BC121" i="63"/>
  <c r="BC125" i="63"/>
  <c r="AZ136" i="63"/>
  <c r="AZ137" i="63"/>
  <c r="AZ149" i="63"/>
  <c r="BA158" i="63"/>
  <c r="AX159" i="63"/>
  <c r="AX157" i="63"/>
  <c r="AA159" i="63"/>
  <c r="AX154" i="63"/>
  <c r="AX153" i="63"/>
  <c r="Z177" i="63"/>
  <c r="Z167" i="63"/>
  <c r="Z162" i="63"/>
  <c r="Z153" i="63"/>
  <c r="Z161" i="63"/>
  <c r="BC3" i="63"/>
  <c r="BC11" i="63"/>
  <c r="AZ11" i="63"/>
  <c r="AZ37" i="63"/>
  <c r="AZ14" i="63"/>
  <c r="BC14" i="63"/>
  <c r="AZ24" i="63"/>
  <c r="BC35" i="63"/>
  <c r="Y177" i="63"/>
  <c r="Y167" i="63"/>
  <c r="Y162" i="63"/>
  <c r="Y161" i="63"/>
  <c r="Y153" i="63"/>
  <c r="AC3" i="63"/>
  <c r="BC5" i="63"/>
  <c r="AY10" i="63"/>
  <c r="AZ15" i="63"/>
  <c r="BC16" i="63"/>
  <c r="AZ16" i="63"/>
  <c r="AZ26" i="63"/>
  <c r="BC31" i="63"/>
  <c r="AZ31" i="63"/>
  <c r="M179" i="63"/>
  <c r="M169" i="63"/>
  <c r="M155" i="63"/>
  <c r="AZ41" i="63"/>
  <c r="BC41" i="63"/>
  <c r="AB49" i="63"/>
  <c r="AZ52" i="63"/>
  <c r="AY57" i="63"/>
  <c r="AY62" i="63"/>
  <c r="AB68" i="63"/>
  <c r="BB68" i="63"/>
  <c r="AZ80" i="63"/>
  <c r="BC80" i="63"/>
  <c r="M154" i="63"/>
  <c r="M168" i="63"/>
  <c r="M178" i="63"/>
  <c r="AY11" i="63"/>
  <c r="BB16" i="63"/>
  <c r="AB36" i="63"/>
  <c r="BB36" i="63"/>
  <c r="BC15" i="63"/>
  <c r="AZ21" i="63"/>
  <c r="BC21" i="63"/>
  <c r="BB10" i="63"/>
  <c r="AY15" i="63"/>
  <c r="AY153" i="63" s="1"/>
  <c r="Y178" i="63"/>
  <c r="Y168" i="63"/>
  <c r="Y154" i="63"/>
  <c r="AC18" i="63"/>
  <c r="AC154" i="63" s="1"/>
  <c r="BC19" i="63"/>
  <c r="AZ20" i="63"/>
  <c r="AY25" i="63"/>
  <c r="AY154" i="63" s="1"/>
  <c r="BB26" i="63"/>
  <c r="AZ29" i="63"/>
  <c r="BC29" i="63"/>
  <c r="AZ30" i="63"/>
  <c r="BC36" i="63"/>
  <c r="AZ36" i="63"/>
  <c r="AC38" i="63"/>
  <c r="AY41" i="63"/>
  <c r="AZ46" i="63"/>
  <c r="AY69" i="63"/>
  <c r="BB71" i="63"/>
  <c r="AY71" i="63"/>
  <c r="AY72" i="63"/>
  <c r="Z181" i="63"/>
  <c r="Z171" i="63"/>
  <c r="Z157" i="63"/>
  <c r="BC78" i="63"/>
  <c r="AB81" i="63"/>
  <c r="AZ82" i="63"/>
  <c r="AZ119" i="63"/>
  <c r="AZ10" i="63"/>
  <c r="BB20" i="63"/>
  <c r="AB20" i="63"/>
  <c r="AB154" i="63" s="1"/>
  <c r="AB12" i="63"/>
  <c r="AA154" i="63"/>
  <c r="AB24" i="63"/>
  <c r="AY30" i="63"/>
  <c r="AB32" i="63"/>
  <c r="Z179" i="63"/>
  <c r="Z169" i="63"/>
  <c r="Z155" i="63"/>
  <c r="BC33" i="63"/>
  <c r="AZ34" i="63"/>
  <c r="BC34" i="63"/>
  <c r="AZ35" i="63"/>
  <c r="BB39" i="63"/>
  <c r="AB42" i="63"/>
  <c r="BB46" i="63"/>
  <c r="AY51" i="63"/>
  <c r="AB56" i="63"/>
  <c r="BB56" i="63"/>
  <c r="M180" i="63"/>
  <c r="M170" i="63"/>
  <c r="M156" i="63"/>
  <c r="AZ61" i="63"/>
  <c r="BC61" i="63"/>
  <c r="AY64" i="63"/>
  <c r="BB74" i="63"/>
  <c r="AY74" i="63"/>
  <c r="AB74" i="63"/>
  <c r="AC80" i="63"/>
  <c r="AY101" i="63"/>
  <c r="BB101" i="63"/>
  <c r="AD161" i="63"/>
  <c r="AD153" i="63"/>
  <c r="N178" i="63"/>
  <c r="N168" i="63"/>
  <c r="N154" i="63"/>
  <c r="AZ9" i="63"/>
  <c r="BC9" i="63"/>
  <c r="Z178" i="63"/>
  <c r="Z168" i="63"/>
  <c r="Z154" i="63"/>
  <c r="AD155" i="63"/>
  <c r="AB8" i="63"/>
  <c r="L177" i="63"/>
  <c r="L167" i="63"/>
  <c r="L162" i="63"/>
  <c r="L161" i="63"/>
  <c r="L153" i="63"/>
  <c r="AB3" i="63"/>
  <c r="BC4" i="63"/>
  <c r="BB24" i="63"/>
  <c r="BB25" i="63"/>
  <c r="BB30" i="63"/>
  <c r="AX155" i="63"/>
  <c r="AY39" i="63"/>
  <c r="BB40" i="63"/>
  <c r="AB40" i="63"/>
  <c r="BC44" i="63"/>
  <c r="AB48" i="63"/>
  <c r="BC51" i="63"/>
  <c r="AZ51" i="63"/>
  <c r="Z180" i="63"/>
  <c r="Z170" i="63"/>
  <c r="Z156" i="63"/>
  <c r="BC58" i="63"/>
  <c r="AY61" i="63"/>
  <c r="AZ67" i="63"/>
  <c r="BC86" i="63"/>
  <c r="AZ86" i="63"/>
  <c r="BC91" i="63"/>
  <c r="AB110" i="63"/>
  <c r="BC111" i="63"/>
  <c r="AZ111" i="63"/>
  <c r="Y179" i="63"/>
  <c r="AC179" i="63" s="1"/>
  <c r="Y169" i="63"/>
  <c r="AC169" i="63" s="1"/>
  <c r="Y155" i="63"/>
  <c r="BC45" i="63"/>
  <c r="AZ45" i="63"/>
  <c r="AZ50" i="63"/>
  <c r="AZ55" i="63"/>
  <c r="BC56" i="63"/>
  <c r="AZ56" i="63"/>
  <c r="BB65" i="63"/>
  <c r="AY65" i="63"/>
  <c r="BC71" i="63"/>
  <c r="AZ71" i="63"/>
  <c r="AZ130" i="63"/>
  <c r="BC130" i="63"/>
  <c r="BC25" i="63"/>
  <c r="AZ25" i="63"/>
  <c r="AZ54" i="63"/>
  <c r="BC54" i="63"/>
  <c r="BC55" i="63"/>
  <c r="N162" i="63"/>
  <c r="N161" i="63"/>
  <c r="N153" i="63"/>
  <c r="N167" i="63"/>
  <c r="N177" i="63"/>
  <c r="AY16" i="63"/>
  <c r="BA155" i="63"/>
  <c r="AY37" i="63"/>
  <c r="BC39" i="63"/>
  <c r="BC40" i="63"/>
  <c r="AZ40" i="63"/>
  <c r="AZ44" i="63"/>
  <c r="AB46" i="63"/>
  <c r="Y180" i="63"/>
  <c r="Y170" i="63"/>
  <c r="Y156" i="63"/>
  <c r="AC58" i="63"/>
  <c r="AC156" i="63" s="1"/>
  <c r="AZ59" i="63"/>
  <c r="BC59" i="63"/>
  <c r="AX156" i="63"/>
  <c r="BB60" i="63"/>
  <c r="AB60" i="63"/>
  <c r="AB69" i="63"/>
  <c r="BC81" i="63"/>
  <c r="AZ81" i="63"/>
  <c r="BC83" i="63"/>
  <c r="BB95" i="63"/>
  <c r="AY95" i="63"/>
  <c r="AB95" i="63"/>
  <c r="BC109" i="63"/>
  <c r="AZ109" i="63"/>
  <c r="AC33" i="63"/>
  <c r="AC155" i="63" s="1"/>
  <c r="AY36" i="63"/>
  <c r="AA156" i="63"/>
  <c r="AB61" i="63"/>
  <c r="BC64" i="63"/>
  <c r="AZ64" i="63"/>
  <c r="BC70" i="63"/>
  <c r="AZ70" i="63"/>
  <c r="AC73" i="63"/>
  <c r="AZ76" i="63"/>
  <c r="AZ79" i="63"/>
  <c r="BC79" i="63"/>
  <c r="AZ87" i="63"/>
  <c r="AZ90" i="63"/>
  <c r="M158" i="63"/>
  <c r="M182" i="63"/>
  <c r="M172" i="63"/>
  <c r="BC106" i="63"/>
  <c r="AZ106" i="63"/>
  <c r="N183" i="63"/>
  <c r="N173" i="63"/>
  <c r="N159" i="63"/>
  <c r="BC18" i="63"/>
  <c r="AB44" i="63"/>
  <c r="BB44" i="63"/>
  <c r="BC65" i="63"/>
  <c r="AZ65" i="63"/>
  <c r="BB75" i="63"/>
  <c r="BC89" i="63"/>
  <c r="AZ89" i="63"/>
  <c r="AZ99" i="63"/>
  <c r="BC99" i="63"/>
  <c r="BC110" i="63"/>
  <c r="AZ110" i="63"/>
  <c r="AB77" i="63"/>
  <c r="AD157" i="63"/>
  <c r="AB96" i="63"/>
  <c r="AZ101" i="63"/>
  <c r="AY104" i="63"/>
  <c r="AB104" i="63"/>
  <c r="AB109" i="63"/>
  <c r="AB114" i="63"/>
  <c r="BB114" i="63"/>
  <c r="BC120" i="63"/>
  <c r="AZ120" i="63"/>
  <c r="Y160" i="63"/>
  <c r="AC133" i="63"/>
  <c r="M177" i="63"/>
  <c r="M184" i="63" s="1"/>
  <c r="M167" i="63"/>
  <c r="M174" i="63" s="1"/>
  <c r="M162" i="63"/>
  <c r="M161" i="63"/>
  <c r="M153" i="63"/>
  <c r="AY6" i="63"/>
  <c r="BB13" i="63"/>
  <c r="AB13" i="63"/>
  <c r="BB14" i="63"/>
  <c r="BB15" i="63"/>
  <c r="BA154" i="63"/>
  <c r="X179" i="63"/>
  <c r="AB179" i="63" s="1"/>
  <c r="X169" i="63"/>
  <c r="AB169" i="63" s="1"/>
  <c r="X155" i="63"/>
  <c r="BB33" i="63"/>
  <c r="AB33" i="63"/>
  <c r="BB34" i="63"/>
  <c r="BB35" i="63"/>
  <c r="BC49" i="63"/>
  <c r="BB53" i="63"/>
  <c r="AB53" i="63"/>
  <c r="BB54" i="63"/>
  <c r="BB55" i="63"/>
  <c r="BA156" i="63"/>
  <c r="AZ60" i="63"/>
  <c r="BC69" i="63"/>
  <c r="BB73" i="63"/>
  <c r="AB73" i="63"/>
  <c r="N157" i="63"/>
  <c r="N181" i="63"/>
  <c r="N171" i="63"/>
  <c r="BB81" i="63"/>
  <c r="AY87" i="63"/>
  <c r="BB88" i="63"/>
  <c r="AY92" i="63"/>
  <c r="X182" i="63"/>
  <c r="AB182" i="63" s="1"/>
  <c r="X172" i="63"/>
  <c r="AB172" i="63" s="1"/>
  <c r="BB98" i="63"/>
  <c r="AB98" i="63"/>
  <c r="X158" i="63"/>
  <c r="AB101" i="63"/>
  <c r="AY110" i="63"/>
  <c r="BB111" i="63"/>
  <c r="AZ129" i="63"/>
  <c r="BC131" i="63"/>
  <c r="BB64" i="63"/>
  <c r="BB66" i="63"/>
  <c r="AY66" i="63"/>
  <c r="AY75" i="63"/>
  <c r="AY82" i="63"/>
  <c r="BC88" i="63"/>
  <c r="Y182" i="63"/>
  <c r="Y172" i="63"/>
  <c r="Y158" i="63"/>
  <c r="AC98" i="63"/>
  <c r="AC158" i="63" s="1"/>
  <c r="BC100" i="63"/>
  <c r="AZ100" i="63"/>
  <c r="AY107" i="63"/>
  <c r="BB109" i="63"/>
  <c r="AA133" i="63"/>
  <c r="AA160" i="63" s="1"/>
  <c r="BB134" i="63"/>
  <c r="AB134" i="63"/>
  <c r="AZ139" i="63"/>
  <c r="BC139" i="63"/>
  <c r="N180" i="63"/>
  <c r="N170" i="63"/>
  <c r="N156" i="63"/>
  <c r="AY67" i="63"/>
  <c r="X157" i="63"/>
  <c r="X181" i="63"/>
  <c r="AB181" i="63" s="1"/>
  <c r="X171" i="63"/>
  <c r="AB171" i="63" s="1"/>
  <c r="AY85" i="63"/>
  <c r="AX158" i="63"/>
  <c r="AB103" i="63"/>
  <c r="X183" i="63"/>
  <c r="AB183" i="63" s="1"/>
  <c r="X173" i="63"/>
  <c r="AB173" i="63" s="1"/>
  <c r="X159" i="63"/>
  <c r="BB113" i="63"/>
  <c r="AY124" i="63"/>
  <c r="BB124" i="63"/>
  <c r="AB126" i="63"/>
  <c r="AY126" i="63"/>
  <c r="BB126" i="63"/>
  <c r="AB148" i="63"/>
  <c r="BB148" i="63"/>
  <c r="BA148" i="63"/>
  <c r="AA148" i="63"/>
  <c r="AY47" i="63"/>
  <c r="AY97" i="63"/>
  <c r="AB99" i="63"/>
  <c r="BB99" i="63"/>
  <c r="AB119" i="63"/>
  <c r="BB119" i="63"/>
  <c r="X161" i="63"/>
  <c r="X153" i="63"/>
  <c r="X177" i="63"/>
  <c r="X167" i="63"/>
  <c r="X162" i="63"/>
  <c r="AX161" i="63"/>
  <c r="L178" i="63"/>
  <c r="L168" i="63"/>
  <c r="L154" i="63"/>
  <c r="AA155" i="63"/>
  <c r="L180" i="63"/>
  <c r="L170" i="63"/>
  <c r="L156" i="63"/>
  <c r="BC74" i="63"/>
  <c r="AZ75" i="63"/>
  <c r="Y181" i="63"/>
  <c r="Y171" i="63"/>
  <c r="Y157" i="63"/>
  <c r="AC78" i="63"/>
  <c r="AC157" i="63" s="1"/>
  <c r="BB78" i="63"/>
  <c r="AY96" i="63"/>
  <c r="AA158" i="63"/>
  <c r="AY99" i="63"/>
  <c r="AZ104" i="63"/>
  <c r="AY105" i="63"/>
  <c r="Y159" i="63"/>
  <c r="Y183" i="63"/>
  <c r="AC113" i="63"/>
  <c r="AC159" i="63" s="1"/>
  <c r="AY115" i="63"/>
  <c r="BC116" i="63"/>
  <c r="BC128" i="63"/>
  <c r="AY132" i="63"/>
  <c r="N160" i="63"/>
  <c r="BC133" i="63"/>
  <c r="BC126" i="63"/>
  <c r="AZ126" i="63"/>
  <c r="AB120" i="63"/>
  <c r="BB120" i="63"/>
  <c r="AB140" i="63"/>
  <c r="BB140" i="63"/>
  <c r="AA161" i="63"/>
  <c r="AA153" i="63"/>
  <c r="BA161" i="63"/>
  <c r="BA153" i="63"/>
  <c r="X178" i="63"/>
  <c r="AB178" i="63" s="1"/>
  <c r="X168" i="63"/>
  <c r="AB168" i="63" s="1"/>
  <c r="X154" i="63"/>
  <c r="N179" i="63"/>
  <c r="N169" i="63"/>
  <c r="N155" i="63"/>
  <c r="X180" i="63"/>
  <c r="AB180" i="63" s="1"/>
  <c r="X170" i="63"/>
  <c r="AB170" i="63" s="1"/>
  <c r="X156" i="63"/>
  <c r="L157" i="63"/>
  <c r="L181" i="63"/>
  <c r="L171" i="63"/>
  <c r="AB78" i="63"/>
  <c r="AB79" i="63"/>
  <c r="AY79" i="63"/>
  <c r="AB94" i="63"/>
  <c r="N182" i="63"/>
  <c r="N172" i="63"/>
  <c r="N158" i="63"/>
  <c r="AZ112" i="63"/>
  <c r="L183" i="63"/>
  <c r="L173" i="63"/>
  <c r="AC173" i="63" s="1"/>
  <c r="L159" i="63"/>
  <c r="AD159" i="63"/>
  <c r="BB115" i="63"/>
  <c r="BB118" i="63"/>
  <c r="AB118" i="63"/>
  <c r="AB124" i="63"/>
  <c r="BC124" i="63"/>
  <c r="AZ127" i="63"/>
  <c r="X160" i="63"/>
  <c r="BB133" i="63"/>
  <c r="AB133" i="63"/>
  <c r="BC134" i="63"/>
  <c r="AZ134" i="63"/>
  <c r="BC135" i="63"/>
  <c r="AZ135" i="63"/>
  <c r="BC136" i="63"/>
  <c r="AD154" i="63"/>
  <c r="AD156" i="63"/>
  <c r="M157" i="63"/>
  <c r="M181" i="63"/>
  <c r="M171" i="63"/>
  <c r="BC93" i="63"/>
  <c r="Z159" i="63"/>
  <c r="Z183" i="63"/>
  <c r="BC113" i="63"/>
  <c r="BC114" i="63"/>
  <c r="AB129" i="63"/>
  <c r="AD134" i="63"/>
  <c r="AY134" i="63"/>
  <c r="BA136" i="63"/>
  <c r="BA140" i="63"/>
  <c r="BB143" i="63"/>
  <c r="AB143" i="63"/>
  <c r="AX150" i="63"/>
  <c r="AB151" i="63"/>
  <c r="AZ140" i="63"/>
  <c r="BC140" i="63"/>
  <c r="AA142" i="63"/>
  <c r="BC145" i="63"/>
  <c r="AZ145" i="63"/>
  <c r="BA135" i="63"/>
  <c r="AY140" i="63"/>
  <c r="AA144" i="63"/>
  <c r="BA144" i="63"/>
  <c r="AX144" i="63"/>
  <c r="AB149" i="63"/>
  <c r="AZ150" i="63"/>
  <c r="BC150" i="63"/>
  <c r="AX151" i="63"/>
  <c r="BA146" i="63"/>
  <c r="AX146" i="63"/>
  <c r="AA146" i="63"/>
  <c r="AX137" i="63"/>
  <c r="AZ141" i="63"/>
  <c r="BC141" i="63"/>
  <c r="AZ152" i="63"/>
  <c r="AA157" i="63"/>
  <c r="BA157" i="63"/>
  <c r="AY102" i="63"/>
  <c r="BB125" i="63"/>
  <c r="AY125" i="63"/>
  <c r="BB139" i="63"/>
  <c r="BA143" i="63"/>
  <c r="AA143" i="63"/>
  <c r="AX149" i="63"/>
  <c r="AY152" i="63"/>
  <c r="Z172" i="63"/>
  <c r="AZ94" i="63"/>
  <c r="L158" i="63"/>
  <c r="L182" i="63"/>
  <c r="L172" i="63"/>
  <c r="AZ114" i="63"/>
  <c r="BC144" i="63"/>
  <c r="BB145" i="63"/>
  <c r="M183" i="63"/>
  <c r="M173" i="63"/>
  <c r="AB137" i="63"/>
  <c r="AY141" i="63"/>
  <c r="AD149" i="63"/>
  <c r="AY149" i="63"/>
  <c r="AY150" i="63"/>
  <c r="AZ142" i="63"/>
  <c r="AZ151" i="63"/>
  <c r="BC151" i="63"/>
  <c r="AI48" i="63"/>
  <c r="AH33" i="63"/>
  <c r="AT28" i="63"/>
  <c r="AS18" i="63"/>
  <c r="AO4" i="63"/>
  <c r="AU143" i="63"/>
  <c r="AR68" i="63"/>
  <c r="AV73" i="63"/>
  <c r="AJ88" i="63"/>
  <c r="AF128" i="63"/>
  <c r="AV58" i="63"/>
  <c r="AM69" i="63"/>
  <c r="AU58" i="63"/>
  <c r="AG63" i="63"/>
  <c r="AH3" i="63"/>
  <c r="AO34" i="63"/>
  <c r="AV3" i="63"/>
  <c r="AH133" i="63"/>
  <c r="AF43" i="63"/>
  <c r="AK73" i="63"/>
  <c r="AR123" i="63"/>
  <c r="AM119" i="63"/>
  <c r="AO104" i="63"/>
  <c r="AH18" i="63"/>
  <c r="AM84" i="63"/>
  <c r="AM64" i="63"/>
  <c r="AP139" i="63"/>
  <c r="AL144" i="63"/>
  <c r="AF38" i="63"/>
  <c r="AK118" i="63"/>
  <c r="AI103" i="63"/>
  <c r="AH83" i="63"/>
  <c r="AT108" i="63"/>
  <c r="AS108" i="63"/>
  <c r="AU123" i="63"/>
  <c r="AH68" i="63"/>
  <c r="AU78" i="63"/>
  <c r="AF23" i="63"/>
  <c r="AW8" i="63"/>
  <c r="AM4" i="63"/>
  <c r="AT58" i="63"/>
  <c r="AO119" i="63"/>
  <c r="AW148" i="63"/>
  <c r="AG8" i="63"/>
  <c r="AQ74" i="63"/>
  <c r="AP64" i="63"/>
  <c r="AR128" i="63"/>
  <c r="AQ59" i="63"/>
  <c r="AU103" i="63"/>
  <c r="AN64" i="63"/>
  <c r="AW3" i="63"/>
  <c r="AV63" i="63"/>
  <c r="AN109" i="63"/>
  <c r="AT93" i="63"/>
  <c r="AW18" i="63"/>
  <c r="AR3" i="63"/>
  <c r="AU148" i="63"/>
  <c r="AJ48" i="63"/>
  <c r="AG58" i="63"/>
  <c r="AI68" i="63"/>
  <c r="AP29" i="63"/>
  <c r="AR33" i="63"/>
  <c r="AF83" i="63"/>
  <c r="AW38" i="63"/>
  <c r="AG13" i="63"/>
  <c r="AL14" i="63"/>
  <c r="AN139" i="63"/>
  <c r="AV118" i="63"/>
  <c r="AU128" i="63"/>
  <c r="AO94" i="63"/>
  <c r="AF148" i="63"/>
  <c r="AN24" i="63"/>
  <c r="AL84" i="63"/>
  <c r="AP54" i="63"/>
  <c r="AN144" i="63"/>
  <c r="AT43" i="63"/>
  <c r="AP114" i="63"/>
  <c r="AV68" i="63"/>
  <c r="AG73" i="63"/>
  <c r="AL64" i="63"/>
  <c r="AV103" i="63"/>
  <c r="AU33" i="63"/>
  <c r="AH38" i="63"/>
  <c r="AG108" i="63"/>
  <c r="AK68" i="63"/>
  <c r="AJ28" i="63"/>
  <c r="AH113" i="63"/>
  <c r="AJ98" i="63"/>
  <c r="AK48" i="63"/>
  <c r="AQ109" i="63"/>
  <c r="AG33" i="63"/>
  <c r="AI88" i="63"/>
  <c r="AI78" i="63"/>
  <c r="AV88" i="63"/>
  <c r="AF98" i="63"/>
  <c r="AO139" i="63"/>
  <c r="AT3" i="63"/>
  <c r="AO44" i="63"/>
  <c r="AN84" i="63"/>
  <c r="AK33" i="63"/>
  <c r="AM19" i="63"/>
  <c r="AR63" i="63"/>
  <c r="AS133" i="63"/>
  <c r="AK123" i="63"/>
  <c r="AH123" i="63"/>
  <c r="AR53" i="63"/>
  <c r="AT48" i="63"/>
  <c r="AW73" i="63"/>
  <c r="AL109" i="63"/>
  <c r="AU8" i="63"/>
  <c r="AO24" i="63"/>
  <c r="AS28" i="63"/>
  <c r="AV38" i="63"/>
  <c r="AS118" i="63"/>
  <c r="AT103" i="63"/>
  <c r="AR143" i="63"/>
  <c r="AI93" i="63"/>
  <c r="AQ14" i="63"/>
  <c r="AR83" i="63"/>
  <c r="AU138" i="63"/>
  <c r="AL99" i="63"/>
  <c r="AQ84" i="63"/>
  <c r="AU38" i="63"/>
  <c r="AL69" i="63"/>
  <c r="AW53" i="63"/>
  <c r="AH148" i="63"/>
  <c r="AI133" i="63"/>
  <c r="AS13" i="63"/>
  <c r="AP104" i="63"/>
  <c r="AO64" i="63"/>
  <c r="AW123" i="63"/>
  <c r="AN134" i="63"/>
  <c r="AI58" i="63"/>
  <c r="AT68" i="63"/>
  <c r="AM44" i="63"/>
  <c r="AF18" i="63"/>
  <c r="AH23" i="63"/>
  <c r="AM54" i="63"/>
  <c r="AJ68" i="63"/>
  <c r="AF103" i="63"/>
  <c r="AM29" i="63"/>
  <c r="AV98" i="63"/>
  <c r="AH128" i="63"/>
  <c r="AO99" i="63"/>
  <c r="AI38" i="63"/>
  <c r="AW143" i="63"/>
  <c r="AR148" i="63"/>
  <c r="AU63" i="63"/>
  <c r="AV138" i="63"/>
  <c r="AG118" i="63"/>
  <c r="AS63" i="63"/>
  <c r="AJ143" i="63"/>
  <c r="AU93" i="63"/>
  <c r="AL24" i="63"/>
  <c r="AO149" i="63"/>
  <c r="AS98" i="63"/>
  <c r="AV13" i="63"/>
  <c r="AI28" i="63"/>
  <c r="AW13" i="63"/>
  <c r="AL104" i="63"/>
  <c r="AW133" i="63"/>
  <c r="AR108" i="63"/>
  <c r="AK3" i="63"/>
  <c r="AI113" i="63"/>
  <c r="AR133" i="63"/>
  <c r="AG43" i="63"/>
  <c r="AQ49" i="63"/>
  <c r="AP119" i="63"/>
  <c r="AT53" i="63"/>
  <c r="AP134" i="63"/>
  <c r="AU53" i="63"/>
  <c r="AM74" i="63"/>
  <c r="AS103" i="63"/>
  <c r="AG18" i="63"/>
  <c r="AJ13" i="63"/>
  <c r="AW93" i="63"/>
  <c r="AP34" i="63"/>
  <c r="AF93" i="63"/>
  <c r="AV93" i="63"/>
  <c r="AF78" i="63"/>
  <c r="AR93" i="63"/>
  <c r="AR103" i="63"/>
  <c r="AF28" i="63"/>
  <c r="AN9" i="63"/>
  <c r="AP69" i="63"/>
  <c r="AV23" i="63"/>
  <c r="AF113" i="63"/>
  <c r="AJ133" i="63"/>
  <c r="AH93" i="63"/>
  <c r="AI53" i="63"/>
  <c r="AU48" i="63"/>
  <c r="AP19" i="63"/>
  <c r="AH8" i="63"/>
  <c r="AU73" i="63"/>
  <c r="AM104" i="63"/>
  <c r="AI98" i="63"/>
  <c r="AM109" i="63"/>
  <c r="AR38" i="63"/>
  <c r="AL19" i="63"/>
  <c r="AH143" i="63"/>
  <c r="AM94" i="63"/>
  <c r="AI128" i="63"/>
  <c r="AF3" i="63"/>
  <c r="AL54" i="63"/>
  <c r="AW98" i="63"/>
  <c r="AI13" i="63"/>
  <c r="AO74" i="63"/>
  <c r="AL149" i="63"/>
  <c r="AH98" i="63"/>
  <c r="AH88" i="63"/>
  <c r="AJ18" i="63"/>
  <c r="AQ114" i="63"/>
  <c r="AP59" i="63"/>
  <c r="AW43" i="63"/>
  <c r="AG48" i="63"/>
  <c r="AL29" i="63"/>
  <c r="AI18" i="63"/>
  <c r="AT138" i="63"/>
  <c r="AT88" i="63"/>
  <c r="AN19" i="63"/>
  <c r="AP109" i="63"/>
  <c r="AP49" i="63"/>
  <c r="AJ123" i="63"/>
  <c r="AL134" i="63"/>
  <c r="AF88" i="63"/>
  <c r="AP9" i="63"/>
  <c r="AF63" i="63"/>
  <c r="AM9" i="63"/>
  <c r="AT8" i="63"/>
  <c r="AR138" i="63"/>
  <c r="AO14" i="63"/>
  <c r="AN89" i="63"/>
  <c r="AM34" i="63"/>
  <c r="AR18" i="63"/>
  <c r="AW23" i="63"/>
  <c r="AK18" i="63"/>
  <c r="AT23" i="63"/>
  <c r="AI118" i="63"/>
  <c r="AR28" i="63"/>
  <c r="AP4" i="63"/>
  <c r="AS123" i="63"/>
  <c r="AS113" i="63"/>
  <c r="AS68" i="63"/>
  <c r="AJ83" i="63"/>
  <c r="AW63" i="63"/>
  <c r="AT118" i="63"/>
  <c r="AG98" i="63"/>
  <c r="AG28" i="63"/>
  <c r="AQ149" i="63"/>
  <c r="AQ104" i="63"/>
  <c r="AI8" i="63"/>
  <c r="AG133" i="63"/>
  <c r="AQ89" i="63"/>
  <c r="AJ8" i="63"/>
  <c r="AJ23" i="63"/>
  <c r="AF143" i="63"/>
  <c r="AW78" i="63"/>
  <c r="AK13" i="63"/>
  <c r="AS78" i="63"/>
  <c r="AT78" i="63"/>
  <c r="AQ99" i="63"/>
  <c r="AF48" i="63"/>
  <c r="AJ103" i="63"/>
  <c r="AS58" i="63"/>
  <c r="AR23" i="63"/>
  <c r="AK143" i="63"/>
  <c r="AU83" i="63"/>
  <c r="AO9" i="63"/>
  <c r="AV143" i="63"/>
  <c r="AR113" i="63"/>
  <c r="AO134" i="63"/>
  <c r="AM124" i="63"/>
  <c r="AG53" i="63"/>
  <c r="AU98" i="63"/>
  <c r="AK83" i="63"/>
  <c r="AT123" i="63"/>
  <c r="AU13" i="63"/>
  <c r="AQ4" i="63"/>
  <c r="AK133" i="63"/>
  <c r="AU3" i="63"/>
  <c r="AG128" i="63"/>
  <c r="AS73" i="63"/>
  <c r="AK88" i="63"/>
  <c r="AS53" i="63"/>
  <c r="AO124" i="63"/>
  <c r="AW128" i="63"/>
  <c r="AH43" i="63"/>
  <c r="AO54" i="63"/>
  <c r="AP79" i="63"/>
  <c r="AK78" i="63"/>
  <c r="AU68" i="63"/>
  <c r="AR98" i="63"/>
  <c r="AK38" i="63"/>
  <c r="AK8" i="63"/>
  <c r="AJ138" i="63"/>
  <c r="AP99" i="63"/>
  <c r="AI33" i="63"/>
  <c r="AW103" i="63"/>
  <c r="AJ93" i="63"/>
  <c r="AF138" i="63"/>
  <c r="AT83" i="63"/>
  <c r="AM144" i="63"/>
  <c r="AL9" i="63"/>
  <c r="AQ124" i="63"/>
  <c r="AH48" i="63"/>
  <c r="AS148" i="63"/>
  <c r="AT73" i="63"/>
  <c r="AP94" i="63"/>
  <c r="AG68" i="63"/>
  <c r="AH103" i="63"/>
  <c r="AN149" i="63"/>
  <c r="AK58" i="63"/>
  <c r="AP124" i="63"/>
  <c r="AW118" i="63"/>
  <c r="AH58" i="63"/>
  <c r="AL94" i="63"/>
  <c r="AO39" i="63"/>
  <c r="AQ64" i="63"/>
  <c r="AN54" i="63"/>
  <c r="AM39" i="63"/>
  <c r="AI108" i="63"/>
  <c r="AF13" i="63"/>
  <c r="AV48" i="63"/>
  <c r="AM139" i="63"/>
  <c r="AN74" i="63"/>
  <c r="AG3" i="63"/>
  <c r="AS23" i="63"/>
  <c r="AV18" i="63"/>
  <c r="AH118" i="63"/>
  <c r="AH28" i="63"/>
  <c r="AJ58" i="63"/>
  <c r="AJ128" i="63"/>
  <c r="AP24" i="63"/>
  <c r="AO114" i="63"/>
  <c r="AK43" i="63"/>
  <c r="AK28" i="63"/>
  <c r="AS138" i="63"/>
  <c r="AQ9" i="63"/>
  <c r="AS33" i="63"/>
  <c r="AN94" i="63"/>
  <c r="AV78" i="63"/>
  <c r="AG148" i="63"/>
  <c r="AT63" i="63"/>
  <c r="AU113" i="63"/>
  <c r="AS8" i="63"/>
  <c r="AW113" i="63"/>
  <c r="AO129" i="63"/>
  <c r="AQ29" i="63"/>
  <c r="AU18" i="63"/>
  <c r="AN34" i="63"/>
  <c r="AM99" i="63"/>
  <c r="AM89" i="63"/>
  <c r="AI73" i="63"/>
  <c r="AK128" i="63"/>
  <c r="AO49" i="63"/>
  <c r="AS3" i="63"/>
  <c r="AT33" i="63"/>
  <c r="AN4" i="63"/>
  <c r="AN129" i="63"/>
  <c r="AN59" i="63"/>
  <c r="AR43" i="63"/>
  <c r="AL79" i="63"/>
  <c r="AO29" i="63"/>
  <c r="AM79" i="63"/>
  <c r="AO84" i="63"/>
  <c r="AT133" i="63"/>
  <c r="AI148" i="63"/>
  <c r="AH13" i="63"/>
  <c r="AG103" i="63"/>
  <c r="AL34" i="63"/>
  <c r="AH108" i="63"/>
  <c r="AM134" i="63"/>
  <c r="AF73" i="63"/>
  <c r="AJ33" i="63"/>
  <c r="AN14" i="63"/>
  <c r="AL129" i="63"/>
  <c r="AG93" i="63"/>
  <c r="AR73" i="63"/>
  <c r="AF118" i="63"/>
  <c r="AM129" i="63"/>
  <c r="AO109" i="63"/>
  <c r="AO79" i="63"/>
  <c r="AK53" i="63"/>
  <c r="AG143" i="63"/>
  <c r="AI43" i="63"/>
  <c r="AQ119" i="63"/>
  <c r="AF133" i="63"/>
  <c r="AI23" i="63"/>
  <c r="AF33" i="63"/>
  <c r="AQ19" i="63"/>
  <c r="AJ43" i="63"/>
  <c r="AT128" i="63"/>
  <c r="AT98" i="63"/>
  <c r="AS38" i="63"/>
  <c r="AW28" i="63"/>
  <c r="AM114" i="63"/>
  <c r="AQ69" i="63"/>
  <c r="AN39" i="63"/>
  <c r="AG138" i="63"/>
  <c r="AK138" i="63"/>
  <c r="AV113" i="63"/>
  <c r="AL4" i="63"/>
  <c r="AT38" i="63"/>
  <c r="AG88" i="63"/>
  <c r="AP84" i="63"/>
  <c r="AQ94" i="63"/>
  <c r="AQ54" i="63"/>
  <c r="AI63" i="63"/>
  <c r="AG113" i="63"/>
  <c r="AU23" i="63"/>
  <c r="AK148" i="63"/>
  <c r="AP144" i="63"/>
  <c r="AI123" i="63"/>
  <c r="AT113" i="63"/>
  <c r="AK113" i="63"/>
  <c r="AM24" i="63"/>
  <c r="AI138" i="63"/>
  <c r="AJ73" i="63"/>
  <c r="AQ34" i="63"/>
  <c r="AO89" i="63"/>
  <c r="AQ144" i="63"/>
  <c r="AJ78" i="63"/>
  <c r="AW108" i="63"/>
  <c r="AQ139" i="63"/>
  <c r="AW68" i="63"/>
  <c r="AF68" i="63"/>
  <c r="AV53" i="63"/>
  <c r="AF58" i="63"/>
  <c r="AW58" i="63"/>
  <c r="AH138" i="63"/>
  <c r="AJ38" i="63"/>
  <c r="AJ63" i="63"/>
  <c r="AK98" i="63"/>
  <c r="AG123" i="63"/>
  <c r="AL114" i="63"/>
  <c r="AV83" i="63"/>
  <c r="AW138" i="63"/>
  <c r="AR8" i="63"/>
  <c r="AN119" i="63"/>
  <c r="AP74" i="63"/>
  <c r="AG83" i="63"/>
  <c r="AF8" i="63"/>
  <c r="AU28" i="63"/>
  <c r="AR78" i="63"/>
  <c r="AJ148" i="63"/>
  <c r="AS143" i="63"/>
  <c r="AL139" i="63"/>
  <c r="AS93" i="63"/>
  <c r="AP14" i="63"/>
  <c r="AU118" i="63"/>
  <c r="AL39" i="63"/>
  <c r="AQ39" i="63"/>
  <c r="AR13" i="63"/>
  <c r="AH53" i="63"/>
  <c r="AR48" i="63"/>
  <c r="AJ53" i="63"/>
  <c r="AU43" i="63"/>
  <c r="AS43" i="63"/>
  <c r="AM49" i="63"/>
  <c r="AQ44" i="63"/>
  <c r="AV33" i="63"/>
  <c r="AI143" i="63"/>
  <c r="AK23" i="63"/>
  <c r="AU133" i="63"/>
  <c r="AO19" i="63"/>
  <c r="AV8" i="63"/>
  <c r="AI3" i="63"/>
  <c r="AK108" i="63"/>
  <c r="AQ79" i="63"/>
  <c r="AR58" i="63"/>
  <c r="AW83" i="63"/>
  <c r="AN99" i="63"/>
  <c r="AU88" i="63"/>
  <c r="AN44" i="63"/>
  <c r="AL49" i="63"/>
  <c r="AL119" i="63"/>
  <c r="AK103" i="63"/>
  <c r="AV133" i="63"/>
  <c r="AQ134" i="63"/>
  <c r="AN79" i="63"/>
  <c r="AG78" i="63"/>
  <c r="AL124" i="63"/>
  <c r="AN29" i="63"/>
  <c r="AP129" i="63"/>
  <c r="AK63" i="63"/>
  <c r="AP149" i="63"/>
  <c r="AV123" i="63"/>
  <c r="AF108" i="63"/>
  <c r="AM149" i="63"/>
  <c r="AP39" i="63"/>
  <c r="AL59" i="63"/>
  <c r="AO59" i="63"/>
  <c r="AJ118" i="63"/>
  <c r="AK93" i="63"/>
  <c r="AG23" i="63"/>
  <c r="AH78" i="63"/>
  <c r="AL89" i="63"/>
  <c r="AR88" i="63"/>
  <c r="AP44" i="63"/>
  <c r="AG38" i="63"/>
  <c r="AJ3" i="63"/>
  <c r="AS83" i="63"/>
  <c r="AH63" i="63"/>
  <c r="AN69" i="63"/>
  <c r="AV148" i="63"/>
  <c r="AW48" i="63"/>
  <c r="AW88" i="63"/>
  <c r="AF53" i="63"/>
  <c r="AV108" i="63"/>
  <c r="AR118" i="63"/>
  <c r="AT18" i="63"/>
  <c r="AM59" i="63"/>
  <c r="AJ108" i="63"/>
  <c r="AQ24" i="63"/>
  <c r="AM14" i="63"/>
  <c r="AS88" i="63"/>
  <c r="AF123" i="63"/>
  <c r="AT13" i="63"/>
  <c r="AV43" i="63"/>
  <c r="AJ113" i="63"/>
  <c r="AS128" i="63"/>
  <c r="AI83" i="63"/>
  <c r="AS48" i="63"/>
  <c r="AO69" i="63"/>
  <c r="AP89" i="63"/>
  <c r="AN124" i="63"/>
  <c r="AN49" i="63"/>
  <c r="AQ129" i="63"/>
  <c r="AW33" i="63"/>
  <c r="AT148" i="63"/>
  <c r="AL44" i="63"/>
  <c r="AN104" i="63"/>
  <c r="AN114" i="63"/>
  <c r="AU108" i="63"/>
  <c r="AO144" i="63"/>
  <c r="AV128" i="63"/>
  <c r="AT143" i="63"/>
  <c r="AL74" i="63"/>
  <c r="AV28" i="63"/>
  <c r="AH73" i="63"/>
  <c r="BB154" i="63" l="1"/>
  <c r="AB156" i="63"/>
  <c r="BB161" i="63"/>
  <c r="AY160" i="63"/>
  <c r="AZ158" i="63"/>
  <c r="AZ153" i="63"/>
  <c r="AY157" i="63"/>
  <c r="BB156" i="63"/>
  <c r="AB155" i="63"/>
  <c r="AY156" i="63"/>
  <c r="BB153" i="63"/>
  <c r="AB159" i="63"/>
  <c r="AY155" i="63"/>
  <c r="BB158" i="63"/>
  <c r="AZ154" i="63"/>
  <c r="BC157" i="63"/>
  <c r="BC158" i="63"/>
  <c r="BC155" i="63"/>
  <c r="BC160" i="63"/>
  <c r="BC159" i="63"/>
  <c r="AZ157" i="63"/>
  <c r="AZ156" i="63"/>
  <c r="AZ161" i="63"/>
  <c r="BC156" i="63"/>
  <c r="AZ155" i="63"/>
  <c r="BC154" i="63"/>
  <c r="AB158" i="63"/>
  <c r="BB155" i="63"/>
  <c r="AY161" i="63"/>
  <c r="AY158" i="63"/>
  <c r="BB160" i="63"/>
  <c r="AY159" i="63"/>
  <c r="AB160" i="63"/>
  <c r="AB157" i="63"/>
  <c r="BB159" i="63"/>
  <c r="BB157" i="63"/>
  <c r="L174" i="63"/>
  <c r="X163" i="63"/>
  <c r="N174" i="63"/>
  <c r="N184" i="63"/>
  <c r="L184" i="63"/>
  <c r="AM159" i="63"/>
  <c r="AN187" i="63"/>
  <c r="AN156" i="63"/>
  <c r="AN161" i="63"/>
  <c r="AN153" i="63"/>
  <c r="AK154" i="63"/>
  <c r="AT155" i="63"/>
  <c r="AN158" i="63"/>
  <c r="AS161" i="63"/>
  <c r="AS153" i="63"/>
  <c r="AR154" i="63"/>
  <c r="BD83" i="63"/>
  <c r="AM155" i="63"/>
  <c r="AO157" i="63"/>
  <c r="AR155" i="63"/>
  <c r="AQ155" i="63"/>
  <c r="AO158" i="63"/>
  <c r="AL187" i="63"/>
  <c r="AL156" i="63"/>
  <c r="AT158" i="63"/>
  <c r="AM158" i="63"/>
  <c r="AR156" i="63"/>
  <c r="AR187" i="63"/>
  <c r="AK158" i="63"/>
  <c r="AN155" i="63"/>
  <c r="AM187" i="63"/>
  <c r="AM156" i="63"/>
  <c r="AU154" i="63"/>
  <c r="BD63" i="63"/>
  <c r="BD118" i="63"/>
  <c r="AQ157" i="63"/>
  <c r="AT154" i="63"/>
  <c r="BD88" i="63"/>
  <c r="AG187" i="63"/>
  <c r="AG156" i="63"/>
  <c r="AW159" i="63"/>
  <c r="AL160" i="63"/>
  <c r="AV158" i="63"/>
  <c r="BD148" i="63"/>
  <c r="AU159" i="63"/>
  <c r="AQ154" i="63"/>
  <c r="AI161" i="63"/>
  <c r="AI153" i="63"/>
  <c r="AN154" i="63"/>
  <c r="AR153" i="63"/>
  <c r="AR161" i="63"/>
  <c r="AV157" i="63"/>
  <c r="AK159" i="63"/>
  <c r="BD33" i="63"/>
  <c r="AF155" i="63"/>
  <c r="AW154" i="63"/>
  <c r="AS155" i="63"/>
  <c r="AI154" i="63"/>
  <c r="BD103" i="63"/>
  <c r="AJ155" i="63"/>
  <c r="AT159" i="63"/>
  <c r="BD53" i="63"/>
  <c r="BD73" i="63"/>
  <c r="AO154" i="63"/>
  <c r="AP156" i="63"/>
  <c r="AP187" i="63"/>
  <c r="AM160" i="63"/>
  <c r="AO159" i="63"/>
  <c r="AQ159" i="63"/>
  <c r="BD133" i="63"/>
  <c r="AF160" i="63"/>
  <c r="AU160" i="63"/>
  <c r="AJ154" i="63"/>
  <c r="AW161" i="63"/>
  <c r="AW153" i="63"/>
  <c r="AJ156" i="63"/>
  <c r="AJ187" i="63"/>
  <c r="AG157" i="63"/>
  <c r="AH158" i="63"/>
  <c r="AL155" i="63"/>
  <c r="AF154" i="63"/>
  <c r="BD18" i="63"/>
  <c r="AV154" i="63"/>
  <c r="AW155" i="63"/>
  <c r="AW187" i="63"/>
  <c r="AW156" i="63"/>
  <c r="AW158" i="63"/>
  <c r="AG161" i="63"/>
  <c r="AG153" i="63"/>
  <c r="AI156" i="63"/>
  <c r="AI187" i="63"/>
  <c r="AQ156" i="63"/>
  <c r="AQ187" i="63"/>
  <c r="BD108" i="63"/>
  <c r="BD3" i="63"/>
  <c r="AF153" i="63"/>
  <c r="AF161" i="63"/>
  <c r="AN160" i="63"/>
  <c r="AV155" i="63"/>
  <c r="AJ159" i="63"/>
  <c r="AG159" i="63"/>
  <c r="BD13" i="63"/>
  <c r="AN157" i="63"/>
  <c r="AT160" i="63"/>
  <c r="AF187" i="63"/>
  <c r="AF156" i="63"/>
  <c r="BD58" i="63"/>
  <c r="AL154" i="63"/>
  <c r="AI160" i="63"/>
  <c r="AI158" i="63"/>
  <c r="AM157" i="63"/>
  <c r="AJ153" i="63"/>
  <c r="AJ161" i="63"/>
  <c r="AH156" i="63"/>
  <c r="AH187" i="63"/>
  <c r="AP154" i="63"/>
  <c r="AL158" i="63"/>
  <c r="AL157" i="63"/>
  <c r="AQ160" i="63"/>
  <c r="AT187" i="63"/>
  <c r="AT156" i="63"/>
  <c r="AK156" i="63"/>
  <c r="AK187" i="63"/>
  <c r="AM161" i="63"/>
  <c r="AM153" i="63"/>
  <c r="AR157" i="63"/>
  <c r="AJ160" i="63"/>
  <c r="BD23" i="63"/>
  <c r="BD68" i="63"/>
  <c r="BD113" i="63"/>
  <c r="AF159" i="63"/>
  <c r="AU157" i="63"/>
  <c r="AR159" i="63"/>
  <c r="AV160" i="63"/>
  <c r="AT157" i="63"/>
  <c r="BD28" i="63"/>
  <c r="BD123" i="63"/>
  <c r="AS157" i="63"/>
  <c r="AF157" i="63"/>
  <c r="BD78" i="63"/>
  <c r="BD138" i="63"/>
  <c r="AL159" i="63"/>
  <c r="BD93" i="63"/>
  <c r="BD38" i="63"/>
  <c r="AW157" i="63"/>
  <c r="AP155" i="63"/>
  <c r="BD143" i="63"/>
  <c r="AI155" i="63"/>
  <c r="AL161" i="63"/>
  <c r="AL153" i="63"/>
  <c r="BD152" i="63" s="1"/>
  <c r="AP158" i="63"/>
  <c r="AH157" i="63"/>
  <c r="AG154" i="63"/>
  <c r="AS160" i="63"/>
  <c r="AH154" i="63"/>
  <c r="AM154" i="63"/>
  <c r="AP159" i="63"/>
  <c r="AK155" i="63"/>
  <c r="AR158" i="63"/>
  <c r="AP160" i="63"/>
  <c r="AV159" i="63"/>
  <c r="AK157" i="63"/>
  <c r="AT153" i="63"/>
  <c r="AT161" i="63"/>
  <c r="BD43" i="63"/>
  <c r="AP157" i="63"/>
  <c r="AH160" i="63"/>
  <c r="AG160" i="63"/>
  <c r="BD98" i="63"/>
  <c r="AF158" i="63"/>
  <c r="AV161" i="63"/>
  <c r="AV153" i="63"/>
  <c r="AS187" i="63"/>
  <c r="AS156" i="63"/>
  <c r="AR160" i="63"/>
  <c r="AO155" i="63"/>
  <c r="AI159" i="63"/>
  <c r="AI157" i="63"/>
  <c r="AH153" i="63"/>
  <c r="AH161" i="63"/>
  <c r="AK153" i="63"/>
  <c r="AK161" i="63"/>
  <c r="AG155" i="63"/>
  <c r="AU187" i="63"/>
  <c r="AU156" i="63"/>
  <c r="BD8" i="63"/>
  <c r="AW160" i="63"/>
  <c r="AV187" i="63"/>
  <c r="AV156" i="63"/>
  <c r="AG158" i="63"/>
  <c r="AJ158" i="63"/>
  <c r="BD128" i="63"/>
  <c r="AU153" i="63"/>
  <c r="AU161" i="63"/>
  <c r="BD48" i="63"/>
  <c r="AH159" i="63"/>
  <c r="AK160" i="63"/>
  <c r="AQ153" i="63"/>
  <c r="AQ161" i="63"/>
  <c r="AS158" i="63"/>
  <c r="AO161" i="63"/>
  <c r="AO153" i="63"/>
  <c r="AS159" i="63"/>
  <c r="AU155" i="63"/>
  <c r="AS154" i="63"/>
  <c r="AU158" i="63"/>
  <c r="AJ157" i="63"/>
  <c r="AP153" i="63"/>
  <c r="AP161" i="63"/>
  <c r="AH155" i="63"/>
  <c r="AO187" i="63"/>
  <c r="AO156" i="63"/>
  <c r="AO160" i="63"/>
  <c r="AN159" i="63"/>
  <c r="AQ158" i="63"/>
  <c r="AC183" i="63"/>
  <c r="AC168" i="63"/>
  <c r="AB177" i="63"/>
  <c r="X184" i="63"/>
  <c r="AB184" i="63" s="1"/>
  <c r="AC170" i="63"/>
  <c r="Z163" i="63"/>
  <c r="AC171" i="63"/>
  <c r="AC180" i="63"/>
  <c r="Y163" i="63"/>
  <c r="AC181" i="63"/>
  <c r="AC172" i="63"/>
  <c r="AC167" i="63"/>
  <c r="Y174" i="63"/>
  <c r="Z184" i="63"/>
  <c r="AC182" i="63"/>
  <c r="AB161" i="63"/>
  <c r="AB153" i="63"/>
  <c r="AC177" i="63"/>
  <c r="Y184" i="63"/>
  <c r="AC178" i="63"/>
  <c r="AZ159" i="63"/>
  <c r="AZ160" i="63"/>
  <c r="BC161" i="63"/>
  <c r="BC153" i="63"/>
  <c r="AB167" i="63"/>
  <c r="X174" i="63"/>
  <c r="AB174" i="63" s="1"/>
  <c r="AC161" i="63"/>
  <c r="AC153" i="63"/>
  <c r="AC174" i="63" l="1"/>
  <c r="AC184" i="63"/>
  <c r="AX161" i="56"/>
  <c r="AY160" i="56"/>
  <c r="BA159" i="56"/>
  <c r="AA156" i="56"/>
  <c r="AD152" i="56"/>
  <c r="AC152" i="56"/>
  <c r="Z152" i="56"/>
  <c r="AZ152" i="56" s="1"/>
  <c r="AB152" i="56"/>
  <c r="N152" i="56"/>
  <c r="BA151" i="56"/>
  <c r="AC151" i="56"/>
  <c r="Z151" i="56"/>
  <c r="N151" i="56"/>
  <c r="AD151" i="56"/>
  <c r="Z150" i="56"/>
  <c r="BA150" i="56"/>
  <c r="N150" i="56"/>
  <c r="AC150" i="56"/>
  <c r="AD150" i="56"/>
  <c r="BA149" i="56"/>
  <c r="AC149" i="56"/>
  <c r="AA149" i="56"/>
  <c r="Z149" i="56"/>
  <c r="AX149" i="56"/>
  <c r="AD149" i="56"/>
  <c r="N149" i="56"/>
  <c r="AC148" i="56"/>
  <c r="Z148" i="56"/>
  <c r="BA148" i="56"/>
  <c r="N148" i="56"/>
  <c r="BC148" i="56" s="1"/>
  <c r="AZ147" i="56"/>
  <c r="AD147" i="56"/>
  <c r="Z147" i="56"/>
  <c r="AC147" i="56"/>
  <c r="AY147" i="56"/>
  <c r="AB147" i="56"/>
  <c r="N147" i="56"/>
  <c r="BA146" i="56"/>
  <c r="AZ146" i="56"/>
  <c r="AD146" i="56"/>
  <c r="Z146" i="56"/>
  <c r="AC146" i="56"/>
  <c r="AY146" i="56"/>
  <c r="AB146" i="56"/>
  <c r="N146" i="56"/>
  <c r="BA145" i="56"/>
  <c r="AZ145" i="56"/>
  <c r="AD145" i="56"/>
  <c r="Z145" i="56"/>
  <c r="AC145" i="56"/>
  <c r="AY145" i="56"/>
  <c r="AB145" i="56"/>
  <c r="N145" i="56"/>
  <c r="BA144" i="56"/>
  <c r="AB144" i="56"/>
  <c r="AC144" i="56"/>
  <c r="Z144" i="56"/>
  <c r="AD144" i="56"/>
  <c r="N144" i="56"/>
  <c r="AX144" i="56"/>
  <c r="AC143" i="56"/>
  <c r="Z143" i="56"/>
  <c r="N143" i="56"/>
  <c r="BC143" i="56" s="1"/>
  <c r="BA143" i="56"/>
  <c r="Z142" i="56"/>
  <c r="N142" i="56"/>
  <c r="AC142" i="56"/>
  <c r="AD142" i="56"/>
  <c r="Z141" i="56"/>
  <c r="AC141" i="56"/>
  <c r="AA141" i="56"/>
  <c r="AD141" i="56"/>
  <c r="N141" i="56"/>
  <c r="AY140" i="56"/>
  <c r="Z140" i="56"/>
  <c r="BC140" i="56" s="1"/>
  <c r="N140" i="56"/>
  <c r="AD140" i="56"/>
  <c r="Z139" i="56"/>
  <c r="N139" i="56"/>
  <c r="AC139" i="56"/>
  <c r="AD139" i="56"/>
  <c r="AB138" i="56"/>
  <c r="Z138" i="56"/>
  <c r="BC138" i="56" s="1"/>
  <c r="AC138" i="56"/>
  <c r="BB138" i="56"/>
  <c r="AD138" i="56"/>
  <c r="N138" i="56"/>
  <c r="AA138" i="56"/>
  <c r="AX137" i="56"/>
  <c r="AC137" i="56"/>
  <c r="Z137" i="56"/>
  <c r="AD137" i="56"/>
  <c r="N137" i="56"/>
  <c r="AA137" i="56"/>
  <c r="AX136" i="56"/>
  <c r="AC136" i="56"/>
  <c r="Z136" i="56"/>
  <c r="BA136" i="56"/>
  <c r="AD136" i="56"/>
  <c r="N136" i="56"/>
  <c r="AA136" i="56"/>
  <c r="AX135" i="56"/>
  <c r="AC135" i="56"/>
  <c r="Z135" i="56"/>
  <c r="BA135" i="56"/>
  <c r="AD135" i="56"/>
  <c r="N135" i="56"/>
  <c r="AA135" i="56"/>
  <c r="AY134" i="56"/>
  <c r="AD134" i="56"/>
  <c r="AC134" i="56"/>
  <c r="Z134" i="56"/>
  <c r="AX134" i="56"/>
  <c r="AX160" i="56" s="1"/>
  <c r="N134" i="56"/>
  <c r="AD133" i="56"/>
  <c r="AD160" i="56" s="1"/>
  <c r="Z133" i="56"/>
  <c r="N133" i="56"/>
  <c r="N160" i="56" s="1"/>
  <c r="AX132" i="56"/>
  <c r="AD132" i="56"/>
  <c r="AC132" i="56"/>
  <c r="AA132" i="56"/>
  <c r="AY132" i="56"/>
  <c r="Z132" i="56"/>
  <c r="AZ132" i="56" s="1"/>
  <c r="AB132" i="56"/>
  <c r="N132" i="56"/>
  <c r="BB131" i="56"/>
  <c r="BA131" i="56"/>
  <c r="AX131" i="56"/>
  <c r="AD131" i="56"/>
  <c r="AC131" i="56"/>
  <c r="AA131" i="56"/>
  <c r="AY131" i="56"/>
  <c r="Z131" i="56"/>
  <c r="N131" i="56"/>
  <c r="AB131" i="56"/>
  <c r="BA130" i="56"/>
  <c r="AZ130" i="56"/>
  <c r="AX130" i="56"/>
  <c r="AD130" i="56"/>
  <c r="AA130" i="56"/>
  <c r="AC130" i="56"/>
  <c r="Z130" i="56"/>
  <c r="N130" i="56"/>
  <c r="BA129" i="56"/>
  <c r="AX129" i="56"/>
  <c r="AD129" i="56"/>
  <c r="AA129" i="56"/>
  <c r="AC129" i="56"/>
  <c r="Z129" i="56"/>
  <c r="BC129" i="56" s="1"/>
  <c r="N129" i="56"/>
  <c r="BA128" i="56"/>
  <c r="AD128" i="56"/>
  <c r="AB128" i="56"/>
  <c r="AA128" i="56"/>
  <c r="Z128" i="56"/>
  <c r="AC128" i="56"/>
  <c r="BB128" i="56"/>
  <c r="N128" i="56"/>
  <c r="AX127" i="56"/>
  <c r="AD127" i="56"/>
  <c r="AA127" i="56"/>
  <c r="Z127" i="56"/>
  <c r="AZ127" i="56" s="1"/>
  <c r="AC127" i="56"/>
  <c r="AY127" i="56"/>
  <c r="N127" i="56"/>
  <c r="BC126" i="56"/>
  <c r="BB126" i="56"/>
  <c r="BA126" i="56"/>
  <c r="AX126" i="56"/>
  <c r="AD126" i="56"/>
  <c r="AA126" i="56"/>
  <c r="AY126" i="56"/>
  <c r="Z126" i="56"/>
  <c r="AC126" i="56"/>
  <c r="AB126" i="56"/>
  <c r="N126" i="56"/>
  <c r="BB125" i="56"/>
  <c r="BA125" i="56"/>
  <c r="AX125" i="56"/>
  <c r="AD125" i="56"/>
  <c r="AA125" i="56"/>
  <c r="AY125" i="56"/>
  <c r="Z125" i="56"/>
  <c r="N125" i="56"/>
  <c r="AC125" i="56"/>
  <c r="AB125" i="56"/>
  <c r="BB124" i="56"/>
  <c r="BA124" i="56"/>
  <c r="AY124" i="56"/>
  <c r="AX124" i="56"/>
  <c r="AD124" i="56"/>
  <c r="AA124" i="56"/>
  <c r="Z124" i="56"/>
  <c r="N124" i="56"/>
  <c r="AC124" i="56"/>
  <c r="AB124" i="56"/>
  <c r="BA123" i="56"/>
  <c r="AD123" i="56"/>
  <c r="AA123" i="56"/>
  <c r="Z123" i="56"/>
  <c r="BC123" i="56" s="1"/>
  <c r="AC123" i="56"/>
  <c r="N123" i="56"/>
  <c r="BB123" i="56"/>
  <c r="AX122" i="56"/>
  <c r="AD122" i="56"/>
  <c r="AA122" i="56"/>
  <c r="AC122" i="56"/>
  <c r="Z122" i="56"/>
  <c r="AZ122" i="56" s="1"/>
  <c r="N122" i="56"/>
  <c r="BB121" i="56"/>
  <c r="BA121" i="56"/>
  <c r="AX121" i="56"/>
  <c r="AD121" i="56"/>
  <c r="AA121" i="56"/>
  <c r="AY121" i="56"/>
  <c r="Z121" i="56"/>
  <c r="BC121" i="56" s="1"/>
  <c r="N121" i="56"/>
  <c r="BA120" i="56"/>
  <c r="AX120" i="56"/>
  <c r="AD120" i="56"/>
  <c r="AC120" i="56"/>
  <c r="AA120" i="56"/>
  <c r="Z120" i="56"/>
  <c r="AZ120" i="56" s="1"/>
  <c r="N120" i="56"/>
  <c r="BC120" i="56" s="1"/>
  <c r="BA119" i="56"/>
  <c r="AX119" i="56"/>
  <c r="AD119" i="56"/>
  <c r="AB119" i="56"/>
  <c r="AA119" i="56"/>
  <c r="AY119" i="56"/>
  <c r="Z119" i="56"/>
  <c r="AC119" i="56"/>
  <c r="BB119" i="56"/>
  <c r="N119" i="56"/>
  <c r="BA118" i="56"/>
  <c r="AD118" i="56"/>
  <c r="AA118" i="56"/>
  <c r="Z118" i="56"/>
  <c r="BC118" i="56" s="1"/>
  <c r="N118" i="56"/>
  <c r="AC118" i="56"/>
  <c r="BB118" i="56"/>
  <c r="AX117" i="56"/>
  <c r="AD117" i="56"/>
  <c r="AC117" i="56"/>
  <c r="AA117" i="56"/>
  <c r="AY117" i="56"/>
  <c r="Z117" i="56"/>
  <c r="N117" i="56"/>
  <c r="AZ117" i="56" s="1"/>
  <c r="AB117" i="56"/>
  <c r="BB116" i="56"/>
  <c r="BA116" i="56"/>
  <c r="AY116" i="56"/>
  <c r="AX116" i="56"/>
  <c r="AD116" i="56"/>
  <c r="AA116" i="56"/>
  <c r="AB116" i="56"/>
  <c r="Z116" i="56"/>
  <c r="AC116" i="56"/>
  <c r="N116" i="56"/>
  <c r="BB115" i="56"/>
  <c r="BA115" i="56"/>
  <c r="AX115" i="56"/>
  <c r="AD115" i="56"/>
  <c r="AC115" i="56"/>
  <c r="AA115" i="56"/>
  <c r="AY115" i="56"/>
  <c r="Z115" i="56"/>
  <c r="N115" i="56"/>
  <c r="BC114" i="56"/>
  <c r="BC160" i="56" s="1"/>
  <c r="BB114" i="56"/>
  <c r="BB160" i="56" s="1"/>
  <c r="BA114" i="56"/>
  <c r="AY114" i="56"/>
  <c r="AY159" i="56" s="1"/>
  <c r="AX114" i="56"/>
  <c r="AX159" i="56" s="1"/>
  <c r="AD114" i="56"/>
  <c r="AA114" i="56"/>
  <c r="AC114" i="56"/>
  <c r="AC160" i="56" s="1"/>
  <c r="AB114" i="56"/>
  <c r="AB160" i="56" s="1"/>
  <c r="Z114" i="56"/>
  <c r="AZ114" i="56" s="1"/>
  <c r="N114" i="56"/>
  <c r="BA113" i="56"/>
  <c r="AD113" i="56"/>
  <c r="AA113" i="56"/>
  <c r="AA159" i="56" s="1"/>
  <c r="Z113" i="56"/>
  <c r="BC113" i="56" s="1"/>
  <c r="BC159" i="56" s="1"/>
  <c r="BB113" i="56"/>
  <c r="BB159" i="56" s="1"/>
  <c r="N113" i="56"/>
  <c r="AX112" i="56"/>
  <c r="AD112" i="56"/>
  <c r="AB112" i="56"/>
  <c r="AA112" i="56"/>
  <c r="AC112" i="56"/>
  <c r="Z112" i="56"/>
  <c r="AZ112" i="56" s="1"/>
  <c r="N112" i="56"/>
  <c r="BB111" i="56"/>
  <c r="BA111" i="56"/>
  <c r="AX111" i="56"/>
  <c r="AD111" i="56"/>
  <c r="AC111" i="56"/>
  <c r="AA111" i="56"/>
  <c r="AY111" i="56"/>
  <c r="Z111" i="56"/>
  <c r="N111" i="56"/>
  <c r="AZ111" i="56" s="1"/>
  <c r="AB111" i="56"/>
  <c r="BB110" i="56"/>
  <c r="BA110" i="56"/>
  <c r="AY110" i="56"/>
  <c r="AX110" i="56"/>
  <c r="AD110" i="56"/>
  <c r="AA110" i="56"/>
  <c r="AB110" i="56"/>
  <c r="Z110" i="56"/>
  <c r="AC110" i="56"/>
  <c r="N110" i="56"/>
  <c r="BA109" i="56"/>
  <c r="AX109" i="56"/>
  <c r="AD109" i="56"/>
  <c r="AA109" i="56"/>
  <c r="Z109" i="56"/>
  <c r="AC109" i="56"/>
  <c r="N109" i="56"/>
  <c r="BB108" i="56"/>
  <c r="BA108" i="56"/>
  <c r="AD108" i="56"/>
  <c r="AA108" i="56"/>
  <c r="Z108" i="56"/>
  <c r="BC108" i="56" s="1"/>
  <c r="AC108" i="56"/>
  <c r="AB108" i="56"/>
  <c r="N108" i="56"/>
  <c r="AZ107" i="56"/>
  <c r="AX107" i="56"/>
  <c r="AD107" i="56"/>
  <c r="AA107" i="56"/>
  <c r="AY107" i="56"/>
  <c r="Z107" i="56"/>
  <c r="AC107" i="56"/>
  <c r="N107" i="56"/>
  <c r="BA106" i="56"/>
  <c r="AX106" i="56"/>
  <c r="AD106" i="56"/>
  <c r="AA106" i="56"/>
  <c r="AC106" i="56"/>
  <c r="Z106" i="56"/>
  <c r="N106" i="56"/>
  <c r="BB105" i="56"/>
  <c r="BA105" i="56"/>
  <c r="AX105" i="56"/>
  <c r="AD105" i="56"/>
  <c r="AC105" i="56"/>
  <c r="AA105" i="56"/>
  <c r="AY105" i="56"/>
  <c r="Z105" i="56"/>
  <c r="AB105" i="56"/>
  <c r="N105" i="56"/>
  <c r="BB104" i="56"/>
  <c r="BA104" i="56"/>
  <c r="AY104" i="56"/>
  <c r="AX104" i="56"/>
  <c r="AD104" i="56"/>
  <c r="AA104" i="56"/>
  <c r="AC104" i="56"/>
  <c r="Z104" i="56"/>
  <c r="N104" i="56"/>
  <c r="AZ104" i="56" s="1"/>
  <c r="AB104" i="56"/>
  <c r="BB103" i="56"/>
  <c r="BA103" i="56"/>
  <c r="AD103" i="56"/>
  <c r="AA103" i="56"/>
  <c r="Z103" i="56"/>
  <c r="BC103" i="56" s="1"/>
  <c r="AC103" i="56"/>
  <c r="AB103" i="56"/>
  <c r="N103" i="56"/>
  <c r="AZ102" i="56"/>
  <c r="AY102" i="56"/>
  <c r="AX102" i="56"/>
  <c r="AD102" i="56"/>
  <c r="AA102" i="56"/>
  <c r="AB102" i="56"/>
  <c r="Z102" i="56"/>
  <c r="AC102" i="56"/>
  <c r="N102" i="56"/>
  <c r="BB101" i="56"/>
  <c r="BA101" i="56"/>
  <c r="AX101" i="56"/>
  <c r="AD101" i="56"/>
  <c r="AA101" i="56"/>
  <c r="Z101" i="56"/>
  <c r="AZ101" i="56" s="1"/>
  <c r="AY101" i="56"/>
  <c r="AC101" i="56"/>
  <c r="N101" i="56"/>
  <c r="BA100" i="56"/>
  <c r="AX100" i="56"/>
  <c r="AD100" i="56"/>
  <c r="AC100" i="56"/>
  <c r="AA100" i="56"/>
  <c r="Z100" i="56"/>
  <c r="BC100" i="56" s="1"/>
  <c r="N100" i="56"/>
  <c r="BB99" i="56"/>
  <c r="BA99" i="56"/>
  <c r="AX99" i="56"/>
  <c r="AX158" i="56" s="1"/>
  <c r="AD99" i="56"/>
  <c r="AA99" i="56"/>
  <c r="Z99" i="56"/>
  <c r="AB99" i="56"/>
  <c r="N99" i="56"/>
  <c r="BA98" i="56"/>
  <c r="BA158" i="56" s="1"/>
  <c r="AD98" i="56"/>
  <c r="AA98" i="56"/>
  <c r="AA158" i="56" s="1"/>
  <c r="Z98" i="56"/>
  <c r="AB98" i="56"/>
  <c r="AB158" i="56" s="1"/>
  <c r="N98" i="56"/>
  <c r="AX97" i="56"/>
  <c r="AD97" i="56"/>
  <c r="AA97" i="56"/>
  <c r="AC97" i="56"/>
  <c r="AB97" i="56"/>
  <c r="Z97" i="56"/>
  <c r="AZ97" i="56" s="1"/>
  <c r="N97" i="56"/>
  <c r="BB96" i="56"/>
  <c r="BA96" i="56"/>
  <c r="AZ96" i="56"/>
  <c r="AX96" i="56"/>
  <c r="AD96" i="56"/>
  <c r="AA96" i="56"/>
  <c r="AC96" i="56"/>
  <c r="Z96" i="56"/>
  <c r="BC96" i="56" s="1"/>
  <c r="N96" i="56"/>
  <c r="BB95" i="56"/>
  <c r="BA95" i="56"/>
  <c r="AX95" i="56"/>
  <c r="AD95" i="56"/>
  <c r="AA95" i="56"/>
  <c r="Z95" i="56"/>
  <c r="AC95" i="56"/>
  <c r="AY95" i="56"/>
  <c r="N95" i="56"/>
  <c r="AZ95" i="56" s="1"/>
  <c r="BB94" i="56"/>
  <c r="BA94" i="56"/>
  <c r="AY94" i="56"/>
  <c r="AX94" i="56"/>
  <c r="AD94" i="56"/>
  <c r="AA94" i="56"/>
  <c r="Z94" i="56"/>
  <c r="AZ94" i="56" s="1"/>
  <c r="AC94" i="56"/>
  <c r="AB94" i="56"/>
  <c r="N94" i="56"/>
  <c r="BB93" i="56"/>
  <c r="BA93" i="56"/>
  <c r="AD93" i="56"/>
  <c r="AA93" i="56"/>
  <c r="Z93" i="56"/>
  <c r="N93" i="56"/>
  <c r="BC93" i="56" s="1"/>
  <c r="AC93" i="56"/>
  <c r="AB93" i="56"/>
  <c r="AX92" i="56"/>
  <c r="AD92" i="56"/>
  <c r="AC92" i="56"/>
  <c r="AB92" i="56"/>
  <c r="AA92" i="56"/>
  <c r="AY92" i="56"/>
  <c r="Z92" i="56"/>
  <c r="N92" i="56"/>
  <c r="BB91" i="56"/>
  <c r="BA91" i="56"/>
  <c r="AX91" i="56"/>
  <c r="AD91" i="56"/>
  <c r="AC91" i="56"/>
  <c r="AA91" i="56"/>
  <c r="AY91" i="56"/>
  <c r="Z91" i="56"/>
  <c r="N91" i="56"/>
  <c r="AB91" i="56"/>
  <c r="BA90" i="56"/>
  <c r="AY90" i="56"/>
  <c r="AX90" i="56"/>
  <c r="AD90" i="56"/>
  <c r="AA90" i="56"/>
  <c r="AC90" i="56"/>
  <c r="Z90" i="56"/>
  <c r="AZ90" i="56" s="1"/>
  <c r="N90" i="56"/>
  <c r="BB89" i="56"/>
  <c r="BA89" i="56"/>
  <c r="AX89" i="56"/>
  <c r="AD89" i="56"/>
  <c r="AA89" i="56"/>
  <c r="AC89" i="56"/>
  <c r="Z89" i="56"/>
  <c r="N89" i="56"/>
  <c r="BB88" i="56"/>
  <c r="BA88" i="56"/>
  <c r="AD88" i="56"/>
  <c r="AB88" i="56"/>
  <c r="AA88" i="56"/>
  <c r="Z88" i="56"/>
  <c r="BC88" i="56" s="1"/>
  <c r="AC88" i="56"/>
  <c r="N88" i="56"/>
  <c r="AZ87" i="56"/>
  <c r="AX87" i="56"/>
  <c r="AD87" i="56"/>
  <c r="AA87" i="56"/>
  <c r="Z87" i="56"/>
  <c r="AC87" i="56"/>
  <c r="AY87" i="56"/>
  <c r="N87" i="56"/>
  <c r="BA86" i="56"/>
  <c r="AX86" i="56"/>
  <c r="AD86" i="56"/>
  <c r="AC86" i="56"/>
  <c r="AB86" i="56"/>
  <c r="AA86" i="56"/>
  <c r="Z86" i="56"/>
  <c r="BB86" i="56"/>
  <c r="N86" i="56"/>
  <c r="BB85" i="56"/>
  <c r="BA85" i="56"/>
  <c r="AX85" i="56"/>
  <c r="AD85" i="56"/>
  <c r="AC85" i="56"/>
  <c r="AA85" i="56"/>
  <c r="AY85" i="56"/>
  <c r="Z85" i="56"/>
  <c r="N85" i="56"/>
  <c r="AB85" i="56"/>
  <c r="BB84" i="56"/>
  <c r="BA84" i="56"/>
  <c r="AY84" i="56"/>
  <c r="AX84" i="56"/>
  <c r="AD84" i="56"/>
  <c r="AC84" i="56"/>
  <c r="AA84" i="56"/>
  <c r="Z84" i="56"/>
  <c r="N84" i="56"/>
  <c r="AB84" i="56"/>
  <c r="BA83" i="56"/>
  <c r="AD83" i="56"/>
  <c r="AA83" i="56"/>
  <c r="Z83" i="56"/>
  <c r="BC83" i="56" s="1"/>
  <c r="AC83" i="56"/>
  <c r="N83" i="56"/>
  <c r="AY82" i="56"/>
  <c r="AX82" i="56"/>
  <c r="AD82" i="56"/>
  <c r="AA82" i="56"/>
  <c r="AC82" i="56"/>
  <c r="AB82" i="56"/>
  <c r="Z82" i="56"/>
  <c r="N82" i="56"/>
  <c r="AZ82" i="56" s="1"/>
  <c r="C82" i="56"/>
  <c r="BA81" i="56"/>
  <c r="AX81" i="56"/>
  <c r="AD81" i="56"/>
  <c r="AB81" i="56"/>
  <c r="AA81" i="56"/>
  <c r="Z81" i="56"/>
  <c r="AC81" i="56"/>
  <c r="BB81" i="56"/>
  <c r="N81" i="56"/>
  <c r="BC81" i="56" s="1"/>
  <c r="C81" i="56"/>
  <c r="BB80" i="56"/>
  <c r="BA80" i="56"/>
  <c r="AX80" i="56"/>
  <c r="AD80" i="56"/>
  <c r="AA80" i="56"/>
  <c r="AY80" i="56"/>
  <c r="Z80" i="56"/>
  <c r="N80" i="56"/>
  <c r="AC80" i="56"/>
  <c r="AB80" i="56"/>
  <c r="C80" i="56"/>
  <c r="BA79" i="56"/>
  <c r="AZ79" i="56"/>
  <c r="AZ157" i="56" s="1"/>
  <c r="AX79" i="56"/>
  <c r="AX157" i="56" s="1"/>
  <c r="AD79" i="56"/>
  <c r="AA79" i="56"/>
  <c r="Z79" i="56"/>
  <c r="N79" i="56"/>
  <c r="AC79" i="56"/>
  <c r="C79" i="56"/>
  <c r="BB78" i="56"/>
  <c r="BB157" i="56" s="1"/>
  <c r="BA78" i="56"/>
  <c r="BA157" i="56" s="1"/>
  <c r="AD78" i="56"/>
  <c r="AB78" i="56"/>
  <c r="AB157" i="56" s="1"/>
  <c r="AA78" i="56"/>
  <c r="AA157" i="56" s="1"/>
  <c r="Z78" i="56"/>
  <c r="N78" i="56"/>
  <c r="C78" i="56"/>
  <c r="AX77" i="56"/>
  <c r="AD77" i="56"/>
  <c r="AB77" i="56"/>
  <c r="AA77" i="56"/>
  <c r="Z77" i="56"/>
  <c r="AZ77" i="56" s="1"/>
  <c r="AC77" i="56"/>
  <c r="AY77" i="56"/>
  <c r="N77" i="56"/>
  <c r="BA76" i="56"/>
  <c r="AX76" i="56"/>
  <c r="AD76" i="56"/>
  <c r="AA76" i="56"/>
  <c r="Z76" i="56"/>
  <c r="N76" i="56"/>
  <c r="AZ76" i="56" s="1"/>
  <c r="AC76" i="56"/>
  <c r="AB76" i="56"/>
  <c r="BA75" i="56"/>
  <c r="AX75" i="56"/>
  <c r="AD75" i="56"/>
  <c r="AA75" i="56"/>
  <c r="Z75" i="56"/>
  <c r="N75" i="56"/>
  <c r="AC75" i="56"/>
  <c r="BA74" i="56"/>
  <c r="AY74" i="56"/>
  <c r="AX74" i="56"/>
  <c r="AD74" i="56"/>
  <c r="AA74" i="56"/>
  <c r="Z74" i="56"/>
  <c r="N74" i="56"/>
  <c r="AC74" i="56"/>
  <c r="BA73" i="56"/>
  <c r="AD73" i="56"/>
  <c r="AA73" i="56"/>
  <c r="Z73" i="56"/>
  <c r="AC73" i="56"/>
  <c r="BB73" i="56"/>
  <c r="N73" i="56"/>
  <c r="AZ72" i="56"/>
  <c r="AX72" i="56"/>
  <c r="AD72" i="56"/>
  <c r="AA72" i="56"/>
  <c r="Z72" i="56"/>
  <c r="AC72" i="56"/>
  <c r="AB72" i="56"/>
  <c r="N72" i="56"/>
  <c r="BB71" i="56"/>
  <c r="BA71" i="56"/>
  <c r="AX71" i="56"/>
  <c r="AD71" i="56"/>
  <c r="AB71" i="56"/>
  <c r="AA71" i="56"/>
  <c r="Z71" i="56"/>
  <c r="AC71" i="56"/>
  <c r="AY71" i="56"/>
  <c r="N71" i="56"/>
  <c r="BC70" i="56"/>
  <c r="BA70" i="56"/>
  <c r="AX70" i="56"/>
  <c r="AD70" i="56"/>
  <c r="AA70" i="56"/>
  <c r="Z70" i="56"/>
  <c r="BB70" i="56"/>
  <c r="N70" i="56"/>
  <c r="AZ70" i="56" s="1"/>
  <c r="AC70" i="56"/>
  <c r="AB70" i="56"/>
  <c r="BA69" i="56"/>
  <c r="AY69" i="56"/>
  <c r="AX69" i="56"/>
  <c r="AD69" i="56"/>
  <c r="AA69" i="56"/>
  <c r="Z69" i="56"/>
  <c r="BC69" i="56" s="1"/>
  <c r="N69" i="56"/>
  <c r="AC69" i="56"/>
  <c r="BB69" i="56"/>
  <c r="BA68" i="56"/>
  <c r="AD68" i="56"/>
  <c r="AA68" i="56"/>
  <c r="AC68" i="56"/>
  <c r="Z68" i="56"/>
  <c r="N68" i="56"/>
  <c r="AX67" i="56"/>
  <c r="AD67" i="56"/>
  <c r="AA67" i="56"/>
  <c r="AB67" i="56"/>
  <c r="Z67" i="56"/>
  <c r="AZ67" i="56" s="1"/>
  <c r="N67" i="56"/>
  <c r="AC67" i="56"/>
  <c r="BA66" i="56"/>
  <c r="AX66" i="56"/>
  <c r="AD66" i="56"/>
  <c r="AA66" i="56"/>
  <c r="Z66" i="56"/>
  <c r="BC66" i="56" s="1"/>
  <c r="AC66" i="56"/>
  <c r="N66" i="56"/>
  <c r="BC65" i="56"/>
  <c r="BB65" i="56"/>
  <c r="BA65" i="56"/>
  <c r="AX65" i="56"/>
  <c r="AD65" i="56"/>
  <c r="AB65" i="56"/>
  <c r="AA65" i="56"/>
  <c r="Z65" i="56"/>
  <c r="AC65" i="56"/>
  <c r="AY65" i="56"/>
  <c r="N65" i="56"/>
  <c r="BA64" i="56"/>
  <c r="AX64" i="56"/>
  <c r="AD64" i="56"/>
  <c r="AB64" i="56"/>
  <c r="AA64" i="56"/>
  <c r="Z64" i="56"/>
  <c r="AC64" i="56"/>
  <c r="BB64" i="56"/>
  <c r="AY64" i="56"/>
  <c r="N64" i="56"/>
  <c r="BC64" i="56" s="1"/>
  <c r="BA63" i="56"/>
  <c r="AD63" i="56"/>
  <c r="AC63" i="56"/>
  <c r="AA63" i="56"/>
  <c r="Z63" i="56"/>
  <c r="BC63" i="56" s="1"/>
  <c r="N63" i="56"/>
  <c r="BB63" i="56"/>
  <c r="AX62" i="56"/>
  <c r="AD62" i="56"/>
  <c r="AA62" i="56"/>
  <c r="Z62" i="56"/>
  <c r="N62" i="56"/>
  <c r="AZ62" i="56" s="1"/>
  <c r="AC62" i="56"/>
  <c r="AB62" i="56"/>
  <c r="BA61" i="56"/>
  <c r="AX61" i="56"/>
  <c r="AD61" i="56"/>
  <c r="AA61" i="56"/>
  <c r="Z61" i="56"/>
  <c r="N61" i="56"/>
  <c r="AC61" i="56"/>
  <c r="BA60" i="56"/>
  <c r="AZ60" i="56"/>
  <c r="AY60" i="56"/>
  <c r="AX60" i="56"/>
  <c r="AD60" i="56"/>
  <c r="AA60" i="56"/>
  <c r="Z60" i="56"/>
  <c r="BC60" i="56" s="1"/>
  <c r="AC60" i="56"/>
  <c r="N60" i="56"/>
  <c r="BC59" i="56"/>
  <c r="BA59" i="56"/>
  <c r="AX59" i="56"/>
  <c r="AX156" i="56" s="1"/>
  <c r="AD59" i="56"/>
  <c r="AA59" i="56"/>
  <c r="Z59" i="56"/>
  <c r="AZ59" i="56" s="1"/>
  <c r="AZ156" i="56" s="1"/>
  <c r="AC59" i="56"/>
  <c r="N59" i="56"/>
  <c r="BA58" i="56"/>
  <c r="BA156" i="56" s="1"/>
  <c r="AD58" i="56"/>
  <c r="AC58" i="56"/>
  <c r="AC156" i="56" s="1"/>
  <c r="AA58" i="56"/>
  <c r="AB58" i="56"/>
  <c r="AB156" i="56" s="1"/>
  <c r="Z58" i="56"/>
  <c r="N58" i="56"/>
  <c r="AX57" i="56"/>
  <c r="AD57" i="56"/>
  <c r="AB57" i="56"/>
  <c r="AA57" i="56"/>
  <c r="Z57" i="56"/>
  <c r="AZ57" i="56" s="1"/>
  <c r="AC57" i="56"/>
  <c r="AY57" i="56"/>
  <c r="N57" i="56"/>
  <c r="BC56" i="56"/>
  <c r="BA56" i="56"/>
  <c r="AX56" i="56"/>
  <c r="AD56" i="56"/>
  <c r="AA56" i="56"/>
  <c r="Z56" i="56"/>
  <c r="AC56" i="56"/>
  <c r="BB56" i="56"/>
  <c r="N56" i="56"/>
  <c r="AZ56" i="56" s="1"/>
  <c r="AB56" i="56"/>
  <c r="BB55" i="56"/>
  <c r="BA55" i="56"/>
  <c r="AX55" i="56"/>
  <c r="AD55" i="56"/>
  <c r="AA55" i="56"/>
  <c r="AB55" i="56"/>
  <c r="Z55" i="56"/>
  <c r="N55" i="56"/>
  <c r="AC55" i="56"/>
  <c r="BA54" i="56"/>
  <c r="AX54" i="56"/>
  <c r="AD54" i="56"/>
  <c r="AA54" i="56"/>
  <c r="Z54" i="56"/>
  <c r="BC54" i="56" s="1"/>
  <c r="N54" i="56"/>
  <c r="AC54" i="56"/>
  <c r="BA53" i="56"/>
  <c r="AD53" i="56"/>
  <c r="AC53" i="56"/>
  <c r="AA53" i="56"/>
  <c r="Z53" i="56"/>
  <c r="BB53" i="56"/>
  <c r="N53" i="56"/>
  <c r="BC53" i="56" s="1"/>
  <c r="AZ52" i="56"/>
  <c r="AX52" i="56"/>
  <c r="AD52" i="56"/>
  <c r="AA52" i="56"/>
  <c r="Z52" i="56"/>
  <c r="AY52" i="56"/>
  <c r="N52" i="56"/>
  <c r="AC52" i="56"/>
  <c r="AB52" i="56"/>
  <c r="BA51" i="56"/>
  <c r="AX51" i="56"/>
  <c r="AD51" i="56"/>
  <c r="AA51" i="56"/>
  <c r="AC51" i="56"/>
  <c r="BB51" i="56"/>
  <c r="Z51" i="56"/>
  <c r="AB51" i="56"/>
  <c r="N51" i="56"/>
  <c r="BA50" i="56"/>
  <c r="AX50" i="56"/>
  <c r="AD50" i="56"/>
  <c r="AA50" i="56"/>
  <c r="Z50" i="56"/>
  <c r="BC50" i="56" s="1"/>
  <c r="N50" i="56"/>
  <c r="AZ50" i="56" s="1"/>
  <c r="AC50" i="56"/>
  <c r="AB50" i="56"/>
  <c r="BB49" i="56"/>
  <c r="BA49" i="56"/>
  <c r="AX49" i="56"/>
  <c r="AD49" i="56"/>
  <c r="AA49" i="56"/>
  <c r="Z49" i="56"/>
  <c r="AZ49" i="56" s="1"/>
  <c r="AC49" i="56"/>
  <c r="AY49" i="56"/>
  <c r="N49" i="56"/>
  <c r="BC48" i="56"/>
  <c r="BB48" i="56"/>
  <c r="BA48" i="56"/>
  <c r="AD48" i="56"/>
  <c r="AA48" i="56"/>
  <c r="AC48" i="56"/>
  <c r="AB48" i="56"/>
  <c r="Z48" i="56"/>
  <c r="N48" i="56"/>
  <c r="AX47" i="56"/>
  <c r="AD47" i="56"/>
  <c r="AA47" i="56"/>
  <c r="Z47" i="56"/>
  <c r="N47" i="56"/>
  <c r="AC47" i="56"/>
  <c r="AB47" i="56"/>
  <c r="BA46" i="56"/>
  <c r="AX46" i="56"/>
  <c r="AD46" i="56"/>
  <c r="AA46" i="56"/>
  <c r="Z46" i="56"/>
  <c r="BC46" i="56" s="1"/>
  <c r="N46" i="56"/>
  <c r="AC46" i="56"/>
  <c r="AB46" i="56"/>
  <c r="BB45" i="56"/>
  <c r="BA45" i="56"/>
  <c r="AY45" i="56"/>
  <c r="AX45" i="56"/>
  <c r="AD45" i="56"/>
  <c r="AA45" i="56"/>
  <c r="AC45" i="56"/>
  <c r="Z45" i="56"/>
  <c r="N45" i="56"/>
  <c r="AB45" i="56"/>
  <c r="BA44" i="56"/>
  <c r="AX44" i="56"/>
  <c r="AD44" i="56"/>
  <c r="AA44" i="56"/>
  <c r="Z44" i="56"/>
  <c r="AC44" i="56"/>
  <c r="AB44" i="56"/>
  <c r="N44" i="56"/>
  <c r="BC43" i="56"/>
  <c r="BA43" i="56"/>
  <c r="AD43" i="56"/>
  <c r="AA43" i="56"/>
  <c r="Z43" i="56"/>
  <c r="AC43" i="56"/>
  <c r="N43" i="56"/>
  <c r="BB43" i="56"/>
  <c r="AZ42" i="56"/>
  <c r="AY42" i="56"/>
  <c r="AX42" i="56"/>
  <c r="AD42" i="56"/>
  <c r="AA42" i="56"/>
  <c r="Z42" i="56"/>
  <c r="AC42" i="56"/>
  <c r="AB42" i="56"/>
  <c r="N42" i="56"/>
  <c r="BA41" i="56"/>
  <c r="AX41" i="56"/>
  <c r="AD41" i="56"/>
  <c r="AA41" i="56"/>
  <c r="AY41" i="56"/>
  <c r="Z41" i="56"/>
  <c r="AC41" i="56"/>
  <c r="N41" i="56"/>
  <c r="BA40" i="56"/>
  <c r="AZ40" i="56"/>
  <c r="AY40" i="56"/>
  <c r="AX40" i="56"/>
  <c r="AD40" i="56"/>
  <c r="AA40" i="56"/>
  <c r="Z40" i="56"/>
  <c r="BC40" i="56" s="1"/>
  <c r="AC40" i="56"/>
  <c r="N40" i="56"/>
  <c r="BB39" i="56"/>
  <c r="BA39" i="56"/>
  <c r="AX39" i="56"/>
  <c r="AD39" i="56"/>
  <c r="AC39" i="56"/>
  <c r="AA39" i="56"/>
  <c r="Z39" i="56"/>
  <c r="N39" i="56"/>
  <c r="BC39" i="56" s="1"/>
  <c r="AY39" i="56"/>
  <c r="BA38" i="56"/>
  <c r="AD38" i="56"/>
  <c r="AC38" i="56"/>
  <c r="AA38" i="56"/>
  <c r="AB38" i="56"/>
  <c r="Z38" i="56"/>
  <c r="N38" i="56"/>
  <c r="BC38" i="56" s="1"/>
  <c r="AX37" i="56"/>
  <c r="AD37" i="56"/>
  <c r="AA37" i="56"/>
  <c r="Z37" i="56"/>
  <c r="AZ37" i="56" s="1"/>
  <c r="AC37" i="56"/>
  <c r="N37" i="56"/>
  <c r="BA36" i="56"/>
  <c r="AX36" i="56"/>
  <c r="AD36" i="56"/>
  <c r="AA36" i="56"/>
  <c r="Z36" i="56"/>
  <c r="BC36" i="56" s="1"/>
  <c r="AC36" i="56"/>
  <c r="BB36" i="56"/>
  <c r="N36" i="56"/>
  <c r="BC35" i="56"/>
  <c r="BB35" i="56"/>
  <c r="BA35" i="56"/>
  <c r="AY35" i="56"/>
  <c r="AX35" i="56"/>
  <c r="AD35" i="56"/>
  <c r="AA35" i="56"/>
  <c r="Z35" i="56"/>
  <c r="AB35" i="56"/>
  <c r="AC35" i="56"/>
  <c r="N35" i="56"/>
  <c r="BA34" i="56"/>
  <c r="AX34" i="56"/>
  <c r="AX155" i="56" s="1"/>
  <c r="AD34" i="56"/>
  <c r="AA34" i="56"/>
  <c r="BB34" i="56"/>
  <c r="Z34" i="56"/>
  <c r="N34" i="56"/>
  <c r="BC34" i="56" s="1"/>
  <c r="AC34" i="56"/>
  <c r="BA33" i="56"/>
  <c r="BA155" i="56" s="1"/>
  <c r="AD33" i="56"/>
  <c r="AC33" i="56"/>
  <c r="AC155" i="56" s="1"/>
  <c r="AA33" i="56"/>
  <c r="AA155" i="56" s="1"/>
  <c r="Z33" i="56"/>
  <c r="BB33" i="56"/>
  <c r="BB155" i="56" s="1"/>
  <c r="N33" i="56"/>
  <c r="AZ32" i="56"/>
  <c r="AX32" i="56"/>
  <c r="AD32" i="56"/>
  <c r="AA32" i="56"/>
  <c r="Z32" i="56"/>
  <c r="AY32" i="56"/>
  <c r="N32" i="56"/>
  <c r="AC32" i="56"/>
  <c r="AB32" i="56"/>
  <c r="BA31" i="56"/>
  <c r="AX31" i="56"/>
  <c r="AD31" i="56"/>
  <c r="AB31" i="56"/>
  <c r="AA31" i="56"/>
  <c r="AC31" i="56"/>
  <c r="Z31" i="56"/>
  <c r="N31" i="56"/>
  <c r="BA30" i="56"/>
  <c r="AX30" i="56"/>
  <c r="AD30" i="56"/>
  <c r="AA30" i="56"/>
  <c r="Z30" i="56"/>
  <c r="BC30" i="56" s="1"/>
  <c r="N30" i="56"/>
  <c r="AZ30" i="56" s="1"/>
  <c r="AC30" i="56"/>
  <c r="AB30" i="56"/>
  <c r="BB29" i="56"/>
  <c r="BA29" i="56"/>
  <c r="AX29" i="56"/>
  <c r="AD29" i="56"/>
  <c r="AA29" i="56"/>
  <c r="Z29" i="56"/>
  <c r="AC29" i="56"/>
  <c r="AY29" i="56"/>
  <c r="N29" i="56"/>
  <c r="BC28" i="56"/>
  <c r="BB28" i="56"/>
  <c r="BA28" i="56"/>
  <c r="AD28" i="56"/>
  <c r="AA28" i="56"/>
  <c r="AC28" i="56"/>
  <c r="AB28" i="56"/>
  <c r="Z28" i="56"/>
  <c r="N28" i="56"/>
  <c r="AX27" i="56"/>
  <c r="AD27" i="56"/>
  <c r="AA27" i="56"/>
  <c r="Z27" i="56"/>
  <c r="AY27" i="56"/>
  <c r="N27" i="56"/>
  <c r="AC27" i="56"/>
  <c r="AB27" i="56"/>
  <c r="BA26" i="56"/>
  <c r="AX26" i="56"/>
  <c r="AD26" i="56"/>
  <c r="AA26" i="56"/>
  <c r="Z26" i="56"/>
  <c r="N26" i="56"/>
  <c r="AC26" i="56"/>
  <c r="AB26" i="56"/>
  <c r="BB25" i="56"/>
  <c r="BA25" i="56"/>
  <c r="AY25" i="56"/>
  <c r="AX25" i="56"/>
  <c r="AD25" i="56"/>
  <c r="AA25" i="56"/>
  <c r="AC25" i="56"/>
  <c r="Z25" i="56"/>
  <c r="N25" i="56"/>
  <c r="AB25" i="56"/>
  <c r="BA24" i="56"/>
  <c r="AY24" i="56"/>
  <c r="AX24" i="56"/>
  <c r="AD24" i="56"/>
  <c r="AB24" i="56"/>
  <c r="AA24" i="56"/>
  <c r="Z24" i="56"/>
  <c r="AC24" i="56"/>
  <c r="N24" i="56"/>
  <c r="BC23" i="56"/>
  <c r="BA23" i="56"/>
  <c r="AD23" i="56"/>
  <c r="AA23" i="56"/>
  <c r="Z23" i="56"/>
  <c r="AC23" i="56"/>
  <c r="N23" i="56"/>
  <c r="BB23" i="56"/>
  <c r="AZ22" i="56"/>
  <c r="AX22" i="56"/>
  <c r="AD22" i="56"/>
  <c r="AA22" i="56"/>
  <c r="Z22" i="56"/>
  <c r="AC22" i="56"/>
  <c r="AB22" i="56"/>
  <c r="N22" i="56"/>
  <c r="BA21" i="56"/>
  <c r="AX21" i="56"/>
  <c r="AD21" i="56"/>
  <c r="AA21" i="56"/>
  <c r="Z21" i="56"/>
  <c r="AC21" i="56"/>
  <c r="N21" i="56"/>
  <c r="BA20" i="56"/>
  <c r="AZ20" i="56"/>
  <c r="AY20" i="56"/>
  <c r="AX20" i="56"/>
  <c r="AD20" i="56"/>
  <c r="AA20" i="56"/>
  <c r="Z20" i="56"/>
  <c r="BC20" i="56" s="1"/>
  <c r="AC20" i="56"/>
  <c r="N20" i="56"/>
  <c r="BB19" i="56"/>
  <c r="BA19" i="56"/>
  <c r="AX19" i="56"/>
  <c r="AX154" i="56" s="1"/>
  <c r="AD19" i="56"/>
  <c r="AD154" i="56" s="1"/>
  <c r="AC19" i="56"/>
  <c r="AA19" i="56"/>
  <c r="Z19" i="56"/>
  <c r="N19" i="56"/>
  <c r="BC19" i="56" s="1"/>
  <c r="AY19" i="56"/>
  <c r="AY154" i="56" s="1"/>
  <c r="BA18" i="56"/>
  <c r="BA154" i="56" s="1"/>
  <c r="AD18" i="56"/>
  <c r="AC18" i="56"/>
  <c r="AC154" i="56" s="1"/>
  <c r="AA18" i="56"/>
  <c r="AA154" i="56" s="1"/>
  <c r="Z18" i="56"/>
  <c r="N18" i="56"/>
  <c r="AX17" i="56"/>
  <c r="AD17" i="56"/>
  <c r="AA17" i="56"/>
  <c r="Z17" i="56"/>
  <c r="AZ17" i="56" s="1"/>
  <c r="AC17" i="56"/>
  <c r="N17" i="56"/>
  <c r="BA16" i="56"/>
  <c r="AZ16" i="56"/>
  <c r="AX16" i="56"/>
  <c r="AD16" i="56"/>
  <c r="AA16" i="56"/>
  <c r="Z16" i="56"/>
  <c r="BC16" i="56" s="1"/>
  <c r="AC16" i="56"/>
  <c r="BB16" i="56"/>
  <c r="N16" i="56"/>
  <c r="BB15" i="56"/>
  <c r="BA15" i="56"/>
  <c r="AY15" i="56"/>
  <c r="AX15" i="56"/>
  <c r="AD15" i="56"/>
  <c r="AA15" i="56"/>
  <c r="Z15" i="56"/>
  <c r="AZ15" i="56" s="1"/>
  <c r="AB15" i="56"/>
  <c r="AC15" i="56"/>
  <c r="N15" i="56"/>
  <c r="BA14" i="56"/>
  <c r="AX14" i="56"/>
  <c r="AD14" i="56"/>
  <c r="AA14" i="56"/>
  <c r="BB14" i="56"/>
  <c r="Z14" i="56"/>
  <c r="AZ14" i="56" s="1"/>
  <c r="N14" i="56"/>
  <c r="AC14" i="56"/>
  <c r="BA13" i="56"/>
  <c r="AD13" i="56"/>
  <c r="AA13" i="56"/>
  <c r="Z13" i="56"/>
  <c r="BB13" i="56"/>
  <c r="N13" i="56"/>
  <c r="BC13" i="56" s="1"/>
  <c r="AC13" i="56"/>
  <c r="AZ12" i="56"/>
  <c r="AX12" i="56"/>
  <c r="AD12" i="56"/>
  <c r="AA12" i="56"/>
  <c r="Z12" i="56"/>
  <c r="N12" i="56"/>
  <c r="AC12" i="56"/>
  <c r="AB12" i="56"/>
  <c r="BA11" i="56"/>
  <c r="AX11" i="56"/>
  <c r="AD11" i="56"/>
  <c r="AB11" i="56"/>
  <c r="AA11" i="56"/>
  <c r="AC11" i="56"/>
  <c r="BB11" i="56"/>
  <c r="Z11" i="56"/>
  <c r="N11" i="56"/>
  <c r="BA10" i="56"/>
  <c r="AX10" i="56"/>
  <c r="AD10" i="56"/>
  <c r="AA10" i="56"/>
  <c r="Z10" i="56"/>
  <c r="BC10" i="56" s="1"/>
  <c r="N10" i="56"/>
  <c r="AZ10" i="56" s="1"/>
  <c r="AC10" i="56"/>
  <c r="AB10" i="56"/>
  <c r="BB9" i="56"/>
  <c r="BA9" i="56"/>
  <c r="AX9" i="56"/>
  <c r="AD9" i="56"/>
  <c r="AA9" i="56"/>
  <c r="Z9" i="56"/>
  <c r="AC9" i="56"/>
  <c r="AY9" i="56"/>
  <c r="N9" i="56"/>
  <c r="BC8" i="56"/>
  <c r="BA8" i="56"/>
  <c r="AD8" i="56"/>
  <c r="AA8" i="56"/>
  <c r="AC8" i="56"/>
  <c r="BB8" i="56"/>
  <c r="Z8" i="56"/>
  <c r="N8" i="56"/>
  <c r="AX7" i="56"/>
  <c r="AD7" i="56"/>
  <c r="AA7" i="56"/>
  <c r="Z7" i="56"/>
  <c r="AY7" i="56"/>
  <c r="N7" i="56"/>
  <c r="AC7" i="56"/>
  <c r="AB7" i="56"/>
  <c r="BA6" i="56"/>
  <c r="AX6" i="56"/>
  <c r="AD6" i="56"/>
  <c r="AC6" i="56"/>
  <c r="AA6" i="56"/>
  <c r="Z6" i="56"/>
  <c r="BC6" i="56" s="1"/>
  <c r="N6" i="56"/>
  <c r="AB6" i="56"/>
  <c r="BB5" i="56"/>
  <c r="BA5" i="56"/>
  <c r="AY5" i="56"/>
  <c r="AX5" i="56"/>
  <c r="AD5" i="56"/>
  <c r="AA5" i="56"/>
  <c r="AC5" i="56"/>
  <c r="Z5" i="56"/>
  <c r="N5" i="56"/>
  <c r="AB5" i="56"/>
  <c r="BA4" i="56"/>
  <c r="AX4" i="56"/>
  <c r="AX153" i="56" s="1"/>
  <c r="AD4" i="56"/>
  <c r="AA4" i="56"/>
  <c r="Z4" i="56"/>
  <c r="AC4" i="56"/>
  <c r="AY4" i="56"/>
  <c r="N4" i="56"/>
  <c r="BC3" i="56"/>
  <c r="BA3" i="56"/>
  <c r="AD3" i="56"/>
  <c r="AA3" i="56"/>
  <c r="Z3" i="56"/>
  <c r="N3" i="56"/>
  <c r="AC152" i="53"/>
  <c r="Z152" i="53"/>
  <c r="AA152" i="53"/>
  <c r="N152" i="53"/>
  <c r="AZ152" i="53" s="1"/>
  <c r="AD152" i="53"/>
  <c r="AC151" i="53"/>
  <c r="Z151" i="53"/>
  <c r="BC151" i="53" s="1"/>
  <c r="AB151" i="53"/>
  <c r="AA151" i="53"/>
  <c r="N151" i="53"/>
  <c r="AZ151" i="53" s="1"/>
  <c r="AD151" i="53"/>
  <c r="AC150" i="53"/>
  <c r="Z150" i="53"/>
  <c r="BC150" i="53" s="1"/>
  <c r="AB150" i="53"/>
  <c r="AA150" i="53"/>
  <c r="N150" i="53"/>
  <c r="AZ150" i="53" s="1"/>
  <c r="AD150" i="53"/>
  <c r="AB149" i="53"/>
  <c r="AC149" i="53"/>
  <c r="BB149" i="53"/>
  <c r="Z149" i="53"/>
  <c r="AD149" i="53"/>
  <c r="N149" i="53"/>
  <c r="BA149" i="53"/>
  <c r="BB148" i="53"/>
  <c r="AC148" i="53"/>
  <c r="AB148" i="53"/>
  <c r="Z148" i="53"/>
  <c r="AD148" i="53"/>
  <c r="N148" i="53"/>
  <c r="BC148" i="53" s="1"/>
  <c r="BA148" i="53"/>
  <c r="AZ147" i="53"/>
  <c r="Z147" i="53"/>
  <c r="AC147" i="53"/>
  <c r="AY147" i="53"/>
  <c r="AX147" i="53"/>
  <c r="N147" i="53"/>
  <c r="AD147" i="53"/>
  <c r="BA146" i="53"/>
  <c r="AZ146" i="53"/>
  <c r="Z146" i="53"/>
  <c r="BC146" i="53" s="1"/>
  <c r="AC146" i="53"/>
  <c r="AY146" i="53"/>
  <c r="AX146" i="53"/>
  <c r="N146" i="53"/>
  <c r="AD146" i="53"/>
  <c r="BA145" i="53"/>
  <c r="AZ145" i="53"/>
  <c r="Z145" i="53"/>
  <c r="BC145" i="53" s="1"/>
  <c r="AC145" i="53"/>
  <c r="AY145" i="53"/>
  <c r="AX145" i="53"/>
  <c r="N145" i="53"/>
  <c r="AD145" i="53"/>
  <c r="BA144" i="53"/>
  <c r="AZ144" i="53"/>
  <c r="AC144" i="53"/>
  <c r="Z144" i="53"/>
  <c r="AD144" i="53"/>
  <c r="N144" i="53"/>
  <c r="AB143" i="53"/>
  <c r="AC143" i="53"/>
  <c r="BB143" i="53"/>
  <c r="Z143" i="53"/>
  <c r="BA143" i="53"/>
  <c r="AD143" i="53"/>
  <c r="N143" i="53"/>
  <c r="AZ142" i="53"/>
  <c r="Z142" i="53"/>
  <c r="AC142" i="53"/>
  <c r="N142" i="53"/>
  <c r="AD142" i="53"/>
  <c r="Z141" i="53"/>
  <c r="N141" i="53"/>
  <c r="AC141" i="53"/>
  <c r="BB141" i="53"/>
  <c r="AD141" i="53"/>
  <c r="AD140" i="53"/>
  <c r="AY140" i="53"/>
  <c r="Z140" i="53"/>
  <c r="N140" i="53"/>
  <c r="AC139" i="53"/>
  <c r="AA139" i="53"/>
  <c r="Z139" i="53"/>
  <c r="N139" i="53"/>
  <c r="AB139" i="53"/>
  <c r="BA139" i="53"/>
  <c r="Z138" i="53"/>
  <c r="BC138" i="53" s="1"/>
  <c r="AC138" i="53"/>
  <c r="BA138" i="53"/>
  <c r="AD138" i="53"/>
  <c r="N138" i="53"/>
  <c r="AD137" i="53"/>
  <c r="AC137" i="53"/>
  <c r="Z137" i="53"/>
  <c r="AY137" i="53"/>
  <c r="AX137" i="53"/>
  <c r="N137" i="53"/>
  <c r="AZ137" i="53" s="1"/>
  <c r="AA137" i="53"/>
  <c r="BC136" i="53"/>
  <c r="AC136" i="53"/>
  <c r="AA136" i="53"/>
  <c r="Z136" i="53"/>
  <c r="AY136" i="53"/>
  <c r="AX136" i="53"/>
  <c r="AD136" i="53"/>
  <c r="BB136" i="53"/>
  <c r="N136" i="53"/>
  <c r="AZ136" i="53" s="1"/>
  <c r="BA136" i="53"/>
  <c r="AC135" i="53"/>
  <c r="AB135" i="53"/>
  <c r="Z135" i="53"/>
  <c r="AY135" i="53"/>
  <c r="AD135" i="53"/>
  <c r="BB135" i="53"/>
  <c r="N135" i="53"/>
  <c r="BB134" i="53"/>
  <c r="AY134" i="53"/>
  <c r="AD134" i="53"/>
  <c r="Z134" i="53"/>
  <c r="AZ134" i="53" s="1"/>
  <c r="AC134" i="53"/>
  <c r="AB134" i="53"/>
  <c r="BA134" i="53"/>
  <c r="N134" i="53"/>
  <c r="AA134" i="53"/>
  <c r="BB133" i="53"/>
  <c r="AB133" i="53"/>
  <c r="Z133" i="53"/>
  <c r="AC133" i="53"/>
  <c r="AD133" i="53"/>
  <c r="AD160" i="53" s="1"/>
  <c r="N133" i="53"/>
  <c r="AA133" i="53"/>
  <c r="AA160" i="53" s="1"/>
  <c r="AZ132" i="53"/>
  <c r="AX132" i="53"/>
  <c r="AD132" i="53"/>
  <c r="AA132" i="53"/>
  <c r="AC132" i="53"/>
  <c r="Z132" i="53"/>
  <c r="N132" i="53"/>
  <c r="BB131" i="53"/>
  <c r="BA131" i="53"/>
  <c r="AZ131" i="53"/>
  <c r="AX131" i="53"/>
  <c r="AD131" i="53"/>
  <c r="AA131" i="53"/>
  <c r="Z131" i="53"/>
  <c r="AC131" i="53"/>
  <c r="AY131" i="53"/>
  <c r="N131" i="53"/>
  <c r="BC130" i="53"/>
  <c r="BA130" i="53"/>
  <c r="AX130" i="53"/>
  <c r="AD130" i="53"/>
  <c r="AC130" i="53"/>
  <c r="AA130" i="53"/>
  <c r="Z130" i="53"/>
  <c r="N130" i="53"/>
  <c r="AZ130" i="53" s="1"/>
  <c r="BA129" i="53"/>
  <c r="AX129" i="53"/>
  <c r="AD129" i="53"/>
  <c r="AC129" i="53"/>
  <c r="AA129" i="53"/>
  <c r="Z129" i="53"/>
  <c r="AB129" i="53"/>
  <c r="N129" i="53"/>
  <c r="BA128" i="53"/>
  <c r="AD128" i="53"/>
  <c r="AA128" i="53"/>
  <c r="Z128" i="53"/>
  <c r="BC128" i="53" s="1"/>
  <c r="N128" i="53"/>
  <c r="AC128" i="53"/>
  <c r="AX127" i="53"/>
  <c r="AD127" i="53"/>
  <c r="AA127" i="53"/>
  <c r="AY127" i="53"/>
  <c r="Z127" i="53"/>
  <c r="N127" i="53"/>
  <c r="AC127" i="53"/>
  <c r="AB127" i="53"/>
  <c r="BA126" i="53"/>
  <c r="AX126" i="53"/>
  <c r="AD126" i="53"/>
  <c r="AA126" i="53"/>
  <c r="AC126" i="53"/>
  <c r="AY126" i="53"/>
  <c r="Z126" i="53"/>
  <c r="BC126" i="53" s="1"/>
  <c r="N126" i="53"/>
  <c r="BB125" i="53"/>
  <c r="BA125" i="53"/>
  <c r="AZ125" i="53"/>
  <c r="AX125" i="53"/>
  <c r="AD125" i="53"/>
  <c r="AA125" i="53"/>
  <c r="Z125" i="53"/>
  <c r="AC125" i="53"/>
  <c r="AY125" i="53"/>
  <c r="N125" i="53"/>
  <c r="BB124" i="53"/>
  <c r="BA124" i="53"/>
  <c r="AY124" i="53"/>
  <c r="AX124" i="53"/>
  <c r="AD124" i="53"/>
  <c r="AA124" i="53"/>
  <c r="Z124" i="53"/>
  <c r="AC124" i="53"/>
  <c r="AB124" i="53"/>
  <c r="N124" i="53"/>
  <c r="BB123" i="53"/>
  <c r="BA123" i="53"/>
  <c r="AD123" i="53"/>
  <c r="AA123" i="53"/>
  <c r="Z123" i="53"/>
  <c r="N123" i="53"/>
  <c r="BC123" i="53" s="1"/>
  <c r="AC123" i="53"/>
  <c r="AB123" i="53"/>
  <c r="AX122" i="53"/>
  <c r="AD122" i="53"/>
  <c r="AC122" i="53"/>
  <c r="AB122" i="53"/>
  <c r="AA122" i="53"/>
  <c r="Z122" i="53"/>
  <c r="AY122" i="53"/>
  <c r="N122" i="53"/>
  <c r="AZ122" i="53" s="1"/>
  <c r="BB121" i="53"/>
  <c r="BA121" i="53"/>
  <c r="AX121" i="53"/>
  <c r="AD121" i="53"/>
  <c r="AC121" i="53"/>
  <c r="AA121" i="53"/>
  <c r="Z121" i="53"/>
  <c r="AY121" i="53"/>
  <c r="N121" i="53"/>
  <c r="AB121" i="53"/>
  <c r="BC120" i="53"/>
  <c r="BA120" i="53"/>
  <c r="AX120" i="53"/>
  <c r="AD120" i="53"/>
  <c r="AA120" i="53"/>
  <c r="AC120" i="53"/>
  <c r="AY120" i="53"/>
  <c r="Z120" i="53"/>
  <c r="AZ120" i="53" s="1"/>
  <c r="N120" i="53"/>
  <c r="AB120" i="53"/>
  <c r="BA119" i="53"/>
  <c r="AZ119" i="53"/>
  <c r="AX119" i="53"/>
  <c r="AD119" i="53"/>
  <c r="AB119" i="53"/>
  <c r="AA119" i="53"/>
  <c r="AC119" i="53"/>
  <c r="Z119" i="53"/>
  <c r="BC119" i="53" s="1"/>
  <c r="N119" i="53"/>
  <c r="BB119" i="53"/>
  <c r="BB118" i="53"/>
  <c r="BA118" i="53"/>
  <c r="AD118" i="53"/>
  <c r="AA118" i="53"/>
  <c r="Z118" i="53"/>
  <c r="BC118" i="53" s="1"/>
  <c r="AC118" i="53"/>
  <c r="AB118" i="53"/>
  <c r="N118" i="53"/>
  <c r="AX117" i="53"/>
  <c r="AD117" i="53"/>
  <c r="AA117" i="53"/>
  <c r="Z117" i="53"/>
  <c r="AZ117" i="53" s="1"/>
  <c r="AC117" i="53"/>
  <c r="AY117" i="53"/>
  <c r="N117" i="53"/>
  <c r="BB116" i="53"/>
  <c r="BA116" i="53"/>
  <c r="AX116" i="53"/>
  <c r="AD116" i="53"/>
  <c r="AB116" i="53"/>
  <c r="AA116" i="53"/>
  <c r="Z116" i="53"/>
  <c r="AY116" i="53"/>
  <c r="AC116" i="53"/>
  <c r="N116" i="53"/>
  <c r="BC116" i="53" s="1"/>
  <c r="BB115" i="53"/>
  <c r="BA115" i="53"/>
  <c r="AX115" i="53"/>
  <c r="AD115" i="53"/>
  <c r="AC115" i="53"/>
  <c r="AA115" i="53"/>
  <c r="AY115" i="53"/>
  <c r="Z115" i="53"/>
  <c r="AB115" i="53"/>
  <c r="N115" i="53"/>
  <c r="BA114" i="53"/>
  <c r="AY114" i="53"/>
  <c r="AY159" i="53" s="1"/>
  <c r="AX114" i="53"/>
  <c r="AX159" i="53" s="1"/>
  <c r="AD114" i="53"/>
  <c r="AC114" i="53"/>
  <c r="AC160" i="53" s="1"/>
  <c r="AA114" i="53"/>
  <c r="BB114" i="53"/>
  <c r="BB160" i="53" s="1"/>
  <c r="Z114" i="53"/>
  <c r="N114" i="53"/>
  <c r="AB114" i="53"/>
  <c r="AB160" i="53" s="1"/>
  <c r="BC113" i="53"/>
  <c r="BC159" i="53" s="1"/>
  <c r="BA113" i="53"/>
  <c r="BA159" i="53" s="1"/>
  <c r="AD113" i="53"/>
  <c r="AC113" i="53"/>
  <c r="AC159" i="53" s="1"/>
  <c r="AA113" i="53"/>
  <c r="AA159" i="53" s="1"/>
  <c r="Z113" i="53"/>
  <c r="N113" i="53"/>
  <c r="AY112" i="53"/>
  <c r="AX112" i="53"/>
  <c r="AD112" i="53"/>
  <c r="AB112" i="53"/>
  <c r="AA112" i="53"/>
  <c r="AC112" i="53"/>
  <c r="Z112" i="53"/>
  <c r="AZ112" i="53" s="1"/>
  <c r="N112" i="53"/>
  <c r="BB111" i="53"/>
  <c r="BA111" i="53"/>
  <c r="AX111" i="53"/>
  <c r="AD111" i="53"/>
  <c r="AA111" i="53"/>
  <c r="AC111" i="53"/>
  <c r="AY111" i="53"/>
  <c r="Z111" i="53"/>
  <c r="N111" i="53"/>
  <c r="BA110" i="53"/>
  <c r="AZ110" i="53"/>
  <c r="AX110" i="53"/>
  <c r="AD110" i="53"/>
  <c r="AA110" i="53"/>
  <c r="Z110" i="53"/>
  <c r="AC110" i="53"/>
  <c r="AY110" i="53"/>
  <c r="BB110" i="53"/>
  <c r="N110" i="53"/>
  <c r="BC110" i="53" s="1"/>
  <c r="BA109" i="53"/>
  <c r="AX109" i="53"/>
  <c r="AD109" i="53"/>
  <c r="AB109" i="53"/>
  <c r="AA109" i="53"/>
  <c r="Z109" i="53"/>
  <c r="AC109" i="53"/>
  <c r="AY109" i="53"/>
  <c r="N109" i="53"/>
  <c r="BB108" i="53"/>
  <c r="BA108" i="53"/>
  <c r="AD108" i="53"/>
  <c r="AB108" i="53"/>
  <c r="AA108" i="53"/>
  <c r="Z108" i="53"/>
  <c r="N108" i="53"/>
  <c r="AC108" i="53"/>
  <c r="AX107" i="53"/>
  <c r="AD107" i="53"/>
  <c r="AA107" i="53"/>
  <c r="Z107" i="53"/>
  <c r="AZ107" i="53" s="1"/>
  <c r="AY107" i="53"/>
  <c r="N107" i="53"/>
  <c r="AC107" i="53"/>
  <c r="AB107" i="53"/>
  <c r="BC106" i="53"/>
  <c r="BA106" i="53"/>
  <c r="AY106" i="53"/>
  <c r="AX106" i="53"/>
  <c r="AD106" i="53"/>
  <c r="AB106" i="53"/>
  <c r="AA106" i="53"/>
  <c r="AC106" i="53"/>
  <c r="BB106" i="53"/>
  <c r="Z106" i="53"/>
  <c r="AZ106" i="53" s="1"/>
  <c r="N106" i="53"/>
  <c r="BB105" i="53"/>
  <c r="BA105" i="53"/>
  <c r="AX105" i="53"/>
  <c r="AD105" i="53"/>
  <c r="AA105" i="53"/>
  <c r="AC105" i="53"/>
  <c r="AY105" i="53"/>
  <c r="Z105" i="53"/>
  <c r="N105" i="53"/>
  <c r="BA104" i="53"/>
  <c r="AZ104" i="53"/>
  <c r="AX104" i="53"/>
  <c r="AD104" i="53"/>
  <c r="AA104" i="53"/>
  <c r="Z104" i="53"/>
  <c r="BC104" i="53" s="1"/>
  <c r="AC104" i="53"/>
  <c r="AB104" i="53"/>
  <c r="N104" i="53"/>
  <c r="BA103" i="53"/>
  <c r="AD103" i="53"/>
  <c r="AB103" i="53"/>
  <c r="AA103" i="53"/>
  <c r="Z103" i="53"/>
  <c r="AC103" i="53"/>
  <c r="BB103" i="53"/>
  <c r="N103" i="53"/>
  <c r="BC103" i="53" s="1"/>
  <c r="AX102" i="53"/>
  <c r="AD102" i="53"/>
  <c r="AA102" i="53"/>
  <c r="Z102" i="53"/>
  <c r="AZ102" i="53" s="1"/>
  <c r="AC102" i="53"/>
  <c r="AY102" i="53"/>
  <c r="N102" i="53"/>
  <c r="BB101" i="53"/>
  <c r="BA101" i="53"/>
  <c r="AX101" i="53"/>
  <c r="AD101" i="53"/>
  <c r="AA101" i="53"/>
  <c r="Z101" i="53"/>
  <c r="AY101" i="53"/>
  <c r="N101" i="53"/>
  <c r="AC101" i="53"/>
  <c r="AB101" i="53"/>
  <c r="BC100" i="53"/>
  <c r="BA100" i="53"/>
  <c r="AY100" i="53"/>
  <c r="AX100" i="53"/>
  <c r="AD100" i="53"/>
  <c r="AB100" i="53"/>
  <c r="AA100" i="53"/>
  <c r="AC100" i="53"/>
  <c r="BB100" i="53"/>
  <c r="Z100" i="53"/>
  <c r="AZ100" i="53" s="1"/>
  <c r="N100" i="53"/>
  <c r="BB99" i="53"/>
  <c r="BA99" i="53"/>
  <c r="AY99" i="53"/>
  <c r="AY158" i="53" s="1"/>
  <c r="AX99" i="53"/>
  <c r="AX158" i="53" s="1"/>
  <c r="AD99" i="53"/>
  <c r="AB99" i="53"/>
  <c r="AA99" i="53"/>
  <c r="Z99" i="53"/>
  <c r="N99" i="53"/>
  <c r="BA98" i="53"/>
  <c r="BA158" i="53" s="1"/>
  <c r="AD98" i="53"/>
  <c r="AD158" i="53" s="1"/>
  <c r="AA98" i="53"/>
  <c r="AA158" i="53" s="1"/>
  <c r="Z98" i="53"/>
  <c r="N98" i="53"/>
  <c r="AX97" i="53"/>
  <c r="AD97" i="53"/>
  <c r="AA97" i="53"/>
  <c r="Z97" i="53"/>
  <c r="AZ97" i="53" s="1"/>
  <c r="AC97" i="53"/>
  <c r="N97" i="53"/>
  <c r="BB96" i="53"/>
  <c r="BA96" i="53"/>
  <c r="AX96" i="53"/>
  <c r="AD96" i="53"/>
  <c r="AA96" i="53"/>
  <c r="Z96" i="53"/>
  <c r="AC96" i="53"/>
  <c r="AY96" i="53"/>
  <c r="N96" i="53"/>
  <c r="BB95" i="53"/>
  <c r="BA95" i="53"/>
  <c r="AX95" i="53"/>
  <c r="AD95" i="53"/>
  <c r="AA95" i="53"/>
  <c r="Z95" i="53"/>
  <c r="AZ95" i="53" s="1"/>
  <c r="AY95" i="53"/>
  <c r="N95" i="53"/>
  <c r="AC95" i="53"/>
  <c r="BA94" i="53"/>
  <c r="AX94" i="53"/>
  <c r="AD94" i="53"/>
  <c r="AA94" i="53"/>
  <c r="Z94" i="53"/>
  <c r="AC94" i="53"/>
  <c r="N94" i="53"/>
  <c r="BA93" i="53"/>
  <c r="AD93" i="53"/>
  <c r="AC93" i="53"/>
  <c r="AA93" i="53"/>
  <c r="Z93" i="53"/>
  <c r="N93" i="53"/>
  <c r="AX92" i="53"/>
  <c r="AD92" i="53"/>
  <c r="AA92" i="53"/>
  <c r="AY92" i="53"/>
  <c r="Z92" i="53"/>
  <c r="N92" i="53"/>
  <c r="AC92" i="53"/>
  <c r="AB92" i="53"/>
  <c r="BA91" i="53"/>
  <c r="AX91" i="53"/>
  <c r="AD91" i="53"/>
  <c r="AA91" i="53"/>
  <c r="AC91" i="53"/>
  <c r="AY91" i="53"/>
  <c r="Z91" i="53"/>
  <c r="AZ91" i="53" s="1"/>
  <c r="N91" i="53"/>
  <c r="BB90" i="53"/>
  <c r="BA90" i="53"/>
  <c r="AZ90" i="53"/>
  <c r="AX90" i="53"/>
  <c r="AD90" i="53"/>
  <c r="AA90" i="53"/>
  <c r="Z90" i="53"/>
  <c r="BC90" i="53" s="1"/>
  <c r="AC90" i="53"/>
  <c r="AY90" i="53"/>
  <c r="N90" i="53"/>
  <c r="BA89" i="53"/>
  <c r="AX89" i="53"/>
  <c r="AD89" i="53"/>
  <c r="AA89" i="53"/>
  <c r="Z89" i="53"/>
  <c r="AC89" i="53"/>
  <c r="N89" i="53"/>
  <c r="BC89" i="53" s="1"/>
  <c r="BA88" i="53"/>
  <c r="AD88" i="53"/>
  <c r="AC88" i="53"/>
  <c r="AA88" i="53"/>
  <c r="Z88" i="53"/>
  <c r="N88" i="53"/>
  <c r="AX87" i="53"/>
  <c r="AD87" i="53"/>
  <c r="AC87" i="53"/>
  <c r="AA87" i="53"/>
  <c r="Z87" i="53"/>
  <c r="AY87" i="53"/>
  <c r="N87" i="53"/>
  <c r="AB87" i="53"/>
  <c r="BA86" i="53"/>
  <c r="AX86" i="53"/>
  <c r="AD86" i="53"/>
  <c r="AA86" i="53"/>
  <c r="Z86" i="53"/>
  <c r="N86" i="53"/>
  <c r="AC86" i="53"/>
  <c r="AB86" i="53"/>
  <c r="BA85" i="53"/>
  <c r="AX85" i="53"/>
  <c r="AD85" i="53"/>
  <c r="AA85" i="53"/>
  <c r="AC85" i="53"/>
  <c r="Z85" i="53"/>
  <c r="N85" i="53"/>
  <c r="AZ85" i="53" s="1"/>
  <c r="BA84" i="53"/>
  <c r="AX84" i="53"/>
  <c r="AD84" i="53"/>
  <c r="AA84" i="53"/>
  <c r="AC84" i="53"/>
  <c r="AY84" i="53"/>
  <c r="Z84" i="53"/>
  <c r="N84" i="53"/>
  <c r="AB84" i="53"/>
  <c r="BA83" i="53"/>
  <c r="AD83" i="53"/>
  <c r="AA83" i="53"/>
  <c r="Z83" i="53"/>
  <c r="AC83" i="53"/>
  <c r="AB83" i="53"/>
  <c r="N83" i="53"/>
  <c r="AX82" i="53"/>
  <c r="AD82" i="53"/>
  <c r="AA82" i="53"/>
  <c r="Z82" i="53"/>
  <c r="AY82" i="53"/>
  <c r="N82" i="53"/>
  <c r="AC82" i="53"/>
  <c r="AB82" i="53"/>
  <c r="C82" i="53"/>
  <c r="BA81" i="53"/>
  <c r="AZ81" i="53"/>
  <c r="AX81" i="53"/>
  <c r="AD81" i="53"/>
  <c r="AA81" i="53"/>
  <c r="AC81" i="53"/>
  <c r="Z81" i="53"/>
  <c r="BC81" i="53" s="1"/>
  <c r="N81" i="53"/>
  <c r="C81" i="53"/>
  <c r="BB80" i="53"/>
  <c r="BA80" i="53"/>
  <c r="AY80" i="53"/>
  <c r="AX80" i="53"/>
  <c r="AD80" i="53"/>
  <c r="AA80" i="53"/>
  <c r="Z80" i="53"/>
  <c r="AC80" i="53"/>
  <c r="AB80" i="53"/>
  <c r="N80" i="53"/>
  <c r="C80" i="53"/>
  <c r="BA79" i="53"/>
  <c r="AX79" i="53"/>
  <c r="AX157" i="53" s="1"/>
  <c r="AD79" i="53"/>
  <c r="AA79" i="53"/>
  <c r="Z79" i="53"/>
  <c r="AC79" i="53"/>
  <c r="AY79" i="53"/>
  <c r="AY157" i="53" s="1"/>
  <c r="N79" i="53"/>
  <c r="C79" i="53"/>
  <c r="BA78" i="53"/>
  <c r="BA157" i="53" s="1"/>
  <c r="AD78" i="53"/>
  <c r="AC78" i="53"/>
  <c r="AC157" i="53" s="1"/>
  <c r="AB78" i="53"/>
  <c r="AB157" i="53" s="1"/>
  <c r="AA78" i="53"/>
  <c r="AA157" i="53" s="1"/>
  <c r="Z78" i="53"/>
  <c r="N78" i="53"/>
  <c r="BC78" i="53" s="1"/>
  <c r="BC157" i="53" s="1"/>
  <c r="C78" i="53"/>
  <c r="AY77" i="53"/>
  <c r="AX77" i="53"/>
  <c r="AD77" i="53"/>
  <c r="AB77" i="53"/>
  <c r="AA77" i="53"/>
  <c r="AC77" i="53"/>
  <c r="Z77" i="53"/>
  <c r="AZ77" i="53" s="1"/>
  <c r="N77" i="53"/>
  <c r="BA76" i="53"/>
  <c r="AX76" i="53"/>
  <c r="AD76" i="53"/>
  <c r="AA76" i="53"/>
  <c r="AC76" i="53"/>
  <c r="Z76" i="53"/>
  <c r="AZ76" i="53" s="1"/>
  <c r="BB76" i="53"/>
  <c r="N76" i="53"/>
  <c r="BB75" i="53"/>
  <c r="BA75" i="53"/>
  <c r="AX75" i="53"/>
  <c r="AD75" i="53"/>
  <c r="AC75" i="53"/>
  <c r="AA75" i="53"/>
  <c r="Z75" i="53"/>
  <c r="AY75" i="53"/>
  <c r="N75" i="53"/>
  <c r="AB75" i="53"/>
  <c r="BB74" i="53"/>
  <c r="BA74" i="53"/>
  <c r="AY74" i="53"/>
  <c r="AX74" i="53"/>
  <c r="AD74" i="53"/>
  <c r="AA74" i="53"/>
  <c r="Z74" i="53"/>
  <c r="N74" i="53"/>
  <c r="AC74" i="53"/>
  <c r="AB74" i="53"/>
  <c r="BC73" i="53"/>
  <c r="BA73" i="53"/>
  <c r="AD73" i="53"/>
  <c r="AA73" i="53"/>
  <c r="Z73" i="53"/>
  <c r="AC73" i="53"/>
  <c r="N73" i="53"/>
  <c r="AX72" i="53"/>
  <c r="AD72" i="53"/>
  <c r="AA72" i="53"/>
  <c r="Z72" i="53"/>
  <c r="AC72" i="53"/>
  <c r="N72" i="53"/>
  <c r="BB71" i="53"/>
  <c r="BA71" i="53"/>
  <c r="AZ71" i="53"/>
  <c r="AX71" i="53"/>
  <c r="AD71" i="53"/>
  <c r="AA71" i="53"/>
  <c r="Z71" i="53"/>
  <c r="BC71" i="53" s="1"/>
  <c r="AC71" i="53"/>
  <c r="AY71" i="53"/>
  <c r="N71" i="53"/>
  <c r="BB70" i="53"/>
  <c r="BA70" i="53"/>
  <c r="AX70" i="53"/>
  <c r="AD70" i="53"/>
  <c r="AB70" i="53"/>
  <c r="AA70" i="53"/>
  <c r="AC70" i="53"/>
  <c r="AY70" i="53"/>
  <c r="Z70" i="53"/>
  <c r="N70" i="53"/>
  <c r="BA69" i="53"/>
  <c r="AX69" i="53"/>
  <c r="AD69" i="53"/>
  <c r="AA69" i="53"/>
  <c r="AC69" i="53"/>
  <c r="BB69" i="53"/>
  <c r="Z69" i="53"/>
  <c r="AB69" i="53"/>
  <c r="N69" i="53"/>
  <c r="BA68" i="53"/>
  <c r="AD68" i="53"/>
  <c r="AA68" i="53"/>
  <c r="Z68" i="53"/>
  <c r="BC68" i="53" s="1"/>
  <c r="N68" i="53"/>
  <c r="AC68" i="53"/>
  <c r="BB68" i="53"/>
  <c r="AX67" i="53"/>
  <c r="AD67" i="53"/>
  <c r="AC67" i="53"/>
  <c r="AA67" i="53"/>
  <c r="Z67" i="53"/>
  <c r="AY67" i="53"/>
  <c r="N67" i="53"/>
  <c r="AB67" i="53"/>
  <c r="BA66" i="53"/>
  <c r="AY66" i="53"/>
  <c r="AX66" i="53"/>
  <c r="AD66" i="53"/>
  <c r="AA66" i="53"/>
  <c r="Z66" i="53"/>
  <c r="AC66" i="53"/>
  <c r="N66" i="53"/>
  <c r="BB65" i="53"/>
  <c r="BA65" i="53"/>
  <c r="AX65" i="53"/>
  <c r="AD65" i="53"/>
  <c r="AA65" i="53"/>
  <c r="Z65" i="53"/>
  <c r="BC65" i="53" s="1"/>
  <c r="AC65" i="53"/>
  <c r="AY65" i="53"/>
  <c r="N65" i="53"/>
  <c r="BB64" i="53"/>
  <c r="BA64" i="53"/>
  <c r="AY64" i="53"/>
  <c r="AX64" i="53"/>
  <c r="AD64" i="53"/>
  <c r="AA64" i="53"/>
  <c r="Z64" i="53"/>
  <c r="AC64" i="53"/>
  <c r="AB64" i="53"/>
  <c r="N64" i="53"/>
  <c r="BC63" i="53"/>
  <c r="BA63" i="53"/>
  <c r="AD63" i="53"/>
  <c r="AA63" i="53"/>
  <c r="Z63" i="53"/>
  <c r="N63" i="53"/>
  <c r="AC63" i="53"/>
  <c r="BB63" i="53"/>
  <c r="AX62" i="53"/>
  <c r="AD62" i="53"/>
  <c r="AB62" i="53"/>
  <c r="AA62" i="53"/>
  <c r="AC62" i="53"/>
  <c r="Z62" i="53"/>
  <c r="AZ62" i="53" s="1"/>
  <c r="N62" i="53"/>
  <c r="BB61" i="53"/>
  <c r="BA61" i="53"/>
  <c r="AX61" i="53"/>
  <c r="AD61" i="53"/>
  <c r="AC61" i="53"/>
  <c r="AA61" i="53"/>
  <c r="Z61" i="53"/>
  <c r="BC61" i="53" s="1"/>
  <c r="AY61" i="53"/>
  <c r="N61" i="53"/>
  <c r="AB61" i="53"/>
  <c r="BA60" i="53"/>
  <c r="AX60" i="53"/>
  <c r="AD60" i="53"/>
  <c r="AA60" i="53"/>
  <c r="Z60" i="53"/>
  <c r="AC60" i="53"/>
  <c r="N60" i="53"/>
  <c r="BA59" i="53"/>
  <c r="AX59" i="53"/>
  <c r="AX156" i="53" s="1"/>
  <c r="AD59" i="53"/>
  <c r="AA59" i="53"/>
  <c r="Z59" i="53"/>
  <c r="AC59" i="53"/>
  <c r="N59" i="53"/>
  <c r="BA58" i="53"/>
  <c r="BA156" i="53" s="1"/>
  <c r="AD58" i="53"/>
  <c r="AA58" i="53"/>
  <c r="AA156" i="53" s="1"/>
  <c r="Z58" i="53"/>
  <c r="AC58" i="53"/>
  <c r="AC156" i="53" s="1"/>
  <c r="BB58" i="53"/>
  <c r="BB156" i="53" s="1"/>
  <c r="N58" i="53"/>
  <c r="AX57" i="53"/>
  <c r="AD57" i="53"/>
  <c r="AA57" i="53"/>
  <c r="Z57" i="53"/>
  <c r="AZ57" i="53" s="1"/>
  <c r="AC57" i="53"/>
  <c r="AY57" i="53"/>
  <c r="N57" i="53"/>
  <c r="BA56" i="53"/>
  <c r="AX56" i="53"/>
  <c r="AD56" i="53"/>
  <c r="AB56" i="53"/>
  <c r="AA56" i="53"/>
  <c r="AC56" i="53"/>
  <c r="BB56" i="53"/>
  <c r="Z56" i="53"/>
  <c r="N56" i="53"/>
  <c r="BB55" i="53"/>
  <c r="BA55" i="53"/>
  <c r="AX55" i="53"/>
  <c r="AD55" i="53"/>
  <c r="AC55" i="53"/>
  <c r="AA55" i="53"/>
  <c r="Z55" i="53"/>
  <c r="AY55" i="53"/>
  <c r="N55" i="53"/>
  <c r="AB55" i="53"/>
  <c r="BB54" i="53"/>
  <c r="BA54" i="53"/>
  <c r="AY54" i="53"/>
  <c r="AX54" i="53"/>
  <c r="AD54" i="53"/>
  <c r="AA54" i="53"/>
  <c r="Z54" i="53"/>
  <c r="AZ54" i="53" s="1"/>
  <c r="N54" i="53"/>
  <c r="AC54" i="53"/>
  <c r="AB54" i="53"/>
  <c r="BC53" i="53"/>
  <c r="BA53" i="53"/>
  <c r="AD53" i="53"/>
  <c r="AC53" i="53"/>
  <c r="AA53" i="53"/>
  <c r="Z53" i="53"/>
  <c r="N53" i="53"/>
  <c r="AX52" i="53"/>
  <c r="AD52" i="53"/>
  <c r="AA52" i="53"/>
  <c r="AY52" i="53"/>
  <c r="Z52" i="53"/>
  <c r="AZ52" i="53" s="1"/>
  <c r="AC52" i="53"/>
  <c r="N52" i="53"/>
  <c r="BB51" i="53"/>
  <c r="BA51" i="53"/>
  <c r="AX51" i="53"/>
  <c r="AD51" i="53"/>
  <c r="AA51" i="53"/>
  <c r="Z51" i="53"/>
  <c r="BC51" i="53" s="1"/>
  <c r="AC51" i="53"/>
  <c r="AY51" i="53"/>
  <c r="N51" i="53"/>
  <c r="BA50" i="53"/>
  <c r="AX50" i="53"/>
  <c r="AD50" i="53"/>
  <c r="AB50" i="53"/>
  <c r="AA50" i="53"/>
  <c r="AC50" i="53"/>
  <c r="BB50" i="53"/>
  <c r="Z50" i="53"/>
  <c r="N50" i="53"/>
  <c r="BA49" i="53"/>
  <c r="AX49" i="53"/>
  <c r="AD49" i="53"/>
  <c r="AA49" i="53"/>
  <c r="AC49" i="53"/>
  <c r="AB49" i="53"/>
  <c r="Z49" i="53"/>
  <c r="N49" i="53"/>
  <c r="BA48" i="53"/>
  <c r="AD48" i="53"/>
  <c r="AA48" i="53"/>
  <c r="Z48" i="53"/>
  <c r="N48" i="53"/>
  <c r="AC48" i="53"/>
  <c r="BB48" i="53"/>
  <c r="AX47" i="53"/>
  <c r="AD47" i="53"/>
  <c r="AA47" i="53"/>
  <c r="Z47" i="53"/>
  <c r="AZ47" i="53" s="1"/>
  <c r="AY47" i="53"/>
  <c r="N47" i="53"/>
  <c r="AC47" i="53"/>
  <c r="AB47" i="53"/>
  <c r="BC46" i="53"/>
  <c r="BA46" i="53"/>
  <c r="AX46" i="53"/>
  <c r="AD46" i="53"/>
  <c r="AA46" i="53"/>
  <c r="Z46" i="53"/>
  <c r="AC46" i="53"/>
  <c r="N46" i="53"/>
  <c r="BB45" i="53"/>
  <c r="BA45" i="53"/>
  <c r="AX45" i="53"/>
  <c r="AD45" i="53"/>
  <c r="AA45" i="53"/>
  <c r="Z45" i="53"/>
  <c r="AC45" i="53"/>
  <c r="AY45" i="53"/>
  <c r="N45" i="53"/>
  <c r="AZ45" i="53" s="1"/>
  <c r="BB44" i="53"/>
  <c r="BA44" i="53"/>
  <c r="AY44" i="53"/>
  <c r="AX44" i="53"/>
  <c r="AD44" i="53"/>
  <c r="AA44" i="53"/>
  <c r="Z44" i="53"/>
  <c r="AC44" i="53"/>
  <c r="AB44" i="53"/>
  <c r="N44" i="53"/>
  <c r="BA43" i="53"/>
  <c r="AD43" i="53"/>
  <c r="AA43" i="53"/>
  <c r="Z43" i="53"/>
  <c r="BC43" i="53" s="1"/>
  <c r="AC43" i="53"/>
  <c r="N43" i="53"/>
  <c r="BB43" i="53"/>
  <c r="AY42" i="53"/>
  <c r="AX42" i="53"/>
  <c r="AD42" i="53"/>
  <c r="AB42" i="53"/>
  <c r="AA42" i="53"/>
  <c r="AC42" i="53"/>
  <c r="Z42" i="53"/>
  <c r="AZ42" i="53" s="1"/>
  <c r="N42" i="53"/>
  <c r="BB41" i="53"/>
  <c r="BA41" i="53"/>
  <c r="AX41" i="53"/>
  <c r="AD41" i="53"/>
  <c r="AC41" i="53"/>
  <c r="AA41" i="53"/>
  <c r="Z41" i="53"/>
  <c r="AY41" i="53"/>
  <c r="AB41" i="53"/>
  <c r="N41" i="53"/>
  <c r="BA40" i="53"/>
  <c r="AX40" i="53"/>
  <c r="AD40" i="53"/>
  <c r="AB40" i="53"/>
  <c r="AA40" i="53"/>
  <c r="BB40" i="53"/>
  <c r="Z40" i="53"/>
  <c r="AZ40" i="53" s="1"/>
  <c r="AC40" i="53"/>
  <c r="N40" i="53"/>
  <c r="BA39" i="53"/>
  <c r="AZ39" i="53"/>
  <c r="AX39" i="53"/>
  <c r="AD39" i="53"/>
  <c r="AB39" i="53"/>
  <c r="AA39" i="53"/>
  <c r="Z39" i="53"/>
  <c r="BC39" i="53" s="1"/>
  <c r="AC39" i="53"/>
  <c r="N39" i="53"/>
  <c r="BA38" i="53"/>
  <c r="AD38" i="53"/>
  <c r="AA38" i="53"/>
  <c r="Z38" i="53"/>
  <c r="BC38" i="53" s="1"/>
  <c r="AC38" i="53"/>
  <c r="AB38" i="53"/>
  <c r="N38" i="53"/>
  <c r="AX37" i="53"/>
  <c r="AD37" i="53"/>
  <c r="AA37" i="53"/>
  <c r="AC37" i="53"/>
  <c r="AY37" i="53"/>
  <c r="Z37" i="53"/>
  <c r="AZ37" i="53" s="1"/>
  <c r="N37" i="53"/>
  <c r="BB36" i="53"/>
  <c r="BA36" i="53"/>
  <c r="AX36" i="53"/>
  <c r="AD36" i="53"/>
  <c r="AA36" i="53"/>
  <c r="AC36" i="53"/>
  <c r="AB36" i="53"/>
  <c r="Z36" i="53"/>
  <c r="AZ36" i="53" s="1"/>
  <c r="AY36" i="53"/>
  <c r="N36" i="53"/>
  <c r="BB35" i="53"/>
  <c r="BA35" i="53"/>
  <c r="AX35" i="53"/>
  <c r="AD35" i="53"/>
  <c r="AC35" i="53"/>
  <c r="AA35" i="53"/>
  <c r="AY35" i="53"/>
  <c r="Z35" i="53"/>
  <c r="N35" i="53"/>
  <c r="AB35" i="53"/>
  <c r="BB34" i="53"/>
  <c r="BA34" i="53"/>
  <c r="AY34" i="53"/>
  <c r="AY155" i="53" s="1"/>
  <c r="AX34" i="53"/>
  <c r="AX155" i="53" s="1"/>
  <c r="AD34" i="53"/>
  <c r="AA34" i="53"/>
  <c r="Z34" i="53"/>
  <c r="AC34" i="53"/>
  <c r="AB34" i="53"/>
  <c r="N34" i="53"/>
  <c r="BC33" i="53"/>
  <c r="BC155" i="53" s="1"/>
  <c r="BA33" i="53"/>
  <c r="BA155" i="53" s="1"/>
  <c r="AD33" i="53"/>
  <c r="AA33" i="53"/>
  <c r="AA155" i="53" s="1"/>
  <c r="Z33" i="53"/>
  <c r="AB33" i="53"/>
  <c r="AB155" i="53" s="1"/>
  <c r="N33" i="53"/>
  <c r="AY32" i="53"/>
  <c r="AX32" i="53"/>
  <c r="AD32" i="53"/>
  <c r="AC32" i="53"/>
  <c r="AA32" i="53"/>
  <c r="AB32" i="53"/>
  <c r="Z32" i="53"/>
  <c r="AZ32" i="53" s="1"/>
  <c r="N32" i="53"/>
  <c r="BB31" i="53"/>
  <c r="BA31" i="53"/>
  <c r="AX31" i="53"/>
  <c r="AD31" i="53"/>
  <c r="AA31" i="53"/>
  <c r="Z31" i="53"/>
  <c r="AZ31" i="53" s="1"/>
  <c r="AC31" i="53"/>
  <c r="AY31" i="53"/>
  <c r="N31" i="53"/>
  <c r="BB30" i="53"/>
  <c r="BA30" i="53"/>
  <c r="AY30" i="53"/>
  <c r="AX30" i="53"/>
  <c r="AD30" i="53"/>
  <c r="AB30" i="53"/>
  <c r="AA30" i="53"/>
  <c r="Z30" i="53"/>
  <c r="BC30" i="53" s="1"/>
  <c r="AC30" i="53"/>
  <c r="N30" i="53"/>
  <c r="BA29" i="53"/>
  <c r="AX29" i="53"/>
  <c r="AD29" i="53"/>
  <c r="AA29" i="53"/>
  <c r="AC29" i="53"/>
  <c r="AB29" i="53"/>
  <c r="Z29" i="53"/>
  <c r="BC29" i="53" s="1"/>
  <c r="BB29" i="53"/>
  <c r="N29" i="53"/>
  <c r="BA28" i="53"/>
  <c r="AD28" i="53"/>
  <c r="AA28" i="53"/>
  <c r="BB28" i="53"/>
  <c r="Z28" i="53"/>
  <c r="BC28" i="53" s="1"/>
  <c r="N28" i="53"/>
  <c r="AC28" i="53"/>
  <c r="AB28" i="53"/>
  <c r="AX27" i="53"/>
  <c r="AD27" i="53"/>
  <c r="AC27" i="53"/>
  <c r="AA27" i="53"/>
  <c r="AY27" i="53"/>
  <c r="Z27" i="53"/>
  <c r="AZ27" i="53" s="1"/>
  <c r="AB27" i="53"/>
  <c r="N27" i="53"/>
  <c r="BA26" i="53"/>
  <c r="AX26" i="53"/>
  <c r="AD26" i="53"/>
  <c r="AC26" i="53"/>
  <c r="AA26" i="53"/>
  <c r="AB26" i="53"/>
  <c r="Z26" i="53"/>
  <c r="N26" i="53"/>
  <c r="BB25" i="53"/>
  <c r="BA25" i="53"/>
  <c r="AX25" i="53"/>
  <c r="AD25" i="53"/>
  <c r="AA25" i="53"/>
  <c r="Z25" i="53"/>
  <c r="AC25" i="53"/>
  <c r="AY25" i="53"/>
  <c r="N25" i="53"/>
  <c r="BB24" i="53"/>
  <c r="BA24" i="53"/>
  <c r="AY24" i="53"/>
  <c r="AX24" i="53"/>
  <c r="AD24" i="53"/>
  <c r="AA24" i="53"/>
  <c r="AB24" i="53"/>
  <c r="Z24" i="53"/>
  <c r="AC24" i="53"/>
  <c r="N24" i="53"/>
  <c r="BA23" i="53"/>
  <c r="AD23" i="53"/>
  <c r="AA23" i="53"/>
  <c r="Z23" i="53"/>
  <c r="AB23" i="53"/>
  <c r="AC23" i="53"/>
  <c r="N23" i="53"/>
  <c r="AX22" i="53"/>
  <c r="AD22" i="53"/>
  <c r="AA22" i="53"/>
  <c r="Z22" i="53"/>
  <c r="AZ22" i="53" s="1"/>
  <c r="AY22" i="53"/>
  <c r="N22" i="53"/>
  <c r="AC22" i="53"/>
  <c r="AB22" i="53"/>
  <c r="BA21" i="53"/>
  <c r="AY21" i="53"/>
  <c r="AX21" i="53"/>
  <c r="AD21" i="53"/>
  <c r="AA21" i="53"/>
  <c r="AC21" i="53"/>
  <c r="Z21" i="53"/>
  <c r="N21" i="53"/>
  <c r="BB20" i="53"/>
  <c r="BA20" i="53"/>
  <c r="AX20" i="53"/>
  <c r="AD20" i="53"/>
  <c r="AA20" i="53"/>
  <c r="Z20" i="53"/>
  <c r="AC20" i="53"/>
  <c r="AY20" i="53"/>
  <c r="N20" i="53"/>
  <c r="BA19" i="53"/>
  <c r="AY19" i="53"/>
  <c r="AY154" i="53" s="1"/>
  <c r="AX19" i="53"/>
  <c r="AX154" i="53" s="1"/>
  <c r="AD19" i="53"/>
  <c r="AA19" i="53"/>
  <c r="Z19" i="53"/>
  <c r="AZ19" i="53" s="1"/>
  <c r="AZ154" i="53" s="1"/>
  <c r="AC19" i="53"/>
  <c r="BB19" i="53"/>
  <c r="N19" i="53"/>
  <c r="BC18" i="53"/>
  <c r="BC154" i="53" s="1"/>
  <c r="BA18" i="53"/>
  <c r="BA154" i="53" s="1"/>
  <c r="AD18" i="53"/>
  <c r="AC18" i="53"/>
  <c r="AC154" i="53" s="1"/>
  <c r="AA18" i="53"/>
  <c r="AA154" i="53" s="1"/>
  <c r="Z18" i="53"/>
  <c r="N18" i="53"/>
  <c r="AX17" i="53"/>
  <c r="AD17" i="53"/>
  <c r="AB17" i="53"/>
  <c r="AA17" i="53"/>
  <c r="Z17" i="53"/>
  <c r="AC17" i="53"/>
  <c r="N17" i="53"/>
  <c r="BA16" i="53"/>
  <c r="AX16" i="53"/>
  <c r="AD16" i="53"/>
  <c r="AA16" i="53"/>
  <c r="Z16" i="53"/>
  <c r="BC16" i="53" s="1"/>
  <c r="AY16" i="53"/>
  <c r="N16" i="53"/>
  <c r="AC16" i="53"/>
  <c r="AB16" i="53"/>
  <c r="BA15" i="53"/>
  <c r="AX15" i="53"/>
  <c r="AD15" i="53"/>
  <c r="AA15" i="53"/>
  <c r="AC15" i="53"/>
  <c r="AY15" i="53"/>
  <c r="Z15" i="53"/>
  <c r="N15" i="53"/>
  <c r="BA14" i="53"/>
  <c r="AX14" i="53"/>
  <c r="AD14" i="53"/>
  <c r="AA14" i="53"/>
  <c r="AC14" i="53"/>
  <c r="Z14" i="53"/>
  <c r="N14" i="53"/>
  <c r="BA13" i="53"/>
  <c r="AD13" i="53"/>
  <c r="AA13" i="53"/>
  <c r="AC13" i="53"/>
  <c r="Z13" i="53"/>
  <c r="AB13" i="53"/>
  <c r="N13" i="53"/>
  <c r="AX12" i="53"/>
  <c r="AD12" i="53"/>
  <c r="AA12" i="53"/>
  <c r="Z12" i="53"/>
  <c r="AZ12" i="53" s="1"/>
  <c r="AC12" i="53"/>
  <c r="AY12" i="53"/>
  <c r="N12" i="53"/>
  <c r="BA11" i="53"/>
  <c r="AY11" i="53"/>
  <c r="AX11" i="53"/>
  <c r="AD11" i="53"/>
  <c r="AB11" i="53"/>
  <c r="AA11" i="53"/>
  <c r="Z11" i="53"/>
  <c r="AC11" i="53"/>
  <c r="N11" i="53"/>
  <c r="BC11" i="53" s="1"/>
  <c r="BA10" i="53"/>
  <c r="AX10" i="53"/>
  <c r="AD10" i="53"/>
  <c r="AA10" i="53"/>
  <c r="Z10" i="53"/>
  <c r="AY10" i="53"/>
  <c r="N10" i="53"/>
  <c r="AC10" i="53"/>
  <c r="AB10" i="53"/>
  <c r="BA9" i="53"/>
  <c r="AY9" i="53"/>
  <c r="AX9" i="53"/>
  <c r="AD9" i="53"/>
  <c r="AA9" i="53"/>
  <c r="Z9" i="53"/>
  <c r="N9" i="53"/>
  <c r="BC9" i="53" s="1"/>
  <c r="AC9" i="53"/>
  <c r="AB9" i="53"/>
  <c r="BC8" i="53"/>
  <c r="BA8" i="53"/>
  <c r="AD8" i="53"/>
  <c r="AA8" i="53"/>
  <c r="Z8" i="53"/>
  <c r="AC8" i="53"/>
  <c r="BB8" i="53"/>
  <c r="N8" i="53"/>
  <c r="AY7" i="53"/>
  <c r="AX7" i="53"/>
  <c r="AD7" i="53"/>
  <c r="AB7" i="53"/>
  <c r="AA7" i="53"/>
  <c r="AC7" i="53"/>
  <c r="Z7" i="53"/>
  <c r="AZ7" i="53" s="1"/>
  <c r="N7" i="53"/>
  <c r="BB6" i="53"/>
  <c r="BA6" i="53"/>
  <c r="AX6" i="53"/>
  <c r="AD6" i="53"/>
  <c r="AA6" i="53"/>
  <c r="Z6" i="53"/>
  <c r="AC6" i="53"/>
  <c r="AY6" i="53"/>
  <c r="N6" i="53"/>
  <c r="BC5" i="53"/>
  <c r="BA5" i="53"/>
  <c r="AX5" i="53"/>
  <c r="AD5" i="53"/>
  <c r="AA5" i="53"/>
  <c r="Z5" i="53"/>
  <c r="AZ5" i="53" s="1"/>
  <c r="BB5" i="53"/>
  <c r="AC5" i="53"/>
  <c r="N5" i="53"/>
  <c r="BA4" i="53"/>
  <c r="AX4" i="53"/>
  <c r="AD4" i="53"/>
  <c r="AA4" i="53"/>
  <c r="Z4" i="53"/>
  <c r="BC4" i="53" s="1"/>
  <c r="AC4" i="53"/>
  <c r="AB4" i="53"/>
  <c r="N4" i="53"/>
  <c r="BA3" i="53"/>
  <c r="AD3" i="53"/>
  <c r="AA3" i="53"/>
  <c r="Z3" i="53"/>
  <c r="N3" i="53"/>
  <c r="Z152" i="52"/>
  <c r="AC152" i="52"/>
  <c r="N152" i="52"/>
  <c r="AD152" i="52"/>
  <c r="Z151" i="52"/>
  <c r="AC151" i="52"/>
  <c r="N151" i="52"/>
  <c r="AD151" i="52"/>
  <c r="AD150" i="52"/>
  <c r="Z150" i="52"/>
  <c r="AB150" i="52"/>
  <c r="AC150" i="52"/>
  <c r="N150" i="52"/>
  <c r="AB149" i="52"/>
  <c r="AC149" i="52"/>
  <c r="BB149" i="52"/>
  <c r="Z149" i="52"/>
  <c r="AD149" i="52"/>
  <c r="N149" i="52"/>
  <c r="AA149" i="52"/>
  <c r="BB148" i="52"/>
  <c r="AC148" i="52"/>
  <c r="AB148" i="52"/>
  <c r="Z148" i="52"/>
  <c r="BC148" i="52" s="1"/>
  <c r="AD148" i="52"/>
  <c r="N148" i="52"/>
  <c r="BA148" i="52"/>
  <c r="AD147" i="52"/>
  <c r="Z147" i="52"/>
  <c r="AY147" i="52"/>
  <c r="N147" i="52"/>
  <c r="AD146" i="52"/>
  <c r="Z146" i="52"/>
  <c r="AC146" i="52"/>
  <c r="AY146" i="52"/>
  <c r="BA146" i="52"/>
  <c r="N146" i="52"/>
  <c r="AD145" i="52"/>
  <c r="Z145" i="52"/>
  <c r="AC145" i="52"/>
  <c r="AY145" i="52"/>
  <c r="BA145" i="52"/>
  <c r="N145" i="52"/>
  <c r="BA144" i="52"/>
  <c r="AB144" i="52"/>
  <c r="Z144" i="52"/>
  <c r="AX144" i="52"/>
  <c r="AD144" i="52"/>
  <c r="N144" i="52"/>
  <c r="AC144" i="52"/>
  <c r="AA144" i="52"/>
  <c r="AC143" i="52"/>
  <c r="Z143" i="52"/>
  <c r="BC143" i="52" s="1"/>
  <c r="BA143" i="52"/>
  <c r="AD143" i="52"/>
  <c r="N143" i="52"/>
  <c r="Z142" i="52"/>
  <c r="AC142" i="52"/>
  <c r="AB142" i="52"/>
  <c r="N142" i="52"/>
  <c r="AD142" i="52"/>
  <c r="Z141" i="52"/>
  <c r="AC141" i="52"/>
  <c r="N141" i="52"/>
  <c r="AD141" i="52"/>
  <c r="Z140" i="52"/>
  <c r="AC140" i="52"/>
  <c r="N140" i="52"/>
  <c r="AD140" i="52"/>
  <c r="AC139" i="52"/>
  <c r="Z139" i="52"/>
  <c r="AD139" i="52"/>
  <c r="N139" i="52"/>
  <c r="BB138" i="52"/>
  <c r="AC138" i="52"/>
  <c r="Z138" i="52"/>
  <c r="N138" i="52"/>
  <c r="AB138" i="52"/>
  <c r="AD137" i="52"/>
  <c r="AB137" i="52"/>
  <c r="AA137" i="52"/>
  <c r="Z137" i="52"/>
  <c r="AY137" i="52"/>
  <c r="AC137" i="52"/>
  <c r="N137" i="52"/>
  <c r="BB136" i="52"/>
  <c r="AD136" i="52"/>
  <c r="AB136" i="52"/>
  <c r="Z136" i="52"/>
  <c r="AY136" i="52"/>
  <c r="AC136" i="52"/>
  <c r="N136" i="52"/>
  <c r="BB135" i="52"/>
  <c r="AD135" i="52"/>
  <c r="AB135" i="52"/>
  <c r="Z135" i="52"/>
  <c r="AY135" i="52"/>
  <c r="AC135" i="52"/>
  <c r="N135" i="52"/>
  <c r="BA134" i="52"/>
  <c r="AB134" i="52"/>
  <c r="Z134" i="52"/>
  <c r="AC134" i="52"/>
  <c r="AY134" i="52"/>
  <c r="AD134" i="52"/>
  <c r="N134" i="52"/>
  <c r="AX134" i="52"/>
  <c r="AX160" i="52" s="1"/>
  <c r="Z133" i="52"/>
  <c r="N133" i="52"/>
  <c r="BA133" i="52"/>
  <c r="BA160" i="52" s="1"/>
  <c r="AX132" i="52"/>
  <c r="AD132" i="52"/>
  <c r="AB132" i="52"/>
  <c r="Z132" i="52"/>
  <c r="N132" i="52"/>
  <c r="AC132" i="52"/>
  <c r="BA131" i="52"/>
  <c r="AX131" i="52"/>
  <c r="AD131" i="52"/>
  <c r="Z131" i="52"/>
  <c r="AC131" i="52"/>
  <c r="N131" i="52"/>
  <c r="BB130" i="52"/>
  <c r="BA130" i="52"/>
  <c r="AX130" i="52"/>
  <c r="AD130" i="52"/>
  <c r="Z130" i="52"/>
  <c r="AC130" i="52"/>
  <c r="AY130" i="52"/>
  <c r="AB130" i="52"/>
  <c r="N130" i="52"/>
  <c r="BA129" i="52"/>
  <c r="AY129" i="52"/>
  <c r="AX129" i="52"/>
  <c r="AD129" i="52"/>
  <c r="Z129" i="52"/>
  <c r="AC129" i="52"/>
  <c r="BB129" i="52"/>
  <c r="N129" i="52"/>
  <c r="BA128" i="52"/>
  <c r="AD128" i="52"/>
  <c r="AC128" i="52"/>
  <c r="BB128" i="52"/>
  <c r="Z128" i="52"/>
  <c r="N128" i="52"/>
  <c r="AX127" i="52"/>
  <c r="AD127" i="52"/>
  <c r="Z127" i="52"/>
  <c r="N127" i="52"/>
  <c r="AC127" i="52"/>
  <c r="BA126" i="52"/>
  <c r="AX126" i="52"/>
  <c r="AD126" i="52"/>
  <c r="BB126" i="52"/>
  <c r="Z126" i="52"/>
  <c r="N126" i="52"/>
  <c r="AC126" i="52"/>
  <c r="AB126" i="52"/>
  <c r="BA125" i="52"/>
  <c r="AX125" i="52"/>
  <c r="AD125" i="52"/>
  <c r="Z125" i="52"/>
  <c r="AC125" i="52"/>
  <c r="N125" i="52"/>
  <c r="BA124" i="52"/>
  <c r="AY124" i="52"/>
  <c r="AX124" i="52"/>
  <c r="AD124" i="52"/>
  <c r="Z124" i="52"/>
  <c r="AC124" i="52"/>
  <c r="N124" i="52"/>
  <c r="BB123" i="52"/>
  <c r="BA123" i="52"/>
  <c r="AD123" i="52"/>
  <c r="AB123" i="52"/>
  <c r="AC123" i="52"/>
  <c r="Z123" i="52"/>
  <c r="N123" i="52"/>
  <c r="AY122" i="52"/>
  <c r="AX122" i="52"/>
  <c r="AD122" i="52"/>
  <c r="Z122" i="52"/>
  <c r="AB122" i="52"/>
  <c r="N122" i="52"/>
  <c r="AC122" i="52"/>
  <c r="BA121" i="52"/>
  <c r="AX121" i="52"/>
  <c r="AD121" i="52"/>
  <c r="Z121" i="52"/>
  <c r="N121" i="52"/>
  <c r="AC121" i="52"/>
  <c r="AB121" i="52"/>
  <c r="BA120" i="52"/>
  <c r="AX120" i="52"/>
  <c r="AD120" i="52"/>
  <c r="Z120" i="52"/>
  <c r="AC120" i="52"/>
  <c r="N120" i="52"/>
  <c r="AB120" i="52"/>
  <c r="BA119" i="52"/>
  <c r="AX119" i="52"/>
  <c r="AD119" i="52"/>
  <c r="AC119" i="52"/>
  <c r="BB119" i="52"/>
  <c r="Z119" i="52"/>
  <c r="N119" i="52"/>
  <c r="AB119" i="52"/>
  <c r="BA118" i="52"/>
  <c r="AD118" i="52"/>
  <c r="Z118" i="52"/>
  <c r="AC118" i="52"/>
  <c r="BB118" i="52"/>
  <c r="AB118" i="52"/>
  <c r="N118" i="52"/>
  <c r="AY117" i="52"/>
  <c r="AX117" i="52"/>
  <c r="AD117" i="52"/>
  <c r="Z117" i="52"/>
  <c r="AC117" i="52"/>
  <c r="AB117" i="52"/>
  <c r="N117" i="52"/>
  <c r="BA116" i="52"/>
  <c r="AY116" i="52"/>
  <c r="AX116" i="52"/>
  <c r="AD116" i="52"/>
  <c r="Z116" i="52"/>
  <c r="AB116" i="52"/>
  <c r="N116" i="52"/>
  <c r="AC116" i="52"/>
  <c r="BA115" i="52"/>
  <c r="AX115" i="52"/>
  <c r="AD115" i="52"/>
  <c r="Z115" i="52"/>
  <c r="N115" i="52"/>
  <c r="AC115" i="52"/>
  <c r="AB115" i="52"/>
  <c r="BA114" i="52"/>
  <c r="AX114" i="52"/>
  <c r="AD114" i="52"/>
  <c r="Z114" i="52"/>
  <c r="N114" i="52"/>
  <c r="AC114" i="52"/>
  <c r="AC160" i="52" s="1"/>
  <c r="BA113" i="52"/>
  <c r="AD113" i="52"/>
  <c r="AC113" i="52"/>
  <c r="AC159" i="52" s="1"/>
  <c r="Z113" i="52"/>
  <c r="N113" i="52"/>
  <c r="AX112" i="52"/>
  <c r="AD112" i="52"/>
  <c r="Z112" i="52"/>
  <c r="N112" i="52"/>
  <c r="AC112" i="52"/>
  <c r="AB112" i="52"/>
  <c r="BA111" i="52"/>
  <c r="AX111" i="52"/>
  <c r="AD111" i="52"/>
  <c r="Z111" i="52"/>
  <c r="AC111" i="52"/>
  <c r="N111" i="52"/>
  <c r="AY111" i="52"/>
  <c r="BA110" i="52"/>
  <c r="AX110" i="52"/>
  <c r="AD110" i="52"/>
  <c r="Z110" i="52"/>
  <c r="AC110" i="52"/>
  <c r="AB110" i="52"/>
  <c r="N110" i="52"/>
  <c r="BA109" i="52"/>
  <c r="AX109" i="52"/>
  <c r="AD109" i="52"/>
  <c r="Z109" i="52"/>
  <c r="AC109" i="52"/>
  <c r="N109" i="52"/>
  <c r="BA108" i="52"/>
  <c r="AD108" i="52"/>
  <c r="AC108" i="52"/>
  <c r="BB108" i="52"/>
  <c r="Z108" i="52"/>
  <c r="N108" i="52"/>
  <c r="AX107" i="52"/>
  <c r="AD107" i="52"/>
  <c r="Z107" i="52"/>
  <c r="N107" i="52"/>
  <c r="AC107" i="52"/>
  <c r="AB107" i="52"/>
  <c r="BA106" i="52"/>
  <c r="AX106" i="52"/>
  <c r="AD106" i="52"/>
  <c r="AC106" i="52"/>
  <c r="BB106" i="52"/>
  <c r="Z106" i="52"/>
  <c r="N106" i="52"/>
  <c r="AB106" i="52"/>
  <c r="BA105" i="52"/>
  <c r="AY105" i="52"/>
  <c r="AX105" i="52"/>
  <c r="AD105" i="52"/>
  <c r="Z105" i="52"/>
  <c r="AC105" i="52"/>
  <c r="N105" i="52"/>
  <c r="BB104" i="52"/>
  <c r="BA104" i="52"/>
  <c r="AY104" i="52"/>
  <c r="AX104" i="52"/>
  <c r="AD104" i="52"/>
  <c r="Z104" i="52"/>
  <c r="N104" i="52"/>
  <c r="AB104" i="52"/>
  <c r="BA103" i="52"/>
  <c r="AD103" i="52"/>
  <c r="AB103" i="52"/>
  <c r="AC103" i="52"/>
  <c r="Z103" i="52"/>
  <c r="BB103" i="52"/>
  <c r="N103" i="52"/>
  <c r="AY102" i="52"/>
  <c r="AX102" i="52"/>
  <c r="AD102" i="52"/>
  <c r="Z102" i="52"/>
  <c r="AC102" i="52"/>
  <c r="AB102" i="52"/>
  <c r="N102" i="52"/>
  <c r="BA101" i="52"/>
  <c r="AY101" i="52"/>
  <c r="AX101" i="52"/>
  <c r="AD101" i="52"/>
  <c r="Z101" i="52"/>
  <c r="N101" i="52"/>
  <c r="AC101" i="52"/>
  <c r="BA100" i="52"/>
  <c r="AX100" i="52"/>
  <c r="AD100" i="52"/>
  <c r="AB100" i="52"/>
  <c r="Z100" i="52"/>
  <c r="N100" i="52"/>
  <c r="AC100" i="52"/>
  <c r="BA99" i="52"/>
  <c r="AY99" i="52"/>
  <c r="AX99" i="52"/>
  <c r="AD99" i="52"/>
  <c r="Z99" i="52"/>
  <c r="BB99" i="52"/>
  <c r="N99" i="52"/>
  <c r="AC99" i="52"/>
  <c r="AB99" i="52"/>
  <c r="BA98" i="52"/>
  <c r="AD98" i="52"/>
  <c r="BB98" i="52"/>
  <c r="Z98" i="52"/>
  <c r="N98" i="52"/>
  <c r="AX97" i="52"/>
  <c r="AD97" i="52"/>
  <c r="Z97" i="52"/>
  <c r="AC97" i="52"/>
  <c r="N97" i="52"/>
  <c r="BA96" i="52"/>
  <c r="AY96" i="52"/>
  <c r="AX96" i="52"/>
  <c r="AD96" i="52"/>
  <c r="Z96" i="52"/>
  <c r="AC96" i="52"/>
  <c r="AB96" i="52"/>
  <c r="N96" i="52"/>
  <c r="BA95" i="52"/>
  <c r="AY95" i="52"/>
  <c r="AX95" i="52"/>
  <c r="AD95" i="52"/>
  <c r="Z95" i="52"/>
  <c r="N95" i="52"/>
  <c r="AC95" i="52"/>
  <c r="BA94" i="52"/>
  <c r="AX94" i="52"/>
  <c r="AD94" i="52"/>
  <c r="Z94" i="52"/>
  <c r="N94" i="52"/>
  <c r="AC94" i="52"/>
  <c r="BA93" i="52"/>
  <c r="AD93" i="52"/>
  <c r="AC93" i="52"/>
  <c r="Z93" i="52"/>
  <c r="N93" i="52"/>
  <c r="AX92" i="52"/>
  <c r="AD92" i="52"/>
  <c r="AY92" i="52"/>
  <c r="Z92" i="52"/>
  <c r="N92" i="52"/>
  <c r="AC92" i="52"/>
  <c r="AB92" i="52"/>
  <c r="BA91" i="52"/>
  <c r="AY91" i="52"/>
  <c r="AX91" i="52"/>
  <c r="AD91" i="52"/>
  <c r="Z91" i="52"/>
  <c r="AC91" i="52"/>
  <c r="N91" i="52"/>
  <c r="BA90" i="52"/>
  <c r="AY90" i="52"/>
  <c r="AX90" i="52"/>
  <c r="AD90" i="52"/>
  <c r="Z90" i="52"/>
  <c r="AC90" i="52"/>
  <c r="AB90" i="52"/>
  <c r="N90" i="52"/>
  <c r="BA89" i="52"/>
  <c r="AX89" i="52"/>
  <c r="AD89" i="52"/>
  <c r="Z89" i="52"/>
  <c r="AC89" i="52"/>
  <c r="N89" i="52"/>
  <c r="BA88" i="52"/>
  <c r="AD88" i="52"/>
  <c r="AC88" i="52"/>
  <c r="Z88" i="52"/>
  <c r="BB88" i="52"/>
  <c r="N88" i="52"/>
  <c r="AX87" i="52"/>
  <c r="AD87" i="52"/>
  <c r="Z87" i="52"/>
  <c r="N87" i="52"/>
  <c r="AC87" i="52"/>
  <c r="BA86" i="52"/>
  <c r="AX86" i="52"/>
  <c r="AD86" i="52"/>
  <c r="Z86" i="52"/>
  <c r="N86" i="52"/>
  <c r="AC86" i="52"/>
  <c r="BA85" i="52"/>
  <c r="AY85" i="52"/>
  <c r="AX85" i="52"/>
  <c r="AD85" i="52"/>
  <c r="AC85" i="52"/>
  <c r="Z85" i="52"/>
  <c r="N85" i="52"/>
  <c r="BA84" i="52"/>
  <c r="AX84" i="52"/>
  <c r="AD84" i="52"/>
  <c r="Z84" i="52"/>
  <c r="AC84" i="52"/>
  <c r="N84" i="52"/>
  <c r="BB83" i="52"/>
  <c r="BA83" i="52"/>
  <c r="AD83" i="52"/>
  <c r="AC83" i="52"/>
  <c r="AB83" i="52"/>
  <c r="Z83" i="52"/>
  <c r="N83" i="52"/>
  <c r="AX82" i="52"/>
  <c r="AD82" i="52"/>
  <c r="Z82" i="52"/>
  <c r="AC82" i="52"/>
  <c r="AY82" i="52"/>
  <c r="AB82" i="52"/>
  <c r="N82" i="52"/>
  <c r="C82" i="52"/>
  <c r="BA81" i="52"/>
  <c r="AX81" i="52"/>
  <c r="AD81" i="52"/>
  <c r="BB81" i="52"/>
  <c r="Z81" i="52"/>
  <c r="N81" i="52"/>
  <c r="AC81" i="52"/>
  <c r="AB81" i="52"/>
  <c r="C81" i="52"/>
  <c r="BA80" i="52"/>
  <c r="AX80" i="52"/>
  <c r="AD80" i="52"/>
  <c r="AC80" i="52"/>
  <c r="Z80" i="52"/>
  <c r="N80" i="52"/>
  <c r="C80" i="52"/>
  <c r="BA79" i="52"/>
  <c r="AX79" i="52"/>
  <c r="AD79" i="52"/>
  <c r="Z79" i="52"/>
  <c r="N79" i="52"/>
  <c r="C79" i="52"/>
  <c r="BB78" i="52"/>
  <c r="BA78" i="52"/>
  <c r="AD78" i="52"/>
  <c r="AB78" i="52"/>
  <c r="Z78" i="52"/>
  <c r="N78" i="52"/>
  <c r="C78" i="52"/>
  <c r="AX77" i="52"/>
  <c r="AD77" i="52"/>
  <c r="AY77" i="52"/>
  <c r="Z77" i="52"/>
  <c r="N77" i="52"/>
  <c r="AC77" i="52"/>
  <c r="AB77" i="52"/>
  <c r="BA76" i="52"/>
  <c r="AY76" i="52"/>
  <c r="AX76" i="52"/>
  <c r="AD76" i="52"/>
  <c r="AC76" i="52"/>
  <c r="Z76" i="52"/>
  <c r="N76" i="52"/>
  <c r="BB75" i="52"/>
  <c r="BA75" i="52"/>
  <c r="AY75" i="52"/>
  <c r="AX75" i="52"/>
  <c r="AD75" i="52"/>
  <c r="Z75" i="52"/>
  <c r="AC75" i="52"/>
  <c r="AB75" i="52"/>
  <c r="N75" i="52"/>
  <c r="BB74" i="52"/>
  <c r="BA74" i="52"/>
  <c r="AX74" i="52"/>
  <c r="AD74" i="52"/>
  <c r="Z74" i="52"/>
  <c r="AC74" i="52"/>
  <c r="N74" i="52"/>
  <c r="BA73" i="52"/>
  <c r="AD73" i="52"/>
  <c r="AC73" i="52"/>
  <c r="Z73" i="52"/>
  <c r="N73" i="52"/>
  <c r="AX72" i="52"/>
  <c r="AD72" i="52"/>
  <c r="AC72" i="52"/>
  <c r="AB72" i="52"/>
  <c r="Z72" i="52"/>
  <c r="N72" i="52"/>
  <c r="BA71" i="52"/>
  <c r="AX71" i="52"/>
  <c r="AD71" i="52"/>
  <c r="BB71" i="52"/>
  <c r="Z71" i="52"/>
  <c r="N71" i="52"/>
  <c r="AC71" i="52"/>
  <c r="AB71" i="52"/>
  <c r="BA70" i="52"/>
  <c r="AY70" i="52"/>
  <c r="AX70" i="52"/>
  <c r="AD70" i="52"/>
  <c r="AC70" i="52"/>
  <c r="Z70" i="52"/>
  <c r="N70" i="52"/>
  <c r="BA69" i="52"/>
  <c r="AX69" i="52"/>
  <c r="AD69" i="52"/>
  <c r="AC69" i="52"/>
  <c r="Z69" i="52"/>
  <c r="N69" i="52"/>
  <c r="BA68" i="52"/>
  <c r="AD68" i="52"/>
  <c r="Z68" i="52"/>
  <c r="AC68" i="52"/>
  <c r="BB68" i="52"/>
  <c r="N68" i="52"/>
  <c r="AY67" i="52"/>
  <c r="AX67" i="52"/>
  <c r="AD67" i="52"/>
  <c r="Z67" i="52"/>
  <c r="AC67" i="52"/>
  <c r="AB67" i="52"/>
  <c r="N67" i="52"/>
  <c r="BA66" i="52"/>
  <c r="AX66" i="52"/>
  <c r="AD66" i="52"/>
  <c r="AC66" i="52"/>
  <c r="Z66" i="52"/>
  <c r="BB66" i="52"/>
  <c r="N66" i="52"/>
  <c r="BA65" i="52"/>
  <c r="AX65" i="52"/>
  <c r="AD65" i="52"/>
  <c r="AB65" i="52"/>
  <c r="BB65" i="52"/>
  <c r="Z65" i="52"/>
  <c r="N65" i="52"/>
  <c r="AC65" i="52"/>
  <c r="BA64" i="52"/>
  <c r="AX64" i="52"/>
  <c r="AD64" i="52"/>
  <c r="AC64" i="52"/>
  <c r="Z64" i="52"/>
  <c r="N64" i="52"/>
  <c r="AY64" i="52"/>
  <c r="BA63" i="52"/>
  <c r="AD63" i="52"/>
  <c r="AC63" i="52"/>
  <c r="Z63" i="52"/>
  <c r="N63" i="52"/>
  <c r="AX62" i="52"/>
  <c r="AD62" i="52"/>
  <c r="AC62" i="52"/>
  <c r="Z62" i="52"/>
  <c r="N62" i="52"/>
  <c r="BA61" i="52"/>
  <c r="AY61" i="52"/>
  <c r="AX61" i="52"/>
  <c r="AD61" i="52"/>
  <c r="Z61" i="52"/>
  <c r="AC61" i="52"/>
  <c r="AB61" i="52"/>
  <c r="N61" i="52"/>
  <c r="BA60" i="52"/>
  <c r="AX60" i="52"/>
  <c r="AD60" i="52"/>
  <c r="AC60" i="52"/>
  <c r="Z60" i="52"/>
  <c r="AY60" i="52"/>
  <c r="BB60" i="52"/>
  <c r="N60" i="52"/>
  <c r="BA59" i="52"/>
  <c r="AX59" i="52"/>
  <c r="AD59" i="52"/>
  <c r="Z59" i="52"/>
  <c r="BB59" i="52"/>
  <c r="AC59" i="52"/>
  <c r="AB59" i="52"/>
  <c r="N59" i="52"/>
  <c r="BA58" i="52"/>
  <c r="AD58" i="52"/>
  <c r="Z58" i="52"/>
  <c r="N58" i="52"/>
  <c r="AC58" i="52"/>
  <c r="AC156" i="52" s="1"/>
  <c r="AX57" i="52"/>
  <c r="AD57" i="52"/>
  <c r="AC57" i="52"/>
  <c r="AB57" i="52"/>
  <c r="Z57" i="52"/>
  <c r="N57" i="52"/>
  <c r="BA56" i="52"/>
  <c r="AX56" i="52"/>
  <c r="AD56" i="52"/>
  <c r="AC56" i="52"/>
  <c r="Z56" i="52"/>
  <c r="N56" i="52"/>
  <c r="BA55" i="52"/>
  <c r="AY55" i="52"/>
  <c r="AX55" i="52"/>
  <c r="AD55" i="52"/>
  <c r="Z55" i="52"/>
  <c r="AC55" i="52"/>
  <c r="AB55" i="52"/>
  <c r="N55" i="52"/>
  <c r="BA54" i="52"/>
  <c r="AX54" i="52"/>
  <c r="AD54" i="52"/>
  <c r="Z54" i="52"/>
  <c r="AC54" i="52"/>
  <c r="BB54" i="52"/>
  <c r="N54" i="52"/>
  <c r="BA53" i="52"/>
  <c r="AD53" i="52"/>
  <c r="AC53" i="52"/>
  <c r="AB53" i="52"/>
  <c r="Z53" i="52"/>
  <c r="N53" i="52"/>
  <c r="AX52" i="52"/>
  <c r="AD52" i="52"/>
  <c r="AC52" i="52"/>
  <c r="Z52" i="52"/>
  <c r="AB52" i="52"/>
  <c r="N52" i="52"/>
  <c r="BA51" i="52"/>
  <c r="AX51" i="52"/>
  <c r="AD51" i="52"/>
  <c r="Z51" i="52"/>
  <c r="N51" i="52"/>
  <c r="AC51" i="52"/>
  <c r="AB51" i="52"/>
  <c r="BA50" i="52"/>
  <c r="AX50" i="52"/>
  <c r="AD50" i="52"/>
  <c r="AC50" i="52"/>
  <c r="Z50" i="52"/>
  <c r="BB50" i="52"/>
  <c r="N50" i="52"/>
  <c r="BA49" i="52"/>
  <c r="AX49" i="52"/>
  <c r="AD49" i="52"/>
  <c r="Z49" i="52"/>
  <c r="AC49" i="52"/>
  <c r="AY49" i="52"/>
  <c r="N49" i="52"/>
  <c r="BA48" i="52"/>
  <c r="AD48" i="52"/>
  <c r="AC48" i="52"/>
  <c r="Z48" i="52"/>
  <c r="N48" i="52"/>
  <c r="BB48" i="52"/>
  <c r="AX47" i="52"/>
  <c r="AD47" i="52"/>
  <c r="Z47" i="52"/>
  <c r="AC47" i="52"/>
  <c r="AB47" i="52"/>
  <c r="N47" i="52"/>
  <c r="BA46" i="52"/>
  <c r="AX46" i="52"/>
  <c r="AD46" i="52"/>
  <c r="AC46" i="52"/>
  <c r="Z46" i="52"/>
  <c r="BB46" i="52"/>
  <c r="N46" i="52"/>
  <c r="BA45" i="52"/>
  <c r="AY45" i="52"/>
  <c r="AX45" i="52"/>
  <c r="AD45" i="52"/>
  <c r="BB45" i="52"/>
  <c r="Z45" i="52"/>
  <c r="N45" i="52"/>
  <c r="AC45" i="52"/>
  <c r="BA44" i="52"/>
  <c r="AY44" i="52"/>
  <c r="AX44" i="52"/>
  <c r="AD44" i="52"/>
  <c r="AC44" i="52"/>
  <c r="AB44" i="52"/>
  <c r="BB44" i="52"/>
  <c r="Z44" i="52"/>
  <c r="N44" i="52"/>
  <c r="BA43" i="52"/>
  <c r="AD43" i="52"/>
  <c r="AC43" i="52"/>
  <c r="Z43" i="52"/>
  <c r="N43" i="52"/>
  <c r="AX42" i="52"/>
  <c r="AD42" i="52"/>
  <c r="Z42" i="52"/>
  <c r="AC42" i="52"/>
  <c r="AY42" i="52"/>
  <c r="N42" i="52"/>
  <c r="AB42" i="52"/>
  <c r="BA41" i="52"/>
  <c r="AX41" i="52"/>
  <c r="AD41" i="52"/>
  <c r="BB41" i="52"/>
  <c r="Z41" i="52"/>
  <c r="N41" i="52"/>
  <c r="AC41" i="52"/>
  <c r="BA40" i="52"/>
  <c r="AY40" i="52"/>
  <c r="AX40" i="52"/>
  <c r="AD40" i="52"/>
  <c r="AC40" i="52"/>
  <c r="Z40" i="52"/>
  <c r="N40" i="52"/>
  <c r="BA39" i="52"/>
  <c r="AY39" i="52"/>
  <c r="AX39" i="52"/>
  <c r="AD39" i="52"/>
  <c r="AC39" i="52"/>
  <c r="AB39" i="52"/>
  <c r="Z39" i="52"/>
  <c r="N39" i="52"/>
  <c r="BA38" i="52"/>
  <c r="AD38" i="52"/>
  <c r="AC38" i="52"/>
  <c r="Z38" i="52"/>
  <c r="AB38" i="52"/>
  <c r="N38" i="52"/>
  <c r="AX37" i="52"/>
  <c r="AD37" i="52"/>
  <c r="Z37" i="52"/>
  <c r="AC37" i="52"/>
  <c r="AY37" i="52"/>
  <c r="AB37" i="52"/>
  <c r="N37" i="52"/>
  <c r="BB36" i="52"/>
  <c r="BA36" i="52"/>
  <c r="AX36" i="52"/>
  <c r="AD36" i="52"/>
  <c r="Z36" i="52"/>
  <c r="AC36" i="52"/>
  <c r="AB36" i="52"/>
  <c r="N36" i="52"/>
  <c r="BA35" i="52"/>
  <c r="AX35" i="52"/>
  <c r="AD35" i="52"/>
  <c r="AC35" i="52"/>
  <c r="BB35" i="52"/>
  <c r="Z35" i="52"/>
  <c r="N35" i="52"/>
  <c r="BA34" i="52"/>
  <c r="AY34" i="52"/>
  <c r="AX34" i="52"/>
  <c r="AD34" i="52"/>
  <c r="Z34" i="52"/>
  <c r="N34" i="52"/>
  <c r="AC34" i="52"/>
  <c r="AB34" i="52"/>
  <c r="BA33" i="52"/>
  <c r="AD33" i="52"/>
  <c r="Z33" i="52"/>
  <c r="N33" i="52"/>
  <c r="AY32" i="52"/>
  <c r="AX32" i="52"/>
  <c r="AD32" i="52"/>
  <c r="Z32" i="52"/>
  <c r="AC32" i="52"/>
  <c r="AB32" i="52"/>
  <c r="N32" i="52"/>
  <c r="BA31" i="52"/>
  <c r="AX31" i="52"/>
  <c r="AD31" i="52"/>
  <c r="Z31" i="52"/>
  <c r="AC31" i="52"/>
  <c r="BB31" i="52"/>
  <c r="N31" i="52"/>
  <c r="BA30" i="52"/>
  <c r="AX30" i="52"/>
  <c r="AD30" i="52"/>
  <c r="Z30" i="52"/>
  <c r="AC30" i="52"/>
  <c r="BB30" i="52"/>
  <c r="N30" i="52"/>
  <c r="BA29" i="52"/>
  <c r="AY29" i="52"/>
  <c r="AX29" i="52"/>
  <c r="AD29" i="52"/>
  <c r="Z29" i="52"/>
  <c r="N29" i="52"/>
  <c r="AC29" i="52"/>
  <c r="BB29" i="52"/>
  <c r="BA28" i="52"/>
  <c r="AD28" i="52"/>
  <c r="AC28" i="52"/>
  <c r="Z28" i="52"/>
  <c r="N28" i="52"/>
  <c r="AX27" i="52"/>
  <c r="AD27" i="52"/>
  <c r="AC27" i="52"/>
  <c r="AB27" i="52"/>
  <c r="Z27" i="52"/>
  <c r="N27" i="52"/>
  <c r="BA26" i="52"/>
  <c r="AY26" i="52"/>
  <c r="AX26" i="52"/>
  <c r="AD26" i="52"/>
  <c r="AC26" i="52"/>
  <c r="Z26" i="52"/>
  <c r="N26" i="52"/>
  <c r="BA25" i="52"/>
  <c r="AX25" i="52"/>
  <c r="AD25" i="52"/>
  <c r="Z25" i="52"/>
  <c r="AC25" i="52"/>
  <c r="AB25" i="52"/>
  <c r="N25" i="52"/>
  <c r="BA24" i="52"/>
  <c r="AX24" i="52"/>
  <c r="AD24" i="52"/>
  <c r="Z24" i="52"/>
  <c r="AC24" i="52"/>
  <c r="AY24" i="52"/>
  <c r="N24" i="52"/>
  <c r="BB23" i="52"/>
  <c r="BA23" i="52"/>
  <c r="AD23" i="52"/>
  <c r="AB23" i="52"/>
  <c r="Z23" i="52"/>
  <c r="AC23" i="52"/>
  <c r="N23" i="52"/>
  <c r="AX22" i="52"/>
  <c r="AD22" i="52"/>
  <c r="Z22" i="52"/>
  <c r="AY22" i="52"/>
  <c r="AC22" i="52"/>
  <c r="AB22" i="52"/>
  <c r="N22" i="52"/>
  <c r="BA21" i="52"/>
  <c r="AY21" i="52"/>
  <c r="AX21" i="52"/>
  <c r="AD21" i="52"/>
  <c r="BB21" i="52"/>
  <c r="Z21" i="52"/>
  <c r="N21" i="52"/>
  <c r="AC21" i="52"/>
  <c r="BA20" i="52"/>
  <c r="AX20" i="52"/>
  <c r="AD20" i="52"/>
  <c r="AC20" i="52"/>
  <c r="AY20" i="52"/>
  <c r="Z20" i="52"/>
  <c r="N20" i="52"/>
  <c r="BB19" i="52"/>
  <c r="BA19" i="52"/>
  <c r="AY19" i="52"/>
  <c r="AX19" i="52"/>
  <c r="AD19" i="52"/>
  <c r="Z19" i="52"/>
  <c r="AC19" i="52"/>
  <c r="AB19" i="52"/>
  <c r="N19" i="52"/>
  <c r="BB18" i="52"/>
  <c r="BA18" i="52"/>
  <c r="AD18" i="52"/>
  <c r="Z18" i="52"/>
  <c r="AB18" i="52"/>
  <c r="N18" i="52"/>
  <c r="AY17" i="52"/>
  <c r="AX17" i="52"/>
  <c r="AD17" i="52"/>
  <c r="AB17" i="52"/>
  <c r="Z17" i="52"/>
  <c r="AC17" i="52"/>
  <c r="N17" i="52"/>
  <c r="BA16" i="52"/>
  <c r="AX16" i="52"/>
  <c r="AD16" i="52"/>
  <c r="Z16" i="52"/>
  <c r="AC16" i="52"/>
  <c r="BB16" i="52"/>
  <c r="N16" i="52"/>
  <c r="BA15" i="52"/>
  <c r="AX15" i="52"/>
  <c r="AD15" i="52"/>
  <c r="AY15" i="52"/>
  <c r="Z15" i="52"/>
  <c r="N15" i="52"/>
  <c r="AC15" i="52"/>
  <c r="AB15" i="52"/>
  <c r="BA14" i="52"/>
  <c r="AX14" i="52"/>
  <c r="AD14" i="52"/>
  <c r="AC14" i="52"/>
  <c r="Z14" i="52"/>
  <c r="N14" i="52"/>
  <c r="BA13" i="52"/>
  <c r="AD13" i="52"/>
  <c r="Z13" i="52"/>
  <c r="AC13" i="52"/>
  <c r="N13" i="52"/>
  <c r="AX12" i="52"/>
  <c r="AD12" i="52"/>
  <c r="Z12" i="52"/>
  <c r="AY12" i="52"/>
  <c r="N12" i="52"/>
  <c r="AC12" i="52"/>
  <c r="AB12" i="52"/>
  <c r="BA11" i="52"/>
  <c r="AX11" i="52"/>
  <c r="AD11" i="52"/>
  <c r="AC11" i="52"/>
  <c r="Z11" i="52"/>
  <c r="BB11" i="52"/>
  <c r="N11" i="52"/>
  <c r="BA10" i="52"/>
  <c r="AX10" i="52"/>
  <c r="AD10" i="52"/>
  <c r="AB10" i="52"/>
  <c r="Z10" i="52"/>
  <c r="N10" i="52"/>
  <c r="AC10" i="52"/>
  <c r="BA9" i="52"/>
  <c r="AX9" i="52"/>
  <c r="AD9" i="52"/>
  <c r="AB9" i="52"/>
  <c r="Z9" i="52"/>
  <c r="N9" i="52"/>
  <c r="AC9" i="52"/>
  <c r="BA8" i="52"/>
  <c r="AD8" i="52"/>
  <c r="Z8" i="52"/>
  <c r="AC8" i="52"/>
  <c r="BB8" i="52"/>
  <c r="N8" i="52"/>
  <c r="AX7" i="52"/>
  <c r="AD7" i="52"/>
  <c r="AC7" i="52"/>
  <c r="AB7" i="52"/>
  <c r="Z7" i="52"/>
  <c r="N7" i="52"/>
  <c r="BA6" i="52"/>
  <c r="AX6" i="52"/>
  <c r="AD6" i="52"/>
  <c r="Z6" i="52"/>
  <c r="AC6" i="52"/>
  <c r="AY6" i="52"/>
  <c r="AB6" i="52"/>
  <c r="N6" i="52"/>
  <c r="BB5" i="52"/>
  <c r="BA5" i="52"/>
  <c r="AX5" i="52"/>
  <c r="AD5" i="52"/>
  <c r="AY5" i="52"/>
  <c r="Z5" i="52"/>
  <c r="AC5" i="52"/>
  <c r="AB5" i="52"/>
  <c r="N5" i="52"/>
  <c r="BA4" i="52"/>
  <c r="AY4" i="52"/>
  <c r="AX4" i="52"/>
  <c r="AD4" i="52"/>
  <c r="Z4" i="52"/>
  <c r="AC4" i="52"/>
  <c r="BB4" i="52"/>
  <c r="N4" i="52"/>
  <c r="BA3" i="52"/>
  <c r="AD3" i="52"/>
  <c r="Z3" i="52"/>
  <c r="N3" i="52"/>
  <c r="Y152" i="51"/>
  <c r="X152" i="51"/>
  <c r="W152" i="51"/>
  <c r="Z152" i="51" s="1"/>
  <c r="V152" i="51"/>
  <c r="U152" i="51"/>
  <c r="T152" i="51"/>
  <c r="S152" i="51"/>
  <c r="R152" i="51"/>
  <c r="Q152" i="51"/>
  <c r="P152" i="51"/>
  <c r="M152" i="51"/>
  <c r="AC152" i="51" s="1"/>
  <c r="L152" i="51"/>
  <c r="K152" i="51"/>
  <c r="N152" i="51" s="1"/>
  <c r="J152" i="51"/>
  <c r="I152" i="51"/>
  <c r="H152" i="51"/>
  <c r="G152" i="51"/>
  <c r="F152" i="51"/>
  <c r="E152" i="51"/>
  <c r="D152" i="51"/>
  <c r="AD152" i="51" s="1"/>
  <c r="Y151" i="51"/>
  <c r="X151" i="51"/>
  <c r="W151" i="51"/>
  <c r="Z151" i="51" s="1"/>
  <c r="V151" i="51"/>
  <c r="U151" i="51"/>
  <c r="T151" i="51"/>
  <c r="S151" i="51"/>
  <c r="R151" i="51"/>
  <c r="Q151" i="51"/>
  <c r="P151" i="51"/>
  <c r="M151" i="51"/>
  <c r="L151" i="51"/>
  <c r="K151" i="51"/>
  <c r="N151" i="51" s="1"/>
  <c r="J151" i="51"/>
  <c r="I151" i="51"/>
  <c r="H151" i="51"/>
  <c r="G151" i="51"/>
  <c r="F151" i="51"/>
  <c r="E151" i="51"/>
  <c r="D151" i="51"/>
  <c r="Y150" i="51"/>
  <c r="X150" i="51"/>
  <c r="W150" i="51"/>
  <c r="Z150" i="51" s="1"/>
  <c r="V150" i="51"/>
  <c r="U150" i="51"/>
  <c r="T150" i="51"/>
  <c r="S150" i="51"/>
  <c r="R150" i="51"/>
  <c r="Q150" i="51"/>
  <c r="P150" i="51"/>
  <c r="M150" i="51"/>
  <c r="AC150" i="51" s="1"/>
  <c r="L150" i="51"/>
  <c r="K150" i="51"/>
  <c r="N150" i="51" s="1"/>
  <c r="J150" i="51"/>
  <c r="I150" i="51"/>
  <c r="H150" i="51"/>
  <c r="G150" i="51"/>
  <c r="F150" i="51"/>
  <c r="E150" i="51"/>
  <c r="D150" i="51"/>
  <c r="Y149" i="51"/>
  <c r="X149" i="51"/>
  <c r="W149" i="51"/>
  <c r="Z149" i="51" s="1"/>
  <c r="V149" i="51"/>
  <c r="U149" i="51"/>
  <c r="T149" i="51"/>
  <c r="S149" i="51"/>
  <c r="R149" i="51"/>
  <c r="Q149" i="51"/>
  <c r="P149" i="51"/>
  <c r="M149" i="51"/>
  <c r="L149" i="51"/>
  <c r="K149" i="51"/>
  <c r="N149" i="51" s="1"/>
  <c r="J149" i="51"/>
  <c r="AA149" i="51" s="1"/>
  <c r="I149" i="51"/>
  <c r="H149" i="51"/>
  <c r="G149" i="51"/>
  <c r="F149" i="51"/>
  <c r="E149" i="51"/>
  <c r="D149" i="51"/>
  <c r="Y148" i="51"/>
  <c r="X148" i="51"/>
  <c r="W148" i="51"/>
  <c r="Z148" i="51" s="1"/>
  <c r="V148" i="51"/>
  <c r="U148" i="51"/>
  <c r="T148" i="51"/>
  <c r="S148" i="51"/>
  <c r="R148" i="51"/>
  <c r="Q148" i="51"/>
  <c r="P148" i="51"/>
  <c r="M148" i="51"/>
  <c r="L148" i="51"/>
  <c r="K148" i="51"/>
  <c r="N148" i="51" s="1"/>
  <c r="J148" i="51"/>
  <c r="I148" i="51"/>
  <c r="H148" i="51"/>
  <c r="G148" i="51"/>
  <c r="F148" i="51"/>
  <c r="E148" i="51"/>
  <c r="D148" i="51"/>
  <c r="Y147" i="51"/>
  <c r="X147" i="51"/>
  <c r="W147" i="51"/>
  <c r="Z147" i="51" s="1"/>
  <c r="V147" i="51"/>
  <c r="U147" i="51"/>
  <c r="T147" i="51"/>
  <c r="S147" i="51"/>
  <c r="R147" i="51"/>
  <c r="Q147" i="51"/>
  <c r="P147" i="51"/>
  <c r="M147" i="51"/>
  <c r="L147" i="51"/>
  <c r="AB147" i="51" s="1"/>
  <c r="K147" i="51"/>
  <c r="N147" i="51" s="1"/>
  <c r="J147" i="51"/>
  <c r="I147" i="51"/>
  <c r="H147" i="51"/>
  <c r="G147" i="51"/>
  <c r="F147" i="51"/>
  <c r="E147" i="51"/>
  <c r="D147" i="51"/>
  <c r="AD147" i="51" s="1"/>
  <c r="Y146" i="51"/>
  <c r="X146" i="51"/>
  <c r="W146" i="51"/>
  <c r="Z146" i="51" s="1"/>
  <c r="V146" i="51"/>
  <c r="U146" i="51"/>
  <c r="T146" i="51"/>
  <c r="S146" i="51"/>
  <c r="R146" i="51"/>
  <c r="Q146" i="51"/>
  <c r="P146" i="51"/>
  <c r="M146" i="51"/>
  <c r="L146" i="51"/>
  <c r="K146" i="51"/>
  <c r="N146" i="51" s="1"/>
  <c r="J146" i="51"/>
  <c r="I146" i="51"/>
  <c r="H146" i="51"/>
  <c r="G146" i="51"/>
  <c r="F146" i="51"/>
  <c r="E146" i="51"/>
  <c r="D146" i="51"/>
  <c r="Y145" i="51"/>
  <c r="X145" i="51"/>
  <c r="W145" i="51"/>
  <c r="Z145" i="51" s="1"/>
  <c r="V145" i="51"/>
  <c r="U145" i="51"/>
  <c r="T145" i="51"/>
  <c r="S145" i="51"/>
  <c r="R145" i="51"/>
  <c r="Q145" i="51"/>
  <c r="P145" i="51"/>
  <c r="M145" i="51"/>
  <c r="L145" i="51"/>
  <c r="K145" i="51"/>
  <c r="N145" i="51" s="1"/>
  <c r="J145" i="51"/>
  <c r="I145" i="51"/>
  <c r="H145" i="51"/>
  <c r="G145" i="51"/>
  <c r="F145" i="51"/>
  <c r="E145" i="51"/>
  <c r="D145" i="51"/>
  <c r="Y144" i="51"/>
  <c r="X144" i="51"/>
  <c r="W144" i="51"/>
  <c r="Z144" i="51" s="1"/>
  <c r="V144" i="51"/>
  <c r="U144" i="51"/>
  <c r="T144" i="51"/>
  <c r="S144" i="51"/>
  <c r="R144" i="51"/>
  <c r="Q144" i="51"/>
  <c r="P144" i="51"/>
  <c r="M144" i="51"/>
  <c r="L144" i="51"/>
  <c r="K144" i="51"/>
  <c r="N144" i="51" s="1"/>
  <c r="J144" i="51"/>
  <c r="I144" i="51"/>
  <c r="H144" i="51"/>
  <c r="G144" i="51"/>
  <c r="F144" i="51"/>
  <c r="E144" i="51"/>
  <c r="D144" i="51"/>
  <c r="Y143" i="51"/>
  <c r="X143" i="51"/>
  <c r="BB143" i="51" s="1"/>
  <c r="W143" i="51"/>
  <c r="Z143" i="51" s="1"/>
  <c r="V143" i="51"/>
  <c r="U143" i="51"/>
  <c r="T143" i="51"/>
  <c r="S143" i="51"/>
  <c r="R143" i="51"/>
  <c r="Q143" i="51"/>
  <c r="P143" i="51"/>
  <c r="M143" i="51"/>
  <c r="L143" i="51"/>
  <c r="K143" i="51"/>
  <c r="N143" i="51" s="1"/>
  <c r="J143" i="51"/>
  <c r="I143" i="51"/>
  <c r="H143" i="51"/>
  <c r="G143" i="51"/>
  <c r="F143" i="51"/>
  <c r="E143" i="51"/>
  <c r="D143" i="51"/>
  <c r="Z142" i="51"/>
  <c r="Y142" i="51"/>
  <c r="X142" i="51"/>
  <c r="AB142" i="51" s="1"/>
  <c r="W142" i="51"/>
  <c r="V142" i="51"/>
  <c r="U142" i="51"/>
  <c r="T142" i="51"/>
  <c r="S142" i="51"/>
  <c r="R142" i="51"/>
  <c r="Q142" i="51"/>
  <c r="P142" i="51"/>
  <c r="AD142" i="51" s="1"/>
  <c r="M142" i="51"/>
  <c r="L142" i="51"/>
  <c r="K142" i="51"/>
  <c r="N142" i="51" s="1"/>
  <c r="J142" i="51"/>
  <c r="I142" i="51"/>
  <c r="H142" i="51"/>
  <c r="G142" i="51"/>
  <c r="F142" i="51"/>
  <c r="E142" i="51"/>
  <c r="D142" i="51"/>
  <c r="Y141" i="51"/>
  <c r="X141" i="51"/>
  <c r="W141" i="51"/>
  <c r="Z141" i="51" s="1"/>
  <c r="V141" i="51"/>
  <c r="U141" i="51"/>
  <c r="T141" i="51"/>
  <c r="S141" i="51"/>
  <c r="R141" i="51"/>
  <c r="Q141" i="51"/>
  <c r="P141" i="51"/>
  <c r="M141" i="51"/>
  <c r="L141" i="51"/>
  <c r="AB141" i="51" s="1"/>
  <c r="K141" i="51"/>
  <c r="N141" i="51" s="1"/>
  <c r="J141" i="51"/>
  <c r="I141" i="51"/>
  <c r="H141" i="51"/>
  <c r="G141" i="51"/>
  <c r="F141" i="51"/>
  <c r="E141" i="51"/>
  <c r="D141" i="51"/>
  <c r="AD141" i="51" s="1"/>
  <c r="Y140" i="51"/>
  <c r="X140" i="51"/>
  <c r="W140" i="51"/>
  <c r="Z140" i="51" s="1"/>
  <c r="V140" i="51"/>
  <c r="U140" i="51"/>
  <c r="T140" i="51"/>
  <c r="S140" i="51"/>
  <c r="R140" i="51"/>
  <c r="Q140" i="51"/>
  <c r="P140" i="51"/>
  <c r="M140" i="51"/>
  <c r="L140" i="51"/>
  <c r="K140" i="51"/>
  <c r="N140" i="51" s="1"/>
  <c r="J140" i="51"/>
  <c r="I140" i="51"/>
  <c r="H140" i="51"/>
  <c r="G140" i="51"/>
  <c r="F140" i="51"/>
  <c r="E140" i="51"/>
  <c r="D140" i="51"/>
  <c r="Y139" i="51"/>
  <c r="X139" i="51"/>
  <c r="W139" i="51"/>
  <c r="Z139" i="51" s="1"/>
  <c r="V139" i="51"/>
  <c r="U139" i="51"/>
  <c r="T139" i="51"/>
  <c r="S139" i="51"/>
  <c r="R139" i="51"/>
  <c r="Q139" i="51"/>
  <c r="P139" i="51"/>
  <c r="M139" i="51"/>
  <c r="L139" i="51"/>
  <c r="K139" i="51"/>
  <c r="N139" i="51" s="1"/>
  <c r="J139" i="51"/>
  <c r="BA139" i="51" s="1"/>
  <c r="I139" i="51"/>
  <c r="H139" i="51"/>
  <c r="G139" i="51"/>
  <c r="F139" i="51"/>
  <c r="E139" i="51"/>
  <c r="D139" i="51"/>
  <c r="Z138" i="51"/>
  <c r="Y138" i="51"/>
  <c r="X138" i="51"/>
  <c r="W138" i="51"/>
  <c r="V138" i="51"/>
  <c r="U138" i="51"/>
  <c r="T138" i="51"/>
  <c r="S138" i="51"/>
  <c r="R138" i="51"/>
  <c r="Q138" i="51"/>
  <c r="P138" i="51"/>
  <c r="M138" i="51"/>
  <c r="L138" i="51"/>
  <c r="K138" i="51"/>
  <c r="N138" i="51" s="1"/>
  <c r="J138" i="51"/>
  <c r="I138" i="51"/>
  <c r="H138" i="51"/>
  <c r="G138" i="51"/>
  <c r="F138" i="51"/>
  <c r="E138" i="51"/>
  <c r="D138" i="51"/>
  <c r="Y137" i="51"/>
  <c r="X137" i="51"/>
  <c r="W137" i="51"/>
  <c r="Z137" i="51" s="1"/>
  <c r="V137" i="51"/>
  <c r="U137" i="51"/>
  <c r="T137" i="51"/>
  <c r="S137" i="51"/>
  <c r="R137" i="51"/>
  <c r="Q137" i="51"/>
  <c r="P137" i="51"/>
  <c r="M137" i="51"/>
  <c r="L137" i="51"/>
  <c r="K137" i="51"/>
  <c r="N137" i="51" s="1"/>
  <c r="J137" i="51"/>
  <c r="I137" i="51"/>
  <c r="H137" i="51"/>
  <c r="G137" i="51"/>
  <c r="F137" i="51"/>
  <c r="E137" i="51"/>
  <c r="D137" i="51"/>
  <c r="BB136" i="51"/>
  <c r="Y136" i="51"/>
  <c r="X136" i="51"/>
  <c r="W136" i="51"/>
  <c r="Z136" i="51" s="1"/>
  <c r="V136" i="51"/>
  <c r="U136" i="51"/>
  <c r="T136" i="51"/>
  <c r="S136" i="51"/>
  <c r="R136" i="51"/>
  <c r="Q136" i="51"/>
  <c r="P136" i="51"/>
  <c r="M136" i="51"/>
  <c r="L136" i="51"/>
  <c r="K136" i="51"/>
  <c r="N136" i="51" s="1"/>
  <c r="J136" i="51"/>
  <c r="BA136" i="51" s="1"/>
  <c r="I136" i="51"/>
  <c r="H136" i="51"/>
  <c r="G136" i="51"/>
  <c r="F136" i="51"/>
  <c r="E136" i="51"/>
  <c r="D136" i="51"/>
  <c r="Z135" i="51"/>
  <c r="Y135" i="51"/>
  <c r="AC135" i="51" s="1"/>
  <c r="X135" i="51"/>
  <c r="BB135" i="51" s="1"/>
  <c r="W135" i="51"/>
  <c r="V135" i="51"/>
  <c r="U135" i="51"/>
  <c r="T135" i="51"/>
  <c r="S135" i="51"/>
  <c r="R135" i="51"/>
  <c r="Q135" i="51"/>
  <c r="P135" i="51"/>
  <c r="M135" i="51"/>
  <c r="L135" i="51"/>
  <c r="K135" i="51"/>
  <c r="N135" i="51" s="1"/>
  <c r="J135" i="51"/>
  <c r="I135" i="51"/>
  <c r="H135" i="51"/>
  <c r="G135" i="51"/>
  <c r="F135" i="51"/>
  <c r="E135" i="51"/>
  <c r="D135" i="51"/>
  <c r="Y134" i="51"/>
  <c r="X134" i="51"/>
  <c r="W134" i="51"/>
  <c r="Z134" i="51" s="1"/>
  <c r="V134" i="51"/>
  <c r="U134" i="51"/>
  <c r="T134" i="51"/>
  <c r="S134" i="51"/>
  <c r="R134" i="51"/>
  <c r="Q134" i="51"/>
  <c r="P134" i="51"/>
  <c r="M134" i="51"/>
  <c r="L134" i="51"/>
  <c r="K134" i="51"/>
  <c r="N134" i="51" s="1"/>
  <c r="J134" i="51"/>
  <c r="I134" i="51"/>
  <c r="H134" i="51"/>
  <c r="G134" i="51"/>
  <c r="F134" i="51"/>
  <c r="E134" i="51"/>
  <c r="D134" i="51"/>
  <c r="Z133" i="51"/>
  <c r="Y133" i="51"/>
  <c r="X133" i="51"/>
  <c r="W133" i="51"/>
  <c r="V133" i="51"/>
  <c r="BA133" i="51" s="1"/>
  <c r="BA160" i="51" s="1"/>
  <c r="U133" i="51"/>
  <c r="T133" i="51"/>
  <c r="S133" i="51"/>
  <c r="R133" i="51"/>
  <c r="Q133" i="51"/>
  <c r="P133" i="51"/>
  <c r="M133" i="51"/>
  <c r="L133" i="51"/>
  <c r="K133" i="51"/>
  <c r="N133" i="51" s="1"/>
  <c r="J133" i="51"/>
  <c r="I133" i="51"/>
  <c r="H133" i="51"/>
  <c r="G133" i="51"/>
  <c r="F133" i="51"/>
  <c r="E133" i="51"/>
  <c r="D133" i="51"/>
  <c r="AX132" i="51"/>
  <c r="AD132" i="51"/>
  <c r="Y132" i="51"/>
  <c r="Z132" i="51"/>
  <c r="M132" i="51"/>
  <c r="AC132" i="51" s="1"/>
  <c r="N132" i="51"/>
  <c r="BA131" i="51"/>
  <c r="AX131" i="51"/>
  <c r="AD131" i="51"/>
  <c r="Y131" i="51"/>
  <c r="Z131" i="51"/>
  <c r="M131" i="51"/>
  <c r="N131" i="51"/>
  <c r="BA130" i="51"/>
  <c r="AX130" i="51"/>
  <c r="AD130" i="51"/>
  <c r="Y130" i="51"/>
  <c r="Z130" i="51"/>
  <c r="M130" i="51"/>
  <c r="N130" i="51"/>
  <c r="BA129" i="51"/>
  <c r="AX129" i="51"/>
  <c r="AD129" i="51"/>
  <c r="Y129" i="51"/>
  <c r="Z129" i="51"/>
  <c r="M129" i="51"/>
  <c r="AY129" i="51"/>
  <c r="N129" i="51"/>
  <c r="BA128" i="51"/>
  <c r="AD128" i="51"/>
  <c r="Y128" i="51"/>
  <c r="Z128" i="51"/>
  <c r="M128" i="51"/>
  <c r="N128" i="51"/>
  <c r="AX127" i="51"/>
  <c r="AD127" i="51"/>
  <c r="Y127" i="51"/>
  <c r="AC127" i="51" s="1"/>
  <c r="Z127" i="51"/>
  <c r="M127" i="51"/>
  <c r="AB127" i="51"/>
  <c r="N127" i="51"/>
  <c r="BA126" i="51"/>
  <c r="AX126" i="51"/>
  <c r="AD126" i="51"/>
  <c r="Y126" i="51"/>
  <c r="Z126" i="51"/>
  <c r="M126" i="51"/>
  <c r="N126" i="51"/>
  <c r="BA125" i="51"/>
  <c r="AX125" i="51"/>
  <c r="AD125" i="51"/>
  <c r="Y125" i="51"/>
  <c r="Z125" i="51"/>
  <c r="N125" i="51"/>
  <c r="M125" i="51"/>
  <c r="BA124" i="51"/>
  <c r="AX124" i="51"/>
  <c r="AD124" i="51"/>
  <c r="Y124" i="51"/>
  <c r="Z124" i="51"/>
  <c r="M124" i="51"/>
  <c r="N124" i="51"/>
  <c r="BA123" i="51"/>
  <c r="AD123" i="51"/>
  <c r="Y123" i="51"/>
  <c r="Z123" i="51"/>
  <c r="M123" i="51"/>
  <c r="AB123" i="51"/>
  <c r="N123" i="51"/>
  <c r="AX122" i="51"/>
  <c r="AD122" i="51"/>
  <c r="Y122" i="51"/>
  <c r="Z122" i="51"/>
  <c r="M122" i="51"/>
  <c r="N122" i="51"/>
  <c r="BA121" i="51"/>
  <c r="AX121" i="51"/>
  <c r="AD121" i="51"/>
  <c r="AC121" i="51"/>
  <c r="Y121" i="51"/>
  <c r="Z121" i="51"/>
  <c r="M121" i="51"/>
  <c r="N121" i="51"/>
  <c r="BA120" i="51"/>
  <c r="AX120" i="51"/>
  <c r="AD120" i="51"/>
  <c r="Y120" i="51"/>
  <c r="Z120" i="51"/>
  <c r="N120" i="51"/>
  <c r="M120" i="51"/>
  <c r="BB120" i="51"/>
  <c r="BA119" i="51"/>
  <c r="AX119" i="51"/>
  <c r="AD119" i="51"/>
  <c r="Y119" i="51"/>
  <c r="Z119" i="51"/>
  <c r="M119" i="51"/>
  <c r="N119" i="51"/>
  <c r="BA118" i="51"/>
  <c r="AD118" i="51"/>
  <c r="Y118" i="51"/>
  <c r="Z118" i="51"/>
  <c r="M118" i="51"/>
  <c r="N118" i="51"/>
  <c r="AX117" i="51"/>
  <c r="AD117" i="51"/>
  <c r="Y117" i="51"/>
  <c r="Z117" i="51"/>
  <c r="M117" i="51"/>
  <c r="AY117" i="51"/>
  <c r="N117" i="51"/>
  <c r="BA116" i="51"/>
  <c r="AX116" i="51"/>
  <c r="AD116" i="51"/>
  <c r="Y116" i="51"/>
  <c r="Z116" i="51"/>
  <c r="N116" i="51"/>
  <c r="M116" i="51"/>
  <c r="BA115" i="51"/>
  <c r="AX115" i="51"/>
  <c r="AD115" i="51"/>
  <c r="Z115" i="51"/>
  <c r="Y115" i="51"/>
  <c r="M115" i="51"/>
  <c r="AB115" i="51"/>
  <c r="N115" i="51"/>
  <c r="BA114" i="51"/>
  <c r="AX114" i="51"/>
  <c r="AD114" i="51"/>
  <c r="Y114" i="51"/>
  <c r="Z114" i="51"/>
  <c r="AZ114" i="51" s="1"/>
  <c r="M114" i="51"/>
  <c r="N114" i="51"/>
  <c r="BA113" i="51"/>
  <c r="AD113" i="51"/>
  <c r="Y113" i="51"/>
  <c r="Z113" i="51"/>
  <c r="M113" i="51"/>
  <c r="N113" i="51"/>
  <c r="AX112" i="51"/>
  <c r="AD112" i="51"/>
  <c r="Y112" i="51"/>
  <c r="Z112" i="51"/>
  <c r="M112" i="51"/>
  <c r="N112" i="51"/>
  <c r="BA111" i="51"/>
  <c r="AX111" i="51"/>
  <c r="AD111" i="51"/>
  <c r="Y111" i="51"/>
  <c r="Z111" i="51"/>
  <c r="M111" i="51"/>
  <c r="N111" i="51"/>
  <c r="BA110" i="51"/>
  <c r="AX110" i="51"/>
  <c r="AD110" i="51"/>
  <c r="Y110" i="51"/>
  <c r="AC110" i="51" s="1"/>
  <c r="Z110" i="51"/>
  <c r="M110" i="51"/>
  <c r="N110" i="51"/>
  <c r="BA109" i="51"/>
  <c r="AX109" i="51"/>
  <c r="AD109" i="51"/>
  <c r="Y109" i="51"/>
  <c r="Z109" i="51"/>
  <c r="M109" i="51"/>
  <c r="AY109" i="51"/>
  <c r="N109" i="51"/>
  <c r="BA108" i="51"/>
  <c r="AD108" i="51"/>
  <c r="Y108" i="51"/>
  <c r="Z108" i="51"/>
  <c r="M108" i="51"/>
  <c r="N108" i="51"/>
  <c r="AX107" i="51"/>
  <c r="AD107" i="51"/>
  <c r="Z107" i="51"/>
  <c r="Y107" i="51"/>
  <c r="AC107" i="51" s="1"/>
  <c r="M107" i="51"/>
  <c r="N107" i="51"/>
  <c r="BA106" i="51"/>
  <c r="AX106" i="51"/>
  <c r="AD106" i="51"/>
  <c r="Y106" i="51"/>
  <c r="Z106" i="51"/>
  <c r="M106" i="51"/>
  <c r="N106" i="51"/>
  <c r="BA105" i="51"/>
  <c r="AX105" i="51"/>
  <c r="AD105" i="51"/>
  <c r="Y105" i="51"/>
  <c r="Z105" i="51"/>
  <c r="M105" i="51"/>
  <c r="AY105" i="51"/>
  <c r="N105" i="51"/>
  <c r="BA104" i="51"/>
  <c r="AX104" i="51"/>
  <c r="AD104" i="51"/>
  <c r="Y104" i="51"/>
  <c r="Z104" i="51"/>
  <c r="M104" i="51"/>
  <c r="N104" i="51"/>
  <c r="BA103" i="51"/>
  <c r="AD103" i="51"/>
  <c r="Y103" i="51"/>
  <c r="AC103" i="51" s="1"/>
  <c r="Z103" i="51"/>
  <c r="M103" i="51"/>
  <c r="N103" i="51"/>
  <c r="AX102" i="51"/>
  <c r="AD102" i="51"/>
  <c r="Y102" i="51"/>
  <c r="AC102" i="51" s="1"/>
  <c r="Z102" i="51"/>
  <c r="M102" i="51"/>
  <c r="N102" i="51"/>
  <c r="BA101" i="51"/>
  <c r="AX101" i="51"/>
  <c r="AD101" i="51"/>
  <c r="Y101" i="51"/>
  <c r="Z101" i="51"/>
  <c r="M101" i="51"/>
  <c r="N101" i="51"/>
  <c r="BA100" i="51"/>
  <c r="AX100" i="51"/>
  <c r="AD100" i="51"/>
  <c r="Y100" i="51"/>
  <c r="Z100" i="51"/>
  <c r="M100" i="51"/>
  <c r="N100" i="51"/>
  <c r="BA99" i="51"/>
  <c r="AX99" i="51"/>
  <c r="AD99" i="51"/>
  <c r="Y99" i="51"/>
  <c r="Z99" i="51"/>
  <c r="M99" i="51"/>
  <c r="N99" i="51"/>
  <c r="BA98" i="51"/>
  <c r="AD98" i="51"/>
  <c r="Y98" i="51"/>
  <c r="Z98" i="51"/>
  <c r="M98" i="51"/>
  <c r="N98" i="51"/>
  <c r="AX97" i="51"/>
  <c r="AD97" i="51"/>
  <c r="Y97" i="51"/>
  <c r="Z97" i="51"/>
  <c r="M97" i="51"/>
  <c r="N97" i="51"/>
  <c r="BA96" i="51"/>
  <c r="AX96" i="51"/>
  <c r="AD96" i="51"/>
  <c r="Y96" i="51"/>
  <c r="Z96" i="51"/>
  <c r="M96" i="51"/>
  <c r="AY96" i="51"/>
  <c r="N96" i="51"/>
  <c r="BA95" i="51"/>
  <c r="AX95" i="51"/>
  <c r="AD95" i="51"/>
  <c r="Y95" i="51"/>
  <c r="AB95" i="51"/>
  <c r="Z95" i="51"/>
  <c r="M95" i="51"/>
  <c r="N95" i="51"/>
  <c r="BA94" i="51"/>
  <c r="AX94" i="51"/>
  <c r="AD94" i="51"/>
  <c r="Z94" i="51"/>
  <c r="Y94" i="51"/>
  <c r="M94" i="51"/>
  <c r="N94" i="51"/>
  <c r="BA93" i="51"/>
  <c r="AD93" i="51"/>
  <c r="Y93" i="51"/>
  <c r="Z93" i="51"/>
  <c r="M93" i="51"/>
  <c r="N93" i="51"/>
  <c r="AX92" i="51"/>
  <c r="AD92" i="51"/>
  <c r="Z92" i="51"/>
  <c r="Y92" i="51"/>
  <c r="M92" i="51"/>
  <c r="AC92" i="51" s="1"/>
  <c r="N92" i="51"/>
  <c r="BA91" i="51"/>
  <c r="AX91" i="51"/>
  <c r="AD91" i="51"/>
  <c r="Y91" i="51"/>
  <c r="Z91" i="51"/>
  <c r="M91" i="51"/>
  <c r="AC91" i="51" s="1"/>
  <c r="N91" i="51"/>
  <c r="BA90" i="51"/>
  <c r="AX90" i="51"/>
  <c r="AD90" i="51"/>
  <c r="Y90" i="51"/>
  <c r="Z90" i="51"/>
  <c r="M90" i="51"/>
  <c r="N90" i="51"/>
  <c r="BA89" i="51"/>
  <c r="AX89" i="51"/>
  <c r="AD89" i="51"/>
  <c r="Y89" i="51"/>
  <c r="BB89" i="51"/>
  <c r="Z89" i="51"/>
  <c r="M89" i="51"/>
  <c r="N89" i="51"/>
  <c r="BA88" i="51"/>
  <c r="AD88" i="51"/>
  <c r="Y88" i="51"/>
  <c r="Z88" i="51"/>
  <c r="M88" i="51"/>
  <c r="AB88" i="51"/>
  <c r="N88" i="51"/>
  <c r="AX87" i="51"/>
  <c r="AD87" i="51"/>
  <c r="Y87" i="51"/>
  <c r="Z87" i="51"/>
  <c r="M87" i="51"/>
  <c r="N87" i="51"/>
  <c r="BA86" i="51"/>
  <c r="AX86" i="51"/>
  <c r="AD86" i="51"/>
  <c r="Y86" i="51"/>
  <c r="Z86" i="51"/>
  <c r="M86" i="51"/>
  <c r="N86" i="51"/>
  <c r="BA85" i="51"/>
  <c r="AX85" i="51"/>
  <c r="AD85" i="51"/>
  <c r="Y85" i="51"/>
  <c r="Z85" i="51"/>
  <c r="M85" i="51"/>
  <c r="AC85" i="51" s="1"/>
  <c r="N85" i="51"/>
  <c r="BA84" i="51"/>
  <c r="AX84" i="51"/>
  <c r="AD84" i="51"/>
  <c r="Y84" i="51"/>
  <c r="Z84" i="51"/>
  <c r="M84" i="51"/>
  <c r="N84" i="51"/>
  <c r="BA83" i="51"/>
  <c r="AD83" i="51"/>
  <c r="Y83" i="51"/>
  <c r="Z83" i="51"/>
  <c r="M83" i="51"/>
  <c r="N83" i="51"/>
  <c r="AX82" i="51"/>
  <c r="AD82" i="51"/>
  <c r="Y82" i="51"/>
  <c r="Z82" i="51"/>
  <c r="N82" i="51"/>
  <c r="M82" i="51"/>
  <c r="C82" i="51"/>
  <c r="BA81" i="51"/>
  <c r="AX81" i="51"/>
  <c r="AD81" i="51"/>
  <c r="Y81" i="51"/>
  <c r="Z81" i="51"/>
  <c r="M81" i="51"/>
  <c r="N81" i="51"/>
  <c r="C81" i="51"/>
  <c r="BA80" i="51"/>
  <c r="AX80" i="51"/>
  <c r="AD80" i="51"/>
  <c r="Y80" i="51"/>
  <c r="Z80" i="51"/>
  <c r="N80" i="51"/>
  <c r="M80" i="51"/>
  <c r="C80" i="51"/>
  <c r="BA79" i="51"/>
  <c r="AX79" i="51"/>
  <c r="AD79" i="51"/>
  <c r="Y79" i="51"/>
  <c r="Z79" i="51"/>
  <c r="M79" i="51"/>
  <c r="N79" i="51"/>
  <c r="C79" i="51"/>
  <c r="BA78" i="51"/>
  <c r="AD78" i="51"/>
  <c r="Y78" i="51"/>
  <c r="Z78" i="51"/>
  <c r="M78" i="51"/>
  <c r="N78" i="51"/>
  <c r="C78" i="51"/>
  <c r="AX77" i="51"/>
  <c r="AD77" i="51"/>
  <c r="Y77" i="51"/>
  <c r="AC77" i="51" s="1"/>
  <c r="AB77" i="51"/>
  <c r="Z77" i="51"/>
  <c r="M77" i="51"/>
  <c r="N77" i="51"/>
  <c r="BA76" i="51"/>
  <c r="AX76" i="51"/>
  <c r="AD76" i="51"/>
  <c r="Y76" i="51"/>
  <c r="AY76" i="51"/>
  <c r="Z76" i="51"/>
  <c r="M76" i="51"/>
  <c r="N76" i="51"/>
  <c r="BA75" i="51"/>
  <c r="AX75" i="51"/>
  <c r="AD75" i="51"/>
  <c r="Y75" i="51"/>
  <c r="Z75" i="51"/>
  <c r="M75" i="51"/>
  <c r="N75" i="51"/>
  <c r="BA74" i="51"/>
  <c r="AX74" i="51"/>
  <c r="AD74" i="51"/>
  <c r="Y74" i="51"/>
  <c r="Z74" i="51"/>
  <c r="M74" i="51"/>
  <c r="AC74" i="51" s="1"/>
  <c r="N74" i="51"/>
  <c r="BA73" i="51"/>
  <c r="AD73" i="51"/>
  <c r="Y73" i="51"/>
  <c r="Z73" i="51"/>
  <c r="M73" i="51"/>
  <c r="N73" i="51"/>
  <c r="AX72" i="51"/>
  <c r="AD72" i="51"/>
  <c r="Y72" i="51"/>
  <c r="Z72" i="51"/>
  <c r="M72" i="51"/>
  <c r="N72" i="51"/>
  <c r="BA71" i="51"/>
  <c r="AX71" i="51"/>
  <c r="AD71" i="51"/>
  <c r="Y71" i="51"/>
  <c r="AC71" i="51" s="1"/>
  <c r="Z71" i="51"/>
  <c r="M71" i="51"/>
  <c r="N71" i="51"/>
  <c r="BA70" i="51"/>
  <c r="AX70" i="51"/>
  <c r="AD70" i="51"/>
  <c r="Y70" i="51"/>
  <c r="Z70" i="51"/>
  <c r="M70" i="51"/>
  <c r="N70" i="51"/>
  <c r="BA69" i="51"/>
  <c r="AX69" i="51"/>
  <c r="AD69" i="51"/>
  <c r="Y69" i="51"/>
  <c r="Z69" i="51"/>
  <c r="M69" i="51"/>
  <c r="N69" i="51"/>
  <c r="BA68" i="51"/>
  <c r="AD68" i="51"/>
  <c r="Y68" i="51"/>
  <c r="AC68" i="51" s="1"/>
  <c r="AB68" i="51"/>
  <c r="Z68" i="51"/>
  <c r="M68" i="51"/>
  <c r="N68" i="51"/>
  <c r="AX67" i="51"/>
  <c r="AD67" i="51"/>
  <c r="Y67" i="51"/>
  <c r="Z67" i="51"/>
  <c r="M67" i="51"/>
  <c r="N67" i="51"/>
  <c r="BA66" i="51"/>
  <c r="AX66" i="51"/>
  <c r="AD66" i="51"/>
  <c r="Y66" i="51"/>
  <c r="Z66" i="51"/>
  <c r="M66" i="51"/>
  <c r="N66" i="51"/>
  <c r="BA65" i="51"/>
  <c r="AX65" i="51"/>
  <c r="AD65" i="51"/>
  <c r="Y65" i="51"/>
  <c r="Z65" i="51"/>
  <c r="M65" i="51"/>
  <c r="AB65" i="51"/>
  <c r="N65" i="51"/>
  <c r="BA64" i="51"/>
  <c r="AX64" i="51"/>
  <c r="AD64" i="51"/>
  <c r="Y64" i="51"/>
  <c r="Z64" i="51"/>
  <c r="M64" i="51"/>
  <c r="N64" i="51"/>
  <c r="BA63" i="51"/>
  <c r="AD63" i="51"/>
  <c r="Y63" i="51"/>
  <c r="Z63" i="51"/>
  <c r="M63" i="51"/>
  <c r="N63" i="51"/>
  <c r="AX62" i="51"/>
  <c r="AD62" i="51"/>
  <c r="Y62" i="51"/>
  <c r="Z62" i="51"/>
  <c r="M62" i="51"/>
  <c r="N62" i="51"/>
  <c r="BA61" i="51"/>
  <c r="AX61" i="51"/>
  <c r="AD61" i="51"/>
  <c r="Y61" i="51"/>
  <c r="AC61" i="51" s="1"/>
  <c r="Z61" i="51"/>
  <c r="M61" i="51"/>
  <c r="N61" i="51"/>
  <c r="BA60" i="51"/>
  <c r="AX60" i="51"/>
  <c r="AD60" i="51"/>
  <c r="Y60" i="51"/>
  <c r="Z60" i="51"/>
  <c r="M60" i="51"/>
  <c r="N60" i="51"/>
  <c r="BA59" i="51"/>
  <c r="AX59" i="51"/>
  <c r="AD59" i="51"/>
  <c r="Y59" i="51"/>
  <c r="Z59" i="51"/>
  <c r="M59" i="51"/>
  <c r="N59" i="51"/>
  <c r="BA58" i="51"/>
  <c r="AD58" i="51"/>
  <c r="Y58" i="51"/>
  <c r="Z58" i="51"/>
  <c r="M58" i="51"/>
  <c r="M156" i="51" s="1"/>
  <c r="N58" i="51"/>
  <c r="AX57" i="51"/>
  <c r="AD57" i="51"/>
  <c r="Y57" i="51"/>
  <c r="AC57" i="51" s="1"/>
  <c r="Z57" i="51"/>
  <c r="M57" i="51"/>
  <c r="N57" i="51"/>
  <c r="BA56" i="51"/>
  <c r="AX56" i="51"/>
  <c r="AD56" i="51"/>
  <c r="Y56" i="51"/>
  <c r="Z56" i="51"/>
  <c r="M56" i="51"/>
  <c r="AC56" i="51" s="1"/>
  <c r="N56" i="51"/>
  <c r="BA55" i="51"/>
  <c r="AX55" i="51"/>
  <c r="AD55" i="51"/>
  <c r="Y55" i="51"/>
  <c r="Z55" i="51"/>
  <c r="M55" i="51"/>
  <c r="AC55" i="51" s="1"/>
  <c r="N55" i="51"/>
  <c r="BA54" i="51"/>
  <c r="AX54" i="51"/>
  <c r="AD54" i="51"/>
  <c r="Y54" i="51"/>
  <c r="Z54" i="51"/>
  <c r="M54" i="51"/>
  <c r="N54" i="51"/>
  <c r="BA53" i="51"/>
  <c r="AD53" i="51"/>
  <c r="Z53" i="51"/>
  <c r="Y53" i="51"/>
  <c r="M53" i="51"/>
  <c r="N53" i="51"/>
  <c r="AX52" i="51"/>
  <c r="AD52" i="51"/>
  <c r="Y52" i="51"/>
  <c r="Z52" i="51"/>
  <c r="M52" i="51"/>
  <c r="N52" i="51"/>
  <c r="BA51" i="51"/>
  <c r="AX51" i="51"/>
  <c r="AD51" i="51"/>
  <c r="Y51" i="51"/>
  <c r="Z51" i="51"/>
  <c r="M51" i="51"/>
  <c r="N51" i="51"/>
  <c r="BA50" i="51"/>
  <c r="AX50" i="51"/>
  <c r="AD50" i="51"/>
  <c r="Y50" i="51"/>
  <c r="AB50" i="51"/>
  <c r="Z50" i="51"/>
  <c r="M50" i="51"/>
  <c r="N50" i="51"/>
  <c r="BA49" i="51"/>
  <c r="AX49" i="51"/>
  <c r="AD49" i="51"/>
  <c r="Y49" i="51"/>
  <c r="Z49" i="51"/>
  <c r="M49" i="51"/>
  <c r="N49" i="51"/>
  <c r="BA48" i="51"/>
  <c r="AD48" i="51"/>
  <c r="Y48" i="51"/>
  <c r="Z48" i="51"/>
  <c r="M48" i="51"/>
  <c r="N48" i="51"/>
  <c r="AX47" i="51"/>
  <c r="AD47" i="51"/>
  <c r="Y47" i="51"/>
  <c r="Z47" i="51"/>
  <c r="M47" i="51"/>
  <c r="N47" i="51"/>
  <c r="BA46" i="51"/>
  <c r="AX46" i="51"/>
  <c r="AD46" i="51"/>
  <c r="Y46" i="51"/>
  <c r="Z46" i="51"/>
  <c r="M46" i="51"/>
  <c r="N46" i="51"/>
  <c r="BA45" i="51"/>
  <c r="AX45" i="51"/>
  <c r="AD45" i="51"/>
  <c r="Y45" i="51"/>
  <c r="AC45" i="51" s="1"/>
  <c r="Z45" i="51"/>
  <c r="M45" i="51"/>
  <c r="N45" i="51"/>
  <c r="BA44" i="51"/>
  <c r="AX44" i="51"/>
  <c r="AD44" i="51"/>
  <c r="Y44" i="51"/>
  <c r="Z44" i="51"/>
  <c r="M44" i="51"/>
  <c r="N44" i="51"/>
  <c r="BA43" i="51"/>
  <c r="AD43" i="51"/>
  <c r="Y43" i="51"/>
  <c r="AC43" i="51" s="1"/>
  <c r="Z43" i="51"/>
  <c r="M43" i="51"/>
  <c r="N43" i="51"/>
  <c r="AX42" i="51"/>
  <c r="AD42" i="51"/>
  <c r="Y42" i="51"/>
  <c r="Z42" i="51"/>
  <c r="M42" i="51"/>
  <c r="N42" i="51"/>
  <c r="BA41" i="51"/>
  <c r="AX41" i="51"/>
  <c r="AD41" i="51"/>
  <c r="Y41" i="51"/>
  <c r="Z41" i="51"/>
  <c r="M41" i="51"/>
  <c r="N41" i="51"/>
  <c r="BA40" i="51"/>
  <c r="AX40" i="51"/>
  <c r="AD40" i="51"/>
  <c r="Y40" i="51"/>
  <c r="Z40" i="51"/>
  <c r="M40" i="51"/>
  <c r="AB40" i="51"/>
  <c r="N40" i="51"/>
  <c r="BA39" i="51"/>
  <c r="AX39" i="51"/>
  <c r="AD39" i="51"/>
  <c r="Y39" i="51"/>
  <c r="Z39" i="51"/>
  <c r="M39" i="51"/>
  <c r="N39" i="51"/>
  <c r="BA38" i="51"/>
  <c r="AD38" i="51"/>
  <c r="Y38" i="51"/>
  <c r="Z38" i="51"/>
  <c r="M38" i="51"/>
  <c r="N38" i="51"/>
  <c r="AX37" i="51"/>
  <c r="AD37" i="51"/>
  <c r="Y37" i="51"/>
  <c r="Z37" i="51"/>
  <c r="M37" i="51"/>
  <c r="N37" i="51"/>
  <c r="BA36" i="51"/>
  <c r="AX36" i="51"/>
  <c r="AD36" i="51"/>
  <c r="Y36" i="51"/>
  <c r="Z36" i="51"/>
  <c r="M36" i="51"/>
  <c r="AY36" i="51"/>
  <c r="N36" i="51"/>
  <c r="BA35" i="51"/>
  <c r="AX35" i="51"/>
  <c r="AD35" i="51"/>
  <c r="Y35" i="51"/>
  <c r="Z35" i="51"/>
  <c r="M35" i="51"/>
  <c r="N35" i="51"/>
  <c r="BA34" i="51"/>
  <c r="AX34" i="51"/>
  <c r="AD34" i="51"/>
  <c r="Y34" i="51"/>
  <c r="AB34" i="51"/>
  <c r="Z34" i="51"/>
  <c r="N34" i="51"/>
  <c r="M34" i="51"/>
  <c r="BA33" i="51"/>
  <c r="AD33" i="51"/>
  <c r="Z33" i="51"/>
  <c r="Y33" i="51"/>
  <c r="M33" i="51"/>
  <c r="N33" i="51"/>
  <c r="AX32" i="51"/>
  <c r="AD32" i="51"/>
  <c r="Y32" i="51"/>
  <c r="Z32" i="51"/>
  <c r="M32" i="51"/>
  <c r="AB32" i="51"/>
  <c r="N32" i="51"/>
  <c r="BA31" i="51"/>
  <c r="AX31" i="51"/>
  <c r="AD31" i="51"/>
  <c r="Y31" i="51"/>
  <c r="AC31" i="51" s="1"/>
  <c r="Z31" i="51"/>
  <c r="M31" i="51"/>
  <c r="N31" i="51"/>
  <c r="BA30" i="51"/>
  <c r="AX30" i="51"/>
  <c r="AD30" i="51"/>
  <c r="AC30" i="51"/>
  <c r="Z30" i="51"/>
  <c r="Y30" i="51"/>
  <c r="M30" i="51"/>
  <c r="BB30" i="51"/>
  <c r="N30" i="51"/>
  <c r="BA29" i="51"/>
  <c r="AX29" i="51"/>
  <c r="AD29" i="51"/>
  <c r="Y29" i="51"/>
  <c r="Z29" i="51"/>
  <c r="M29" i="51"/>
  <c r="AB29" i="51"/>
  <c r="N29" i="51"/>
  <c r="BA28" i="51"/>
  <c r="AD28" i="51"/>
  <c r="Y28" i="51"/>
  <c r="Z28" i="51"/>
  <c r="M28" i="51"/>
  <c r="N28" i="51"/>
  <c r="AX27" i="51"/>
  <c r="AD27" i="51"/>
  <c r="Y27" i="51"/>
  <c r="AC27" i="51" s="1"/>
  <c r="Z27" i="51"/>
  <c r="M27" i="51"/>
  <c r="N27" i="51"/>
  <c r="BA26" i="51"/>
  <c r="AX26" i="51"/>
  <c r="AD26" i="51"/>
  <c r="Y26" i="51"/>
  <c r="AC26" i="51" s="1"/>
  <c r="Z26" i="51"/>
  <c r="M26" i="51"/>
  <c r="N26" i="51"/>
  <c r="BA25" i="51"/>
  <c r="AX25" i="51"/>
  <c r="AD25" i="51"/>
  <c r="Y25" i="51"/>
  <c r="Z25" i="51"/>
  <c r="M25" i="51"/>
  <c r="N25" i="51"/>
  <c r="BA24" i="51"/>
  <c r="AX24" i="51"/>
  <c r="AD24" i="51"/>
  <c r="Z24" i="51"/>
  <c r="Y24" i="51"/>
  <c r="AC24" i="51" s="1"/>
  <c r="M24" i="51"/>
  <c r="N24" i="51"/>
  <c r="BA23" i="51"/>
  <c r="AD23" i="51"/>
  <c r="AB23" i="51"/>
  <c r="Y23" i="51"/>
  <c r="Z23" i="51"/>
  <c r="M23" i="51"/>
  <c r="N23" i="51"/>
  <c r="AX22" i="51"/>
  <c r="AD22" i="51"/>
  <c r="Y22" i="51"/>
  <c r="Z22" i="51"/>
  <c r="M22" i="51"/>
  <c r="N22" i="51"/>
  <c r="BA21" i="51"/>
  <c r="AX21" i="51"/>
  <c r="AD21" i="51"/>
  <c r="Y21" i="51"/>
  <c r="Z21" i="51"/>
  <c r="M21" i="51"/>
  <c r="N21" i="51"/>
  <c r="BA20" i="51"/>
  <c r="AX20" i="51"/>
  <c r="AD20" i="51"/>
  <c r="Y20" i="51"/>
  <c r="Z20" i="51"/>
  <c r="N20" i="51"/>
  <c r="M20" i="51"/>
  <c r="BA19" i="51"/>
  <c r="AX19" i="51"/>
  <c r="AD19" i="51"/>
  <c r="Y19" i="51"/>
  <c r="Z19" i="51"/>
  <c r="M19" i="51"/>
  <c r="N19" i="51"/>
  <c r="BA18" i="51"/>
  <c r="AD18" i="51"/>
  <c r="Y18" i="51"/>
  <c r="Z18" i="51"/>
  <c r="M18" i="51"/>
  <c r="N18" i="51"/>
  <c r="AX17" i="51"/>
  <c r="AD17" i="51"/>
  <c r="Y17" i="51"/>
  <c r="Z17" i="51"/>
  <c r="N17" i="51"/>
  <c r="M17" i="51"/>
  <c r="BA16" i="51"/>
  <c r="AX16" i="51"/>
  <c r="AD16" i="51"/>
  <c r="Z16" i="51"/>
  <c r="Y16" i="51"/>
  <c r="M16" i="51"/>
  <c r="BB16" i="51"/>
  <c r="N16" i="51"/>
  <c r="BA15" i="51"/>
  <c r="AX15" i="51"/>
  <c r="AD15" i="51"/>
  <c r="Z15" i="51"/>
  <c r="Y15" i="51"/>
  <c r="M15" i="51"/>
  <c r="AB15" i="51"/>
  <c r="N15" i="51"/>
  <c r="BA14" i="51"/>
  <c r="AX14" i="51"/>
  <c r="AD14" i="51"/>
  <c r="Y14" i="51"/>
  <c r="Z14" i="51"/>
  <c r="M14" i="51"/>
  <c r="N14" i="51"/>
  <c r="BA13" i="51"/>
  <c r="AD13" i="51"/>
  <c r="Y13" i="51"/>
  <c r="Z13" i="51"/>
  <c r="M13" i="51"/>
  <c r="N13" i="51"/>
  <c r="AX12" i="51"/>
  <c r="AD12" i="51"/>
  <c r="Y12" i="51"/>
  <c r="Z12" i="51"/>
  <c r="M12" i="51"/>
  <c r="N12" i="51"/>
  <c r="BA11" i="51"/>
  <c r="AX11" i="51"/>
  <c r="AD11" i="51"/>
  <c r="Y11" i="51"/>
  <c r="Z11" i="51"/>
  <c r="M11" i="51"/>
  <c r="N11" i="51"/>
  <c r="BA10" i="51"/>
  <c r="AX10" i="51"/>
  <c r="AD10" i="51"/>
  <c r="Z10" i="51"/>
  <c r="Y10" i="51"/>
  <c r="M10" i="51"/>
  <c r="N10" i="51"/>
  <c r="BA9" i="51"/>
  <c r="AX9" i="51"/>
  <c r="AD9" i="51"/>
  <c r="Y9" i="51"/>
  <c r="Z9" i="51"/>
  <c r="M9" i="51"/>
  <c r="N9" i="51"/>
  <c r="BA8" i="51"/>
  <c r="AD8" i="51"/>
  <c r="Y8" i="51"/>
  <c r="Z8" i="51"/>
  <c r="M8" i="51"/>
  <c r="N8" i="51"/>
  <c r="AX7" i="51"/>
  <c r="AD7" i="51"/>
  <c r="Z7" i="51"/>
  <c r="Y7" i="51"/>
  <c r="AY7" i="51"/>
  <c r="M7" i="51"/>
  <c r="AC7" i="51" s="1"/>
  <c r="N7" i="51"/>
  <c r="BA6" i="51"/>
  <c r="AX6" i="51"/>
  <c r="AD6" i="51"/>
  <c r="Y6" i="51"/>
  <c r="Z6" i="51"/>
  <c r="M6" i="51"/>
  <c r="AC6" i="51" s="1"/>
  <c r="N6" i="51"/>
  <c r="BA5" i="51"/>
  <c r="AX5" i="51"/>
  <c r="AD5" i="51"/>
  <c r="Y5" i="51"/>
  <c r="AB5" i="51"/>
  <c r="Z5" i="51"/>
  <c r="M5" i="51"/>
  <c r="N5" i="51"/>
  <c r="BA4" i="51"/>
  <c r="AX4" i="51"/>
  <c r="AD4" i="51"/>
  <c r="Y4" i="51"/>
  <c r="AC4" i="51" s="1"/>
  <c r="Z4" i="51"/>
  <c r="M4" i="51"/>
  <c r="N4" i="51"/>
  <c r="BA3" i="51"/>
  <c r="AD3" i="51"/>
  <c r="Y3" i="51"/>
  <c r="Z3" i="51"/>
  <c r="M3" i="51"/>
  <c r="N3" i="51"/>
  <c r="BC36" i="51" l="1"/>
  <c r="AZ112" i="52"/>
  <c r="BC18" i="52"/>
  <c r="BC119" i="52"/>
  <c r="AZ17" i="52"/>
  <c r="BC108" i="52"/>
  <c r="AZ117" i="52"/>
  <c r="BC93" i="52"/>
  <c r="BC98" i="52"/>
  <c r="BC19" i="52"/>
  <c r="BC74" i="52"/>
  <c r="AZ152" i="52"/>
  <c r="BC81" i="52"/>
  <c r="AZ70" i="52"/>
  <c r="BC125" i="51"/>
  <c r="BC15" i="51"/>
  <c r="BC76" i="51"/>
  <c r="AZ79" i="51"/>
  <c r="BC101" i="51"/>
  <c r="BC9" i="51"/>
  <c r="BC141" i="51"/>
  <c r="AZ145" i="51"/>
  <c r="AZ70" i="51"/>
  <c r="AZ100" i="51"/>
  <c r="BC93" i="51"/>
  <c r="BC63" i="51"/>
  <c r="BC28" i="52"/>
  <c r="BC31" i="52"/>
  <c r="AZ72" i="52"/>
  <c r="BC78" i="52"/>
  <c r="AZ82" i="52"/>
  <c r="BC129" i="52"/>
  <c r="AZ142" i="52"/>
  <c r="BC35" i="52"/>
  <c r="AZ61" i="52"/>
  <c r="AZ114" i="52"/>
  <c r="AZ25" i="52"/>
  <c r="AZ49" i="52"/>
  <c r="BC51" i="52"/>
  <c r="BC73" i="52"/>
  <c r="BC83" i="52"/>
  <c r="AZ101" i="52"/>
  <c r="AZ104" i="52"/>
  <c r="AZ115" i="52"/>
  <c r="BC128" i="52"/>
  <c r="AZ21" i="52"/>
  <c r="AZ34" i="52"/>
  <c r="AZ44" i="52"/>
  <c r="BC53" i="52"/>
  <c r="AZ64" i="52"/>
  <c r="AZ121" i="52"/>
  <c r="BC59" i="52"/>
  <c r="BC105" i="52"/>
  <c r="BC145" i="52"/>
  <c r="BC146" i="52"/>
  <c r="AZ31" i="52"/>
  <c r="BC80" i="52"/>
  <c r="AZ131" i="52"/>
  <c r="BC29" i="52"/>
  <c r="BC38" i="52"/>
  <c r="AZ41" i="52"/>
  <c r="BC91" i="52"/>
  <c r="AZ97" i="52"/>
  <c r="AZ150" i="52"/>
  <c r="BC15" i="52"/>
  <c r="BC23" i="52"/>
  <c r="BC64" i="52"/>
  <c r="AZ66" i="52"/>
  <c r="AZ67" i="52"/>
  <c r="AZ92" i="52"/>
  <c r="AZ105" i="52"/>
  <c r="BC138" i="52"/>
  <c r="AZ147" i="52"/>
  <c r="AZ19" i="52"/>
  <c r="BC76" i="52"/>
  <c r="BC43" i="52"/>
  <c r="BC48" i="52"/>
  <c r="AZ65" i="52"/>
  <c r="BC89" i="52"/>
  <c r="AZ95" i="52"/>
  <c r="AZ107" i="52"/>
  <c r="BC114" i="52"/>
  <c r="AZ119" i="52"/>
  <c r="AZ124" i="52"/>
  <c r="BC125" i="52"/>
  <c r="AZ127" i="52"/>
  <c r="AZ145" i="52"/>
  <c r="BC25" i="52"/>
  <c r="BC14" i="52"/>
  <c r="AZ52" i="52"/>
  <c r="BC55" i="52"/>
  <c r="AZ62" i="52"/>
  <c r="AZ71" i="52"/>
  <c r="AD157" i="52"/>
  <c r="AZ80" i="52"/>
  <c r="BC131" i="52"/>
  <c r="AZ134" i="52"/>
  <c r="AZ12" i="52"/>
  <c r="AZ24" i="52"/>
  <c r="AZ32" i="52"/>
  <c r="AZ37" i="52"/>
  <c r="BC68" i="52"/>
  <c r="AZ151" i="52"/>
  <c r="AD154" i="52"/>
  <c r="AD158" i="52"/>
  <c r="BA155" i="52"/>
  <c r="BA159" i="52"/>
  <c r="AZ21" i="56"/>
  <c r="BC21" i="56"/>
  <c r="BB21" i="56"/>
  <c r="AB21" i="56"/>
  <c r="BC24" i="56"/>
  <c r="AZ24" i="56"/>
  <c r="AZ45" i="56"/>
  <c r="BC45" i="56"/>
  <c r="Z180" i="56"/>
  <c r="Z170" i="56"/>
  <c r="Z156" i="56"/>
  <c r="BC58" i="56"/>
  <c r="BC156" i="56" s="1"/>
  <c r="AB75" i="56"/>
  <c r="BB75" i="56"/>
  <c r="AY75" i="56"/>
  <c r="BB100" i="56"/>
  <c r="AB100" i="56"/>
  <c r="M160" i="56"/>
  <c r="AC133" i="56"/>
  <c r="BA133" i="56"/>
  <c r="BA160" i="56" s="1"/>
  <c r="AA133" i="56"/>
  <c r="AA160" i="56" s="1"/>
  <c r="AY12" i="56"/>
  <c r="AY22" i="56"/>
  <c r="AZ29" i="56"/>
  <c r="BC29" i="56"/>
  <c r="M179" i="56"/>
  <c r="M169" i="56"/>
  <c r="M155" i="56"/>
  <c r="AD155" i="56"/>
  <c r="AZ34" i="56"/>
  <c r="AZ155" i="56" s="1"/>
  <c r="AZ35" i="56"/>
  <c r="AB54" i="56"/>
  <c r="BB54" i="56"/>
  <c r="AY54" i="56"/>
  <c r="AZ71" i="56"/>
  <c r="BC71" i="56"/>
  <c r="AB79" i="56"/>
  <c r="BB79" i="56"/>
  <c r="AY79" i="56"/>
  <c r="AY157" i="56" s="1"/>
  <c r="X157" i="56"/>
  <c r="BC106" i="56"/>
  <c r="AZ106" i="56"/>
  <c r="AY161" i="56"/>
  <c r="AY153" i="56"/>
  <c r="BB40" i="56"/>
  <c r="AB40" i="56"/>
  <c r="BC61" i="56"/>
  <c r="AZ61" i="56"/>
  <c r="BC15" i="56"/>
  <c r="BB20" i="56"/>
  <c r="AB20" i="56"/>
  <c r="AZ31" i="56"/>
  <c r="BC31" i="56"/>
  <c r="AY47" i="56"/>
  <c r="BB83" i="56"/>
  <c r="AB83" i="56"/>
  <c r="BC116" i="56"/>
  <c r="AZ116" i="56"/>
  <c r="BC4" i="56"/>
  <c r="AZ4" i="56"/>
  <c r="AB8" i="56"/>
  <c r="X161" i="56"/>
  <c r="AZ9" i="56"/>
  <c r="BC9" i="56"/>
  <c r="N178" i="56"/>
  <c r="N168" i="56"/>
  <c r="N154" i="56"/>
  <c r="BC18" i="56"/>
  <c r="BC154" i="56" s="1"/>
  <c r="AZ25" i="56"/>
  <c r="BC25" i="56"/>
  <c r="BC26" i="56"/>
  <c r="BB31" i="56"/>
  <c r="AY37" i="56"/>
  <c r="AB37" i="56"/>
  <c r="BB68" i="56"/>
  <c r="AB68" i="56"/>
  <c r="BC74" i="56"/>
  <c r="AZ74" i="56"/>
  <c r="BC85" i="56"/>
  <c r="AZ85" i="56"/>
  <c r="BC110" i="56"/>
  <c r="AZ110" i="56"/>
  <c r="AA140" i="56"/>
  <c r="BA140" i="56"/>
  <c r="AX140" i="56"/>
  <c r="AB66" i="56"/>
  <c r="BB66" i="56"/>
  <c r="AY66" i="56"/>
  <c r="BC161" i="56"/>
  <c r="BC153" i="56"/>
  <c r="AZ11" i="56"/>
  <c r="BC11" i="56"/>
  <c r="BC14" i="56"/>
  <c r="L154" i="56"/>
  <c r="L168" i="56"/>
  <c r="L178" i="56"/>
  <c r="AY21" i="56"/>
  <c r="AZ36" i="56"/>
  <c r="AZ41" i="56"/>
  <c r="BC41" i="56"/>
  <c r="AZ51" i="56"/>
  <c r="BC51" i="56"/>
  <c r="BC119" i="56"/>
  <c r="AZ119" i="56"/>
  <c r="AB137" i="56"/>
  <c r="AY137" i="56"/>
  <c r="Y177" i="56"/>
  <c r="Y167" i="56"/>
  <c r="Y162" i="56"/>
  <c r="Y153" i="56"/>
  <c r="Y161" i="56"/>
  <c r="AC3" i="56"/>
  <c r="AZ5" i="56"/>
  <c r="BC5" i="56"/>
  <c r="AY17" i="56"/>
  <c r="AB17" i="56"/>
  <c r="BB41" i="56"/>
  <c r="AB41" i="56"/>
  <c r="BC44" i="56"/>
  <c r="AZ44" i="56"/>
  <c r="Z157" i="56"/>
  <c r="Z171" i="56"/>
  <c r="AA171" i="56" s="1"/>
  <c r="Z181" i="56"/>
  <c r="AA181" i="56" s="1"/>
  <c r="BC78" i="56"/>
  <c r="BC157" i="56" s="1"/>
  <c r="BC84" i="56"/>
  <c r="AZ84" i="56"/>
  <c r="N179" i="56"/>
  <c r="N169" i="56"/>
  <c r="N155" i="56"/>
  <c r="AA161" i="56"/>
  <c r="AA153" i="56"/>
  <c r="BB6" i="56"/>
  <c r="AY6" i="56"/>
  <c r="AB9" i="56"/>
  <c r="AB16" i="56"/>
  <c r="Z178" i="56"/>
  <c r="AA178" i="56" s="1"/>
  <c r="Z168" i="56"/>
  <c r="AA168" i="56" s="1"/>
  <c r="Z154" i="56"/>
  <c r="BB26" i="56"/>
  <c r="AY26" i="56"/>
  <c r="AB29" i="56"/>
  <c r="AB36" i="56"/>
  <c r="BB46" i="56"/>
  <c r="AY46" i="56"/>
  <c r="AB49" i="56"/>
  <c r="AZ54" i="56"/>
  <c r="BB58" i="56"/>
  <c r="BB156" i="56" s="1"/>
  <c r="AB60" i="56"/>
  <c r="BB60" i="56"/>
  <c r="AZ64" i="56"/>
  <c r="AZ65" i="56"/>
  <c r="AY67" i="56"/>
  <c r="AY72" i="56"/>
  <c r="BC73" i="56"/>
  <c r="L157" i="56"/>
  <c r="L181" i="56"/>
  <c r="L171" i="56"/>
  <c r="BC109" i="56"/>
  <c r="AZ109" i="56"/>
  <c r="L183" i="56"/>
  <c r="L173" i="56"/>
  <c r="AB113" i="56"/>
  <c r="AB159" i="56" s="1"/>
  <c r="AC121" i="56"/>
  <c r="AZ129" i="56"/>
  <c r="BC135" i="56"/>
  <c r="AZ135" i="56"/>
  <c r="BC139" i="56"/>
  <c r="AZ139" i="56"/>
  <c r="AB61" i="56"/>
  <c r="BB61" i="56"/>
  <c r="AB74" i="56"/>
  <c r="BB74" i="56"/>
  <c r="AY139" i="56"/>
  <c r="AB139" i="56"/>
  <c r="AB4" i="56"/>
  <c r="AY59" i="56"/>
  <c r="AY156" i="56" s="1"/>
  <c r="AB59" i="56"/>
  <c r="N157" i="56"/>
  <c r="N181" i="56"/>
  <c r="N171" i="56"/>
  <c r="AZ6" i="56"/>
  <c r="BB10" i="56"/>
  <c r="AY10" i="56"/>
  <c r="AY11" i="56"/>
  <c r="X178" i="56"/>
  <c r="AB178" i="56" s="1"/>
  <c r="X168" i="56"/>
  <c r="AB168" i="56" s="1"/>
  <c r="X154" i="56"/>
  <c r="BB18" i="56"/>
  <c r="BB154" i="56" s="1"/>
  <c r="AZ26" i="56"/>
  <c r="BB30" i="56"/>
  <c r="AY30" i="56"/>
  <c r="AY31" i="56"/>
  <c r="BC33" i="56"/>
  <c r="BC155" i="56" s="1"/>
  <c r="BB38" i="56"/>
  <c r="AZ46" i="56"/>
  <c r="BB50" i="56"/>
  <c r="AY50" i="56"/>
  <c r="AY51" i="56"/>
  <c r="BB59" i="56"/>
  <c r="AB69" i="56"/>
  <c r="BB76" i="56"/>
  <c r="AZ86" i="56"/>
  <c r="BC90" i="56"/>
  <c r="N182" i="56"/>
  <c r="N172" i="56"/>
  <c r="N158" i="56"/>
  <c r="M158" i="56"/>
  <c r="AD158" i="56"/>
  <c r="AZ105" i="56"/>
  <c r="AY109" i="56"/>
  <c r="AB109" i="56"/>
  <c r="BB109" i="56"/>
  <c r="M183" i="56"/>
  <c r="M173" i="56"/>
  <c r="M159" i="56"/>
  <c r="AC113" i="56"/>
  <c r="AC159" i="56" s="1"/>
  <c r="AZ159" i="56"/>
  <c r="AZ160" i="56"/>
  <c r="BC115" i="56"/>
  <c r="AZ115" i="56"/>
  <c r="AB120" i="56"/>
  <c r="BB120" i="56"/>
  <c r="AB135" i="56"/>
  <c r="BB135" i="56"/>
  <c r="AY135" i="56"/>
  <c r="BB149" i="56"/>
  <c r="AY149" i="56"/>
  <c r="AB149" i="56"/>
  <c r="BC55" i="56"/>
  <c r="AZ55" i="56"/>
  <c r="BC91" i="56"/>
  <c r="AZ91" i="56"/>
  <c r="BC136" i="56"/>
  <c r="AZ136" i="56"/>
  <c r="AY44" i="56"/>
  <c r="BC144" i="56"/>
  <c r="AZ144" i="56"/>
  <c r="M161" i="56"/>
  <c r="M153" i="56"/>
  <c r="M177" i="56"/>
  <c r="M167" i="56"/>
  <c r="M162" i="56"/>
  <c r="AD161" i="56"/>
  <c r="AD153" i="56"/>
  <c r="Y178" i="56"/>
  <c r="AC178" i="56" s="1"/>
  <c r="Y168" i="56"/>
  <c r="AC168" i="56" s="1"/>
  <c r="Y154" i="56"/>
  <c r="AZ19" i="56"/>
  <c r="AZ154" i="56" s="1"/>
  <c r="Y179" i="56"/>
  <c r="AC179" i="56" s="1"/>
  <c r="Y169" i="56"/>
  <c r="AC169" i="56" s="1"/>
  <c r="Y155" i="56"/>
  <c r="AZ39" i="56"/>
  <c r="N180" i="56"/>
  <c r="N170" i="56"/>
  <c r="N156" i="56"/>
  <c r="AY62" i="56"/>
  <c r="BC76" i="56"/>
  <c r="AY81" i="56"/>
  <c r="AY86" i="56"/>
  <c r="BC89" i="56"/>
  <c r="AB90" i="56"/>
  <c r="BB90" i="56"/>
  <c r="AZ92" i="56"/>
  <c r="L158" i="56"/>
  <c r="L182" i="56"/>
  <c r="L172" i="56"/>
  <c r="BC99" i="56"/>
  <c r="AZ99" i="56"/>
  <c r="AZ158" i="56" s="1"/>
  <c r="N159" i="56"/>
  <c r="N183" i="56"/>
  <c r="AD159" i="56"/>
  <c r="AB123" i="56"/>
  <c r="Y172" i="56"/>
  <c r="Z177" i="56"/>
  <c r="Z167" i="56"/>
  <c r="Z162" i="56"/>
  <c r="Z161" i="56"/>
  <c r="Z153" i="56"/>
  <c r="M178" i="56"/>
  <c r="M168" i="56"/>
  <c r="M154" i="56"/>
  <c r="AB136" i="56"/>
  <c r="BB136" i="56"/>
  <c r="AY136" i="56"/>
  <c r="AX139" i="56"/>
  <c r="AA139" i="56"/>
  <c r="N161" i="56"/>
  <c r="N153" i="56"/>
  <c r="N177" i="56"/>
  <c r="N167" i="56"/>
  <c r="N162" i="56"/>
  <c r="BB4" i="56"/>
  <c r="AZ7" i="56"/>
  <c r="AB14" i="56"/>
  <c r="AY14" i="56"/>
  <c r="BB24" i="56"/>
  <c r="AZ27" i="56"/>
  <c r="Z179" i="56"/>
  <c r="AA179" i="56" s="1"/>
  <c r="Z169" i="56"/>
  <c r="AA169" i="56" s="1"/>
  <c r="Z155" i="56"/>
  <c r="AB34" i="56"/>
  <c r="AY34" i="56"/>
  <c r="AY155" i="56" s="1"/>
  <c r="BB44" i="56"/>
  <c r="AZ47" i="56"/>
  <c r="BC49" i="56"/>
  <c r="L180" i="56"/>
  <c r="L170" i="56"/>
  <c r="L156" i="56"/>
  <c r="AY61" i="56"/>
  <c r="BC86" i="56"/>
  <c r="AY89" i="56"/>
  <c r="AB89" i="56"/>
  <c r="AZ89" i="56"/>
  <c r="BC95" i="56"/>
  <c r="AB106" i="56"/>
  <c r="BB106" i="56"/>
  <c r="BC111" i="56"/>
  <c r="AB122" i="56"/>
  <c r="AY122" i="56"/>
  <c r="AY129" i="56"/>
  <c r="AB129" i="56"/>
  <c r="BB129" i="56"/>
  <c r="BA139" i="56"/>
  <c r="AA142" i="56"/>
  <c r="AX142" i="56"/>
  <c r="L159" i="56"/>
  <c r="N173" i="56"/>
  <c r="X180" i="56"/>
  <c r="AB180" i="56" s="1"/>
  <c r="X170" i="56"/>
  <c r="AB170" i="56" s="1"/>
  <c r="X156" i="56"/>
  <c r="AB130" i="56"/>
  <c r="BB130" i="56"/>
  <c r="AY130" i="56"/>
  <c r="BC133" i="56"/>
  <c r="Z160" i="56"/>
  <c r="AY96" i="56"/>
  <c r="AB96" i="56"/>
  <c r="Z158" i="56"/>
  <c r="Z182" i="56"/>
  <c r="AA182" i="56" s="1"/>
  <c r="Z172" i="56"/>
  <c r="BC98" i="56"/>
  <c r="BC158" i="56" s="1"/>
  <c r="BA161" i="56"/>
  <c r="BA153" i="56"/>
  <c r="AY16" i="56"/>
  <c r="AB18" i="56"/>
  <c r="AB154" i="56" s="1"/>
  <c r="AB19" i="56"/>
  <c r="AY36" i="56"/>
  <c r="AB39" i="56"/>
  <c r="AY55" i="56"/>
  <c r="M180" i="56"/>
  <c r="M170" i="56"/>
  <c r="M156" i="56"/>
  <c r="AZ66" i="56"/>
  <c r="BC68" i="56"/>
  <c r="BC75" i="56"/>
  <c r="AZ75" i="56"/>
  <c r="Y181" i="56"/>
  <c r="AC181" i="56" s="1"/>
  <c r="BC79" i="56"/>
  <c r="BC80" i="56"/>
  <c r="AZ80" i="56"/>
  <c r="AZ81" i="56"/>
  <c r="BC94" i="56"/>
  <c r="AC99" i="56"/>
  <c r="AB118" i="56"/>
  <c r="AZ121" i="56"/>
  <c r="BC124" i="56"/>
  <c r="AZ124" i="56"/>
  <c r="AZ137" i="56"/>
  <c r="AZ142" i="56"/>
  <c r="X177" i="56"/>
  <c r="X167" i="56"/>
  <c r="X162" i="56"/>
  <c r="X153" i="56"/>
  <c r="AB13" i="56"/>
  <c r="L179" i="56"/>
  <c r="L169" i="56"/>
  <c r="L155" i="56"/>
  <c r="AB33" i="56"/>
  <c r="AB155" i="56" s="1"/>
  <c r="AB53" i="56"/>
  <c r="AD156" i="56"/>
  <c r="AZ69" i="56"/>
  <c r="AB73" i="56"/>
  <c r="M157" i="56"/>
  <c r="M181" i="56"/>
  <c r="M171" i="56"/>
  <c r="AC78" i="56"/>
  <c r="AC157" i="56" s="1"/>
  <c r="AB87" i="56"/>
  <c r="AB95" i="56"/>
  <c r="AY99" i="56"/>
  <c r="AY158" i="56" s="1"/>
  <c r="BC104" i="56"/>
  <c r="AY106" i="56"/>
  <c r="BC125" i="56"/>
  <c r="AZ125" i="56"/>
  <c r="BC128" i="56"/>
  <c r="X160" i="56"/>
  <c r="BB133" i="56"/>
  <c r="AB133" i="56"/>
  <c r="AB134" i="56"/>
  <c r="BB134" i="56"/>
  <c r="Y157" i="56"/>
  <c r="AY56" i="56"/>
  <c r="AY70" i="56"/>
  <c r="AY76" i="56"/>
  <c r="AD157" i="56"/>
  <c r="AZ100" i="56"/>
  <c r="X159" i="56"/>
  <c r="X183" i="56"/>
  <c r="AB183" i="56" s="1"/>
  <c r="X173" i="56"/>
  <c r="AB173" i="56" s="1"/>
  <c r="AY120" i="56"/>
  <c r="BC131" i="56"/>
  <c r="AZ131" i="56"/>
  <c r="AA134" i="56"/>
  <c r="BA134" i="56"/>
  <c r="AY100" i="56"/>
  <c r="BC105" i="56"/>
  <c r="BC134" i="56"/>
  <c r="AZ134" i="56"/>
  <c r="AC140" i="56"/>
  <c r="AB141" i="56"/>
  <c r="BB141" i="56"/>
  <c r="AY141" i="56"/>
  <c r="Y180" i="56"/>
  <c r="AC180" i="56" s="1"/>
  <c r="Y170" i="56"/>
  <c r="Y156" i="56"/>
  <c r="X181" i="56"/>
  <c r="AB181" i="56" s="1"/>
  <c r="X171" i="56"/>
  <c r="AB171" i="56" s="1"/>
  <c r="X158" i="56"/>
  <c r="BB98" i="56"/>
  <c r="BB158" i="56" s="1"/>
  <c r="BC101" i="56"/>
  <c r="Z159" i="56"/>
  <c r="Z183" i="56"/>
  <c r="AA183" i="56" s="1"/>
  <c r="Z173" i="56"/>
  <c r="AA150" i="56"/>
  <c r="AX150" i="56"/>
  <c r="L162" i="56"/>
  <c r="L161" i="56"/>
  <c r="L177" i="56"/>
  <c r="L167" i="56"/>
  <c r="L174" i="56" s="1"/>
  <c r="L153" i="56"/>
  <c r="AB3" i="56"/>
  <c r="BB3" i="56"/>
  <c r="AB23" i="56"/>
  <c r="X179" i="56"/>
  <c r="AB179" i="56" s="1"/>
  <c r="X169" i="56"/>
  <c r="AB169" i="56" s="1"/>
  <c r="X155" i="56"/>
  <c r="AB43" i="56"/>
  <c r="AB63" i="56"/>
  <c r="Y171" i="56"/>
  <c r="AC171" i="56" s="1"/>
  <c r="AY112" i="56"/>
  <c r="AZ126" i="56"/>
  <c r="BC130" i="56"/>
  <c r="BC141" i="56"/>
  <c r="AZ141" i="56"/>
  <c r="AB148" i="56"/>
  <c r="BB148" i="56"/>
  <c r="X172" i="56"/>
  <c r="AB172" i="56" s="1"/>
  <c r="X182" i="56"/>
  <c r="AB182" i="56" s="1"/>
  <c r="AY97" i="56"/>
  <c r="Y158" i="56"/>
  <c r="AB101" i="56"/>
  <c r="AB107" i="56"/>
  <c r="AB115" i="56"/>
  <c r="AB121" i="56"/>
  <c r="AB127" i="56"/>
  <c r="Y160" i="56"/>
  <c r="BB139" i="56"/>
  <c r="AZ140" i="56"/>
  <c r="AB142" i="56"/>
  <c r="AY144" i="56"/>
  <c r="BB144" i="56"/>
  <c r="AX145" i="56"/>
  <c r="AA145" i="56"/>
  <c r="AX146" i="56"/>
  <c r="AA146" i="56"/>
  <c r="AX147" i="56"/>
  <c r="AA147" i="56"/>
  <c r="AA151" i="56"/>
  <c r="AX151" i="56"/>
  <c r="Y182" i="56"/>
  <c r="BA138" i="56"/>
  <c r="AB140" i="56"/>
  <c r="BB140" i="56"/>
  <c r="AD143" i="56"/>
  <c r="BB143" i="56"/>
  <c r="AD148" i="56"/>
  <c r="AB150" i="56"/>
  <c r="AA152" i="56"/>
  <c r="AX152" i="56"/>
  <c r="Y159" i="56"/>
  <c r="Y183" i="56"/>
  <c r="AC183" i="56" s="1"/>
  <c r="Y173" i="56"/>
  <c r="AC173" i="56" s="1"/>
  <c r="AX141" i="56"/>
  <c r="AB151" i="56"/>
  <c r="BC150" i="56"/>
  <c r="AZ150" i="56"/>
  <c r="M182" i="56"/>
  <c r="M172" i="56"/>
  <c r="AC98" i="56"/>
  <c r="AC158" i="56" s="1"/>
  <c r="L160" i="56"/>
  <c r="BA141" i="56"/>
  <c r="AB143" i="56"/>
  <c r="BC145" i="56"/>
  <c r="BC146" i="56"/>
  <c r="BC149" i="56"/>
  <c r="AZ149" i="56"/>
  <c r="BC151" i="56"/>
  <c r="AZ151" i="56"/>
  <c r="BB145" i="56"/>
  <c r="BB146" i="56"/>
  <c r="AY142" i="56"/>
  <c r="AA143" i="56"/>
  <c r="AY150" i="56"/>
  <c r="AY151" i="56"/>
  <c r="AY152" i="56"/>
  <c r="AA144" i="56"/>
  <c r="BB150" i="56"/>
  <c r="BB151" i="56"/>
  <c r="AA148" i="56"/>
  <c r="N161" i="53"/>
  <c r="N153" i="53"/>
  <c r="N177" i="53"/>
  <c r="N167" i="53"/>
  <c r="N162" i="53"/>
  <c r="AZ14" i="53"/>
  <c r="BC14" i="53"/>
  <c r="AZ80" i="53"/>
  <c r="BC80" i="53"/>
  <c r="L158" i="53"/>
  <c r="L182" i="53"/>
  <c r="L172" i="53"/>
  <c r="BB98" i="53"/>
  <c r="BB158" i="53" s="1"/>
  <c r="AB98" i="53"/>
  <c r="AB158" i="53" s="1"/>
  <c r="AY5" i="53"/>
  <c r="AY14" i="53"/>
  <c r="AB14" i="53"/>
  <c r="BB14" i="53"/>
  <c r="BC21" i="53"/>
  <c r="AZ21" i="53"/>
  <c r="Y179" i="53"/>
  <c r="Y169" i="53"/>
  <c r="Y155" i="53"/>
  <c r="AC33" i="53"/>
  <c r="AC155" i="53" s="1"/>
  <c r="BC35" i="53"/>
  <c r="AZ35" i="53"/>
  <c r="AB85" i="53"/>
  <c r="BB85" i="53"/>
  <c r="AY85" i="53"/>
  <c r="BB4" i="53"/>
  <c r="AY4" i="53"/>
  <c r="AB21" i="53"/>
  <c r="BB21" i="53"/>
  <c r="BC23" i="53"/>
  <c r="BC26" i="53"/>
  <c r="AZ26" i="53"/>
  <c r="Z177" i="53"/>
  <c r="Z167" i="53"/>
  <c r="Z162" i="53"/>
  <c r="Z163" i="53" s="1"/>
  <c r="Z161" i="53"/>
  <c r="Z153" i="53"/>
  <c r="BC3" i="53"/>
  <c r="AX161" i="53"/>
  <c r="AX153" i="53"/>
  <c r="AZ6" i="53"/>
  <c r="BC6" i="53"/>
  <c r="BC10" i="53"/>
  <c r="AZ10" i="53"/>
  <c r="AZ24" i="53"/>
  <c r="X177" i="53"/>
  <c r="X167" i="53"/>
  <c r="X162" i="53"/>
  <c r="X153" i="53"/>
  <c r="X161" i="53"/>
  <c r="BB3" i="53"/>
  <c r="AB3" i="53"/>
  <c r="AZ9" i="53"/>
  <c r="BB11" i="53"/>
  <c r="BC13" i="53"/>
  <c r="BC15" i="53"/>
  <c r="AZ15" i="53"/>
  <c r="AY17" i="53"/>
  <c r="BC25" i="53"/>
  <c r="AZ25" i="53"/>
  <c r="BC60" i="53"/>
  <c r="AZ60" i="53"/>
  <c r="AB72" i="53"/>
  <c r="AY72" i="53"/>
  <c r="AZ94" i="53"/>
  <c r="BC94" i="53"/>
  <c r="AZ101" i="53"/>
  <c r="BC101" i="53"/>
  <c r="BA161" i="53"/>
  <c r="BA153" i="53"/>
  <c r="AB5" i="53"/>
  <c r="AB15" i="53"/>
  <c r="BB15" i="53"/>
  <c r="M178" i="53"/>
  <c r="M168" i="53"/>
  <c r="M154" i="53"/>
  <c r="BC24" i="53"/>
  <c r="BB46" i="53"/>
  <c r="AY46" i="53"/>
  <c r="AB46" i="53"/>
  <c r="X157" i="53"/>
  <c r="AY89" i="53"/>
  <c r="AB89" i="53"/>
  <c r="BB89" i="53"/>
  <c r="AA161" i="53"/>
  <c r="AA153" i="53"/>
  <c r="AZ11" i="53"/>
  <c r="AZ17" i="53"/>
  <c r="BC34" i="53"/>
  <c r="AZ34" i="53"/>
  <c r="AZ155" i="53" s="1"/>
  <c r="AZ64" i="53"/>
  <c r="BC64" i="53"/>
  <c r="BC114" i="53"/>
  <c r="BC160" i="53" s="1"/>
  <c r="AZ114" i="53"/>
  <c r="BC19" i="53"/>
  <c r="AZ20" i="53"/>
  <c r="BC20" i="53"/>
  <c r="BC139" i="53"/>
  <c r="AZ139" i="53"/>
  <c r="BB13" i="53"/>
  <c r="N178" i="53"/>
  <c r="N168" i="53"/>
  <c r="N154" i="53"/>
  <c r="Z179" i="53"/>
  <c r="Z169" i="53"/>
  <c r="Z155" i="53"/>
  <c r="AB63" i="53"/>
  <c r="AZ92" i="53"/>
  <c r="AB97" i="53"/>
  <c r="AY97" i="53"/>
  <c r="Y177" i="53"/>
  <c r="Y167" i="53"/>
  <c r="Y162" i="53"/>
  <c r="Y161" i="53"/>
  <c r="Y153" i="53"/>
  <c r="AB6" i="53"/>
  <c r="AB12" i="53"/>
  <c r="AB19" i="53"/>
  <c r="AB20" i="53"/>
  <c r="BB23" i="53"/>
  <c r="AZ30" i="53"/>
  <c r="BC36" i="53"/>
  <c r="AZ51" i="53"/>
  <c r="BC54" i="53"/>
  <c r="BC55" i="53"/>
  <c r="AZ55" i="53"/>
  <c r="AY62" i="53"/>
  <c r="AZ67" i="53"/>
  <c r="AB76" i="53"/>
  <c r="BC79" i="53"/>
  <c r="AZ79" i="53"/>
  <c r="AZ157" i="53" s="1"/>
  <c r="BC84" i="53"/>
  <c r="AZ84" i="53"/>
  <c r="BC88" i="53"/>
  <c r="BC93" i="53"/>
  <c r="AC99" i="53"/>
  <c r="BA135" i="53"/>
  <c r="AA135" i="53"/>
  <c r="AD154" i="53"/>
  <c r="BC48" i="53"/>
  <c r="Z156" i="53"/>
  <c r="Z180" i="53"/>
  <c r="AA180" i="53" s="1"/>
  <c r="Z170" i="53"/>
  <c r="AA170" i="53" s="1"/>
  <c r="BC58" i="53"/>
  <c r="BC156" i="53" s="1"/>
  <c r="AB60" i="53"/>
  <c r="BB60" i="53"/>
  <c r="BB94" i="53"/>
  <c r="AY94" i="53"/>
  <c r="AB94" i="53"/>
  <c r="BC111" i="53"/>
  <c r="AZ111" i="53"/>
  <c r="AZ4" i="53"/>
  <c r="AB8" i="53"/>
  <c r="BB9" i="53"/>
  <c r="AZ16" i="53"/>
  <c r="X178" i="53"/>
  <c r="AB178" i="53" s="1"/>
  <c r="X168" i="53"/>
  <c r="AB168" i="53" s="1"/>
  <c r="X154" i="53"/>
  <c r="AY26" i="53"/>
  <c r="AZ29" i="53"/>
  <c r="L179" i="53"/>
  <c r="L169" i="53"/>
  <c r="L155" i="53"/>
  <c r="BB38" i="53"/>
  <c r="AB43" i="53"/>
  <c r="AY50" i="53"/>
  <c r="AY56" i="53"/>
  <c r="N180" i="53"/>
  <c r="N170" i="53"/>
  <c r="N156" i="53"/>
  <c r="BC59" i="53"/>
  <c r="AZ59" i="53"/>
  <c r="AZ156" i="53" s="1"/>
  <c r="BC66" i="53"/>
  <c r="AZ66" i="53"/>
  <c r="BB73" i="53"/>
  <c r="AB73" i="53"/>
  <c r="AB88" i="53"/>
  <c r="BB88" i="53"/>
  <c r="BB93" i="53"/>
  <c r="AB93" i="53"/>
  <c r="AB132" i="53"/>
  <c r="AY132" i="53"/>
  <c r="BC134" i="53"/>
  <c r="AZ135" i="53"/>
  <c r="BC135" i="53"/>
  <c r="BC83" i="53"/>
  <c r="BC86" i="53"/>
  <c r="AZ86" i="53"/>
  <c r="BC91" i="53"/>
  <c r="AZ124" i="53"/>
  <c r="BC124" i="53"/>
  <c r="BB138" i="53"/>
  <c r="AB138" i="53"/>
  <c r="Y178" i="53"/>
  <c r="Y168" i="53"/>
  <c r="AC168" i="53" s="1"/>
  <c r="Y154" i="53"/>
  <c r="M179" i="53"/>
  <c r="M169" i="53"/>
  <c r="M155" i="53"/>
  <c r="AZ44" i="53"/>
  <c r="AZ50" i="53"/>
  <c r="AB52" i="53"/>
  <c r="AZ56" i="53"/>
  <c r="AY59" i="53"/>
  <c r="AY156" i="53" s="1"/>
  <c r="AB59" i="53"/>
  <c r="BB59" i="53"/>
  <c r="AB66" i="53"/>
  <c r="BB66" i="53"/>
  <c r="AZ70" i="53"/>
  <c r="BC75" i="53"/>
  <c r="L162" i="53"/>
  <c r="L161" i="53"/>
  <c r="L153" i="53"/>
  <c r="L167" i="53"/>
  <c r="L177" i="53"/>
  <c r="BB10" i="53"/>
  <c r="BB16" i="53"/>
  <c r="Z178" i="53"/>
  <c r="Z168" i="53"/>
  <c r="AA168" i="53" s="1"/>
  <c r="Z154" i="53"/>
  <c r="BC31" i="53"/>
  <c r="N179" i="53"/>
  <c r="N169" i="53"/>
  <c r="N155" i="53"/>
  <c r="AD155" i="53"/>
  <c r="AY40" i="53"/>
  <c r="BC44" i="53"/>
  <c r="BC45" i="53"/>
  <c r="BB53" i="53"/>
  <c r="AB53" i="53"/>
  <c r="AZ65" i="53"/>
  <c r="BC70" i="53"/>
  <c r="BC74" i="53"/>
  <c r="N157" i="53"/>
  <c r="N181" i="53"/>
  <c r="N171" i="53"/>
  <c r="AZ82" i="53"/>
  <c r="AB91" i="53"/>
  <c r="BB91" i="53"/>
  <c r="AB130" i="53"/>
  <c r="BB130" i="53"/>
  <c r="M161" i="53"/>
  <c r="M153" i="53"/>
  <c r="M177" i="53"/>
  <c r="M167" i="53"/>
  <c r="M162" i="53"/>
  <c r="AC3" i="53"/>
  <c r="BB26" i="53"/>
  <c r="AY39" i="53"/>
  <c r="BB39" i="53"/>
  <c r="BC49" i="53"/>
  <c r="AZ49" i="53"/>
  <c r="BC50" i="53"/>
  <c r="BC56" i="53"/>
  <c r="AY60" i="53"/>
  <c r="AY81" i="53"/>
  <c r="AB81" i="53"/>
  <c r="BB81" i="53"/>
  <c r="AZ96" i="53"/>
  <c r="BC96" i="53"/>
  <c r="BC115" i="53"/>
  <c r="AZ115" i="53"/>
  <c r="BC141" i="53"/>
  <c r="AZ141" i="53"/>
  <c r="AD161" i="53"/>
  <c r="AD153" i="53"/>
  <c r="L154" i="53"/>
  <c r="L178" i="53"/>
  <c r="L168" i="53"/>
  <c r="AB18" i="53"/>
  <c r="AB154" i="53" s="1"/>
  <c r="BB18" i="53"/>
  <c r="BB154" i="53" s="1"/>
  <c r="AY29" i="53"/>
  <c r="X179" i="53"/>
  <c r="AB179" i="53" s="1"/>
  <c r="X169" i="53"/>
  <c r="AB169" i="53" s="1"/>
  <c r="X155" i="53"/>
  <c r="BB33" i="53"/>
  <c r="BB155" i="53" s="1"/>
  <c r="BC40" i="53"/>
  <c r="BC41" i="53"/>
  <c r="AZ41" i="53"/>
  <c r="AZ46" i="53"/>
  <c r="BB49" i="53"/>
  <c r="AY49" i="53"/>
  <c r="BC69" i="53"/>
  <c r="AZ69" i="53"/>
  <c r="AZ72" i="53"/>
  <c r="AY76" i="53"/>
  <c r="BC76" i="53"/>
  <c r="BC85" i="53"/>
  <c r="BC95" i="53"/>
  <c r="N182" i="53"/>
  <c r="N172" i="53"/>
  <c r="N158" i="53"/>
  <c r="BC105" i="53"/>
  <c r="AZ105" i="53"/>
  <c r="AA140" i="53"/>
  <c r="BA140" i="53"/>
  <c r="AX140" i="53"/>
  <c r="L180" i="53"/>
  <c r="L170" i="53"/>
  <c r="L156" i="53"/>
  <c r="AB58" i="53"/>
  <c r="AB156" i="53" s="1"/>
  <c r="AZ74" i="53"/>
  <c r="L157" i="53"/>
  <c r="L181" i="53"/>
  <c r="L171" i="53"/>
  <c r="AB79" i="53"/>
  <c r="BB84" i="53"/>
  <c r="BB86" i="53"/>
  <c r="AY86" i="53"/>
  <c r="AB96" i="53"/>
  <c r="BC99" i="53"/>
  <c r="AB102" i="53"/>
  <c r="BB104" i="53"/>
  <c r="BC108" i="53"/>
  <c r="BB109" i="53"/>
  <c r="M183" i="53"/>
  <c r="M173" i="53"/>
  <c r="M159" i="53"/>
  <c r="AD159" i="53"/>
  <c r="BC125" i="53"/>
  <c r="AZ127" i="53"/>
  <c r="BA133" i="53"/>
  <c r="BA160" i="53" s="1"/>
  <c r="AX135" i="53"/>
  <c r="AB136" i="53"/>
  <c r="BC140" i="53"/>
  <c r="AZ140" i="53"/>
  <c r="AB25" i="53"/>
  <c r="AB31" i="53"/>
  <c r="AB37" i="53"/>
  <c r="AB45" i="53"/>
  <c r="AB51" i="53"/>
  <c r="AB57" i="53"/>
  <c r="M180" i="53"/>
  <c r="M170" i="53"/>
  <c r="M156" i="53"/>
  <c r="AB65" i="53"/>
  <c r="AY69" i="53"/>
  <c r="AB71" i="53"/>
  <c r="M157" i="53"/>
  <c r="M181" i="53"/>
  <c r="M171" i="53"/>
  <c r="AD157" i="53"/>
  <c r="BB83" i="53"/>
  <c r="AZ89" i="53"/>
  <c r="AB90" i="53"/>
  <c r="AB95" i="53"/>
  <c r="AB110" i="53"/>
  <c r="N159" i="53"/>
  <c r="N183" i="53"/>
  <c r="N173" i="53"/>
  <c r="AZ116" i="53"/>
  <c r="AY119" i="53"/>
  <c r="AY130" i="53"/>
  <c r="Z160" i="53"/>
  <c r="BC133" i="53"/>
  <c r="AD156" i="53"/>
  <c r="AZ61" i="53"/>
  <c r="AZ75" i="53"/>
  <c r="X158" i="53"/>
  <c r="X182" i="53"/>
  <c r="AB182" i="53" s="1"/>
  <c r="X172" i="53"/>
  <c r="AB172" i="53" s="1"/>
  <c r="AZ126" i="53"/>
  <c r="BB129" i="53"/>
  <c r="BC131" i="53"/>
  <c r="AC140" i="53"/>
  <c r="BC149" i="53"/>
  <c r="AZ149" i="53"/>
  <c r="Z157" i="53"/>
  <c r="Z181" i="53"/>
  <c r="AA181" i="53" s="1"/>
  <c r="Z171" i="53"/>
  <c r="AA171" i="53" s="1"/>
  <c r="AZ87" i="53"/>
  <c r="Y158" i="53"/>
  <c r="Y182" i="53"/>
  <c r="Y172" i="53"/>
  <c r="AC172" i="53" s="1"/>
  <c r="AC98" i="53"/>
  <c r="AC158" i="53" s="1"/>
  <c r="X159" i="53"/>
  <c r="X183" i="53"/>
  <c r="AB183" i="53" s="1"/>
  <c r="X173" i="53"/>
  <c r="AB173" i="53" s="1"/>
  <c r="BB113" i="53"/>
  <c r="BB159" i="53" s="1"/>
  <c r="AB113" i="53"/>
  <c r="AB159" i="53" s="1"/>
  <c r="BB120" i="53"/>
  <c r="AA142" i="53"/>
  <c r="AX142" i="53"/>
  <c r="AB48" i="53"/>
  <c r="X180" i="53"/>
  <c r="AB180" i="53" s="1"/>
  <c r="X170" i="53"/>
  <c r="AB170" i="53" s="1"/>
  <c r="X156" i="53"/>
  <c r="AB68" i="53"/>
  <c r="X181" i="53"/>
  <c r="AB181" i="53" s="1"/>
  <c r="X171" i="53"/>
  <c r="AB171" i="53" s="1"/>
  <c r="BB79" i="53"/>
  <c r="Z158" i="53"/>
  <c r="Z182" i="53"/>
  <c r="AA182" i="53" s="1"/>
  <c r="Z172" i="53"/>
  <c r="AA172" i="53" s="1"/>
  <c r="BC98" i="53"/>
  <c r="BC158" i="53" s="1"/>
  <c r="Y159" i="53"/>
  <c r="Y183" i="53"/>
  <c r="Y173" i="53"/>
  <c r="BC121" i="53"/>
  <c r="AZ121" i="53"/>
  <c r="AB126" i="53"/>
  <c r="BB126" i="53"/>
  <c r="BB128" i="53"/>
  <c r="AB128" i="53"/>
  <c r="BC129" i="53"/>
  <c r="N160" i="53"/>
  <c r="Y180" i="53"/>
  <c r="AC180" i="53" s="1"/>
  <c r="Y170" i="53"/>
  <c r="Y156" i="53"/>
  <c r="Y157" i="53"/>
  <c r="Y181" i="53"/>
  <c r="AC181" i="53" s="1"/>
  <c r="Y171" i="53"/>
  <c r="AC171" i="53" s="1"/>
  <c r="BB78" i="53"/>
  <c r="BB157" i="53" s="1"/>
  <c r="AZ99" i="53"/>
  <c r="AZ158" i="53" s="1"/>
  <c r="AY104" i="53"/>
  <c r="BC109" i="53"/>
  <c r="Z159" i="53"/>
  <c r="Z183" i="53"/>
  <c r="Z173" i="53"/>
  <c r="AA141" i="53"/>
  <c r="BA141" i="53"/>
  <c r="AX141" i="53"/>
  <c r="AY144" i="53"/>
  <c r="AB144" i="53"/>
  <c r="BB144" i="53"/>
  <c r="AY160" i="53"/>
  <c r="M182" i="53"/>
  <c r="M172" i="53"/>
  <c r="AB105" i="53"/>
  <c r="AB111" i="53"/>
  <c r="AB117" i="53"/>
  <c r="AB125" i="53"/>
  <c r="AY129" i="53"/>
  <c r="AB131" i="53"/>
  <c r="L160" i="53"/>
  <c r="AA138" i="53"/>
  <c r="AD139" i="53"/>
  <c r="BB139" i="53"/>
  <c r="AY139" i="53"/>
  <c r="AB141" i="53"/>
  <c r="BC143" i="53"/>
  <c r="AX144" i="53"/>
  <c r="AA144" i="53"/>
  <c r="AA149" i="53"/>
  <c r="AZ109" i="53"/>
  <c r="L183" i="53"/>
  <c r="L173" i="53"/>
  <c r="L159" i="53"/>
  <c r="AZ129" i="53"/>
  <c r="M160" i="53"/>
  <c r="AX134" i="53"/>
  <c r="AX160" i="53" s="1"/>
  <c r="AX139" i="53"/>
  <c r="AB142" i="53"/>
  <c r="AB152" i="53"/>
  <c r="AB137" i="53"/>
  <c r="M158" i="53"/>
  <c r="X160" i="53"/>
  <c r="Y160" i="53"/>
  <c r="AB140" i="53"/>
  <c r="BB140" i="53"/>
  <c r="BC144" i="53"/>
  <c r="AX149" i="53"/>
  <c r="AA145" i="53"/>
  <c r="BB145" i="53"/>
  <c r="AA146" i="53"/>
  <c r="BB146" i="53"/>
  <c r="AA147" i="53"/>
  <c r="AX150" i="53"/>
  <c r="AX151" i="53"/>
  <c r="AX152" i="53"/>
  <c r="AY141" i="53"/>
  <c r="AY142" i="53"/>
  <c r="AA143" i="53"/>
  <c r="AB145" i="53"/>
  <c r="AB146" i="53"/>
  <c r="AB147" i="53"/>
  <c r="AY149" i="53"/>
  <c r="AY150" i="53"/>
  <c r="AY151" i="53"/>
  <c r="AY152" i="53"/>
  <c r="BA150" i="53"/>
  <c r="BA151" i="53"/>
  <c r="BB150" i="53"/>
  <c r="BB151" i="53"/>
  <c r="AA148" i="53"/>
  <c r="Z167" i="52"/>
  <c r="Z161" i="52"/>
  <c r="Z153" i="52"/>
  <c r="BC3" i="52"/>
  <c r="BC13" i="52"/>
  <c r="Z179" i="52"/>
  <c r="Z169" i="52"/>
  <c r="Z155" i="52"/>
  <c r="BC33" i="52"/>
  <c r="BC4" i="52"/>
  <c r="AZ4" i="52"/>
  <c r="BC10" i="52"/>
  <c r="AZ10" i="52"/>
  <c r="BC40" i="52"/>
  <c r="AZ40" i="52"/>
  <c r="BC85" i="52"/>
  <c r="AZ85" i="52"/>
  <c r="AZ7" i="52"/>
  <c r="BC20" i="52"/>
  <c r="AZ20" i="52"/>
  <c r="AZ11" i="52"/>
  <c r="BC11" i="52"/>
  <c r="AZ106" i="52"/>
  <c r="BC106" i="52"/>
  <c r="AZ5" i="52"/>
  <c r="BC5" i="52"/>
  <c r="AZ6" i="52"/>
  <c r="BC6" i="52"/>
  <c r="BC39" i="52"/>
  <c r="AZ39" i="52"/>
  <c r="BC8" i="52"/>
  <c r="BC9" i="52"/>
  <c r="AZ9" i="52"/>
  <c r="BC26" i="52"/>
  <c r="AZ26" i="52"/>
  <c r="AD161" i="52"/>
  <c r="AD153" i="52"/>
  <c r="AZ30" i="52"/>
  <c r="BC45" i="52"/>
  <c r="AZ45" i="52"/>
  <c r="M182" i="52"/>
  <c r="M172" i="52"/>
  <c r="M158" i="52"/>
  <c r="AC98" i="52"/>
  <c r="AC158" i="52" s="1"/>
  <c r="L160" i="52"/>
  <c r="AB133" i="52"/>
  <c r="AB4" i="52"/>
  <c r="AY7" i="52"/>
  <c r="AY9" i="52"/>
  <c r="AB11" i="52"/>
  <c r="AB16" i="52"/>
  <c r="AZ27" i="52"/>
  <c r="AY27" i="52"/>
  <c r="AB31" i="52"/>
  <c r="AZ36" i="52"/>
  <c r="BC36" i="52"/>
  <c r="AB49" i="52"/>
  <c r="AB64" i="52"/>
  <c r="BC70" i="52"/>
  <c r="AZ76" i="52"/>
  <c r="BC84" i="52"/>
  <c r="AZ84" i="52"/>
  <c r="BC99" i="52"/>
  <c r="AZ99" i="52"/>
  <c r="AB111" i="52"/>
  <c r="BC30" i="52"/>
  <c r="AY54" i="52"/>
  <c r="AB54" i="52"/>
  <c r="M157" i="52"/>
  <c r="M181" i="52"/>
  <c r="M171" i="52"/>
  <c r="X177" i="52"/>
  <c r="X162" i="52"/>
  <c r="X153" i="52"/>
  <c r="AX153" i="52"/>
  <c r="AX161" i="52"/>
  <c r="BB6" i="52"/>
  <c r="Y178" i="52"/>
  <c r="Y168" i="52"/>
  <c r="Y154" i="52"/>
  <c r="BC21" i="52"/>
  <c r="AZ22" i="52"/>
  <c r="AY25" i="52"/>
  <c r="AB30" i="52"/>
  <c r="X179" i="52"/>
  <c r="AB179" i="52" s="1"/>
  <c r="X169" i="52"/>
  <c r="AB169" i="52" s="1"/>
  <c r="X155" i="52"/>
  <c r="BB33" i="52"/>
  <c r="AB33" i="52"/>
  <c r="BB38" i="52"/>
  <c r="AY41" i="52"/>
  <c r="AB46" i="52"/>
  <c r="AB50" i="52"/>
  <c r="BB53" i="52"/>
  <c r="AZ54" i="52"/>
  <c r="BC54" i="52"/>
  <c r="N180" i="52"/>
  <c r="N170" i="52"/>
  <c r="N156" i="52"/>
  <c r="BC66" i="52"/>
  <c r="BC69" i="52"/>
  <c r="AZ69" i="52"/>
  <c r="AB80" i="52"/>
  <c r="BB80" i="52"/>
  <c r="BB86" i="52"/>
  <c r="AB86" i="52"/>
  <c r="AY86" i="52"/>
  <c r="AZ94" i="52"/>
  <c r="BC94" i="52"/>
  <c r="AB127" i="52"/>
  <c r="AY127" i="52"/>
  <c r="Z178" i="52"/>
  <c r="Z168" i="52"/>
  <c r="Z154" i="52"/>
  <c r="Z180" i="52"/>
  <c r="Z156" i="52"/>
  <c r="Z170" i="52"/>
  <c r="BC58" i="52"/>
  <c r="AB69" i="52"/>
  <c r="BB69" i="52"/>
  <c r="BB73" i="52"/>
  <c r="AB73" i="52"/>
  <c r="AB8" i="52"/>
  <c r="BB9" i="52"/>
  <c r="AY11" i="52"/>
  <c r="BB14" i="52"/>
  <c r="AB21" i="52"/>
  <c r="AB24" i="52"/>
  <c r="AB26" i="52"/>
  <c r="BB26" i="52"/>
  <c r="AY31" i="52"/>
  <c r="BC41" i="52"/>
  <c r="AZ42" i="52"/>
  <c r="AB45" i="52"/>
  <c r="BC56" i="52"/>
  <c r="AZ56" i="52"/>
  <c r="X180" i="52"/>
  <c r="AB180" i="52" s="1"/>
  <c r="X170" i="52"/>
  <c r="AB170" i="52" s="1"/>
  <c r="X156" i="52"/>
  <c r="BB58" i="52"/>
  <c r="AB58" i="52"/>
  <c r="BC65" i="52"/>
  <c r="AC79" i="52"/>
  <c r="Y157" i="52"/>
  <c r="AZ91" i="52"/>
  <c r="AZ100" i="52"/>
  <c r="BC100" i="52"/>
  <c r="AZ130" i="52"/>
  <c r="BC130" i="52"/>
  <c r="AX135" i="52"/>
  <c r="AA135" i="52"/>
  <c r="BA135" i="52"/>
  <c r="AY10" i="52"/>
  <c r="AY69" i="52"/>
  <c r="BA161" i="52"/>
  <c r="BA153" i="52"/>
  <c r="BB13" i="52"/>
  <c r="AB13" i="52"/>
  <c r="AZ15" i="52"/>
  <c r="AY16" i="52"/>
  <c r="N178" i="52"/>
  <c r="N154" i="52"/>
  <c r="BB24" i="52"/>
  <c r="BB25" i="52"/>
  <c r="AZ29" i="52"/>
  <c r="AA155" i="52"/>
  <c r="BC34" i="52"/>
  <c r="AB40" i="52"/>
  <c r="BB40" i="52"/>
  <c r="AB43" i="52"/>
  <c r="BB43" i="52"/>
  <c r="AY47" i="52"/>
  <c r="AB48" i="52"/>
  <c r="BB49" i="52"/>
  <c r="AY50" i="52"/>
  <c r="AZ55" i="52"/>
  <c r="AB56" i="52"/>
  <c r="BB56" i="52"/>
  <c r="AY56" i="52"/>
  <c r="AA156" i="52"/>
  <c r="AB60" i="52"/>
  <c r="AB62" i="52"/>
  <c r="AY62" i="52"/>
  <c r="AB66" i="52"/>
  <c r="BC71" i="52"/>
  <c r="AZ79" i="52"/>
  <c r="BC79" i="52"/>
  <c r="AB87" i="52"/>
  <c r="AY87" i="52"/>
  <c r="Y177" i="52"/>
  <c r="Y167" i="52"/>
  <c r="Y162" i="52"/>
  <c r="Y153" i="52"/>
  <c r="Y161" i="52"/>
  <c r="AB35" i="52"/>
  <c r="AY52" i="52"/>
  <c r="AY79" i="52"/>
  <c r="AB79" i="52"/>
  <c r="BB79" i="52"/>
  <c r="L177" i="52"/>
  <c r="BB3" i="52"/>
  <c r="BB10" i="52"/>
  <c r="AY14" i="52"/>
  <c r="BB15" i="52"/>
  <c r="L168" i="52"/>
  <c r="L178" i="52"/>
  <c r="AC18" i="52"/>
  <c r="AC154" i="52" s="1"/>
  <c r="BC24" i="52"/>
  <c r="AY30" i="52"/>
  <c r="N179" i="52"/>
  <c r="N169" i="52"/>
  <c r="N155" i="52"/>
  <c r="BB34" i="52"/>
  <c r="BB39" i="52"/>
  <c r="AB41" i="52"/>
  <c r="AZ46" i="52"/>
  <c r="AZ50" i="52"/>
  <c r="BC63" i="52"/>
  <c r="BB64" i="52"/>
  <c r="AC104" i="52"/>
  <c r="Y172" i="52"/>
  <c r="BB124" i="52"/>
  <c r="AB124" i="52"/>
  <c r="AZ126" i="52"/>
  <c r="BC126" i="52"/>
  <c r="N153" i="52"/>
  <c r="N177" i="52"/>
  <c r="N162" i="52"/>
  <c r="AB20" i="52"/>
  <c r="BB20" i="52"/>
  <c r="Y179" i="52"/>
  <c r="Y169" i="52"/>
  <c r="Y155" i="52"/>
  <c r="AC33" i="52"/>
  <c r="AC155" i="52" s="1"/>
  <c r="M161" i="52"/>
  <c r="M153" i="52"/>
  <c r="M177" i="52"/>
  <c r="M167" i="52"/>
  <c r="M162" i="52"/>
  <c r="AC3" i="52"/>
  <c r="AB14" i="52"/>
  <c r="AZ14" i="52"/>
  <c r="AZ16" i="52"/>
  <c r="BC16" i="52"/>
  <c r="M178" i="52"/>
  <c r="M154" i="52"/>
  <c r="BA154" i="52"/>
  <c r="BB28" i="52"/>
  <c r="AB28" i="52"/>
  <c r="AB29" i="52"/>
  <c r="AX155" i="52"/>
  <c r="AZ35" i="52"/>
  <c r="AY35" i="52"/>
  <c r="AY36" i="52"/>
  <c r="BC44" i="52"/>
  <c r="AY46" i="52"/>
  <c r="BC46" i="52"/>
  <c r="AZ47" i="52"/>
  <c r="BC49" i="52"/>
  <c r="BC50" i="52"/>
  <c r="AZ51" i="52"/>
  <c r="BB55" i="52"/>
  <c r="BB61" i="52"/>
  <c r="BC75" i="52"/>
  <c r="AZ75" i="52"/>
  <c r="AZ77" i="52"/>
  <c r="L181" i="52"/>
  <c r="L171" i="52"/>
  <c r="AC78" i="52"/>
  <c r="AC157" i="52" s="1"/>
  <c r="AY80" i="52"/>
  <c r="AZ81" i="52"/>
  <c r="AY84" i="52"/>
  <c r="AB84" i="52"/>
  <c r="BB84" i="52"/>
  <c r="AY97" i="52"/>
  <c r="AB97" i="52"/>
  <c r="AZ109" i="52"/>
  <c r="BC109" i="52"/>
  <c r="BB85" i="52"/>
  <c r="AB85" i="52"/>
  <c r="BB91" i="52"/>
  <c r="AB91" i="52"/>
  <c r="BB96" i="52"/>
  <c r="Z158" i="52"/>
  <c r="Z182" i="52"/>
  <c r="Z172" i="52"/>
  <c r="BB105" i="52"/>
  <c r="AB105" i="52"/>
  <c r="BC118" i="52"/>
  <c r="AZ132" i="52"/>
  <c r="AD133" i="52"/>
  <c r="AD160" i="52" s="1"/>
  <c r="BB133" i="52"/>
  <c r="BC144" i="52"/>
  <c r="AZ144" i="52"/>
  <c r="L179" i="52"/>
  <c r="L169" i="52"/>
  <c r="AZ57" i="52"/>
  <c r="AZ59" i="52"/>
  <c r="AX156" i="52"/>
  <c r="BC61" i="52"/>
  <c r="BB63" i="52"/>
  <c r="AB63" i="52"/>
  <c r="AB68" i="52"/>
  <c r="AB70" i="52"/>
  <c r="BB70" i="52"/>
  <c r="AY74" i="52"/>
  <c r="AB74" i="52"/>
  <c r="AB76" i="52"/>
  <c r="BB76" i="52"/>
  <c r="N157" i="52"/>
  <c r="N181" i="52"/>
  <c r="N171" i="52"/>
  <c r="BB95" i="52"/>
  <c r="AB95" i="52"/>
  <c r="BB101" i="52"/>
  <c r="X172" i="52"/>
  <c r="AB172" i="52" s="1"/>
  <c r="AB101" i="52"/>
  <c r="AZ110" i="52"/>
  <c r="BC110" i="52"/>
  <c r="BC111" i="52"/>
  <c r="AZ111" i="52"/>
  <c r="AZ125" i="52"/>
  <c r="AZ137" i="52"/>
  <c r="AA140" i="52"/>
  <c r="AX140" i="52"/>
  <c r="BA140" i="52"/>
  <c r="M179" i="52"/>
  <c r="M169" i="52"/>
  <c r="M155" i="52"/>
  <c r="BB51" i="52"/>
  <c r="AY51" i="52"/>
  <c r="AY57" i="52"/>
  <c r="AD156" i="52"/>
  <c r="AZ60" i="52"/>
  <c r="BC60" i="52"/>
  <c r="AY66" i="52"/>
  <c r="Z157" i="52"/>
  <c r="Z171" i="52"/>
  <c r="Z181" i="52"/>
  <c r="BC88" i="52"/>
  <c r="BB89" i="52"/>
  <c r="AB89" i="52"/>
  <c r="AY89" i="52"/>
  <c r="AY107" i="52"/>
  <c r="X159" i="52"/>
  <c r="X183" i="52"/>
  <c r="AB183" i="52" s="1"/>
  <c r="BB113" i="52"/>
  <c r="AB113" i="52"/>
  <c r="X173" i="52"/>
  <c r="AB173" i="52" s="1"/>
  <c r="BB131" i="52"/>
  <c r="AB131" i="52"/>
  <c r="AY131" i="52"/>
  <c r="AA152" i="52"/>
  <c r="AX152" i="52"/>
  <c r="X178" i="52"/>
  <c r="AB178" i="52" s="1"/>
  <c r="X168" i="52"/>
  <c r="AB168" i="52" s="1"/>
  <c r="X154" i="52"/>
  <c r="AX154" i="52"/>
  <c r="AD155" i="52"/>
  <c r="M180" i="52"/>
  <c r="M170" i="52"/>
  <c r="M156" i="52"/>
  <c r="AY72" i="52"/>
  <c r="AZ74" i="52"/>
  <c r="X157" i="52"/>
  <c r="AZ86" i="52"/>
  <c r="BC86" i="52"/>
  <c r="BB94" i="52"/>
  <c r="AY94" i="52"/>
  <c r="AB94" i="52"/>
  <c r="N182" i="52"/>
  <c r="N172" i="52"/>
  <c r="N158" i="52"/>
  <c r="AZ120" i="52"/>
  <c r="BC120" i="52"/>
  <c r="BB125" i="52"/>
  <c r="AB125" i="52"/>
  <c r="AY125" i="52"/>
  <c r="AZ129" i="52"/>
  <c r="N160" i="52"/>
  <c r="BC133" i="52"/>
  <c r="AA142" i="52"/>
  <c r="AX142" i="52"/>
  <c r="AX147" i="52"/>
  <c r="AA147" i="52"/>
  <c r="AA159" i="52"/>
  <c r="BB114" i="52"/>
  <c r="AY114" i="52"/>
  <c r="AX136" i="52"/>
  <c r="BA136" i="52"/>
  <c r="BA139" i="52"/>
  <c r="AA139" i="52"/>
  <c r="BC141" i="52"/>
  <c r="AZ141" i="52"/>
  <c r="BB143" i="52"/>
  <c r="AB143" i="52"/>
  <c r="Y180" i="52"/>
  <c r="Y170" i="52"/>
  <c r="Y156" i="52"/>
  <c r="AY59" i="52"/>
  <c r="AY65" i="52"/>
  <c r="AY71" i="52"/>
  <c r="X181" i="52"/>
  <c r="AB181" i="52" s="1"/>
  <c r="X171" i="52"/>
  <c r="AB171" i="52" s="1"/>
  <c r="AY81" i="52"/>
  <c r="AZ87" i="52"/>
  <c r="BC95" i="52"/>
  <c r="AZ96" i="52"/>
  <c r="BC96" i="52"/>
  <c r="BB100" i="52"/>
  <c r="BC101" i="52"/>
  <c r="AZ102" i="52"/>
  <c r="BC103" i="52"/>
  <c r="N159" i="52"/>
  <c r="N173" i="52"/>
  <c r="BC113" i="52"/>
  <c r="AX159" i="52"/>
  <c r="BB115" i="52"/>
  <c r="AY115" i="52"/>
  <c r="BB116" i="52"/>
  <c r="BB121" i="52"/>
  <c r="AY121" i="52"/>
  <c r="Y160" i="52"/>
  <c r="AZ135" i="52"/>
  <c r="BC135" i="52"/>
  <c r="AX137" i="52"/>
  <c r="AA151" i="52"/>
  <c r="BA151" i="52"/>
  <c r="AX151" i="52"/>
  <c r="Y171" i="52"/>
  <c r="AX157" i="52"/>
  <c r="AZ89" i="52"/>
  <c r="BB90" i="52"/>
  <c r="AY110" i="52"/>
  <c r="BB111" i="52"/>
  <c r="AY112" i="52"/>
  <c r="AY119" i="52"/>
  <c r="Z160" i="52"/>
  <c r="BA138" i="52"/>
  <c r="AA138" i="52"/>
  <c r="BC140" i="52"/>
  <c r="AZ140" i="52"/>
  <c r="Y181" i="52"/>
  <c r="BA156" i="52"/>
  <c r="BB93" i="52"/>
  <c r="AB93" i="52"/>
  <c r="Y158" i="52"/>
  <c r="Y182" i="52"/>
  <c r="BB109" i="52"/>
  <c r="AB109" i="52"/>
  <c r="M183" i="52"/>
  <c r="M173" i="52"/>
  <c r="M159" i="52"/>
  <c r="AB114" i="52"/>
  <c r="BC115" i="52"/>
  <c r="AZ116" i="52"/>
  <c r="BC116" i="52"/>
  <c r="BB120" i="52"/>
  <c r="BC121" i="52"/>
  <c r="AZ122" i="52"/>
  <c r="BC123" i="52"/>
  <c r="AC133" i="52"/>
  <c r="AZ136" i="52"/>
  <c r="BC136" i="52"/>
  <c r="BB139" i="52"/>
  <c r="AY139" i="52"/>
  <c r="AB139" i="52"/>
  <c r="AB141" i="52"/>
  <c r="BB141" i="52"/>
  <c r="AA141" i="52"/>
  <c r="AX141" i="52"/>
  <c r="BA141" i="52"/>
  <c r="L180" i="52"/>
  <c r="L170" i="52"/>
  <c r="AA157" i="52"/>
  <c r="BA157" i="52"/>
  <c r="AZ90" i="52"/>
  <c r="BC90" i="52"/>
  <c r="AY109" i="52"/>
  <c r="BB110" i="52"/>
  <c r="Z159" i="52"/>
  <c r="Z183" i="52"/>
  <c r="Z173" i="52"/>
  <c r="BB134" i="52"/>
  <c r="AA136" i="52"/>
  <c r="N183" i="52"/>
  <c r="AA158" i="52"/>
  <c r="BA158" i="52"/>
  <c r="AY100" i="52"/>
  <c r="BC104" i="52"/>
  <c r="AY106" i="52"/>
  <c r="Y159" i="52"/>
  <c r="Y183" i="52"/>
  <c r="Y173" i="52"/>
  <c r="AY120" i="52"/>
  <c r="BC124" i="52"/>
  <c r="AY126" i="52"/>
  <c r="AB129" i="52"/>
  <c r="AY132" i="52"/>
  <c r="AA133" i="52"/>
  <c r="AA160" i="52" s="1"/>
  <c r="BC134" i="52"/>
  <c r="AB140" i="52"/>
  <c r="AY141" i="52"/>
  <c r="AY142" i="52"/>
  <c r="BA149" i="52"/>
  <c r="AA150" i="52"/>
  <c r="BA150" i="52"/>
  <c r="AX150" i="52"/>
  <c r="AB152" i="52"/>
  <c r="X182" i="52"/>
  <c r="AB182" i="52" s="1"/>
  <c r="L182" i="52"/>
  <c r="L172" i="52"/>
  <c r="AB98" i="52"/>
  <c r="AA134" i="52"/>
  <c r="AD138" i="52"/>
  <c r="AC147" i="52"/>
  <c r="BC149" i="52"/>
  <c r="AZ149" i="52"/>
  <c r="AB151" i="52"/>
  <c r="L183" i="52"/>
  <c r="L173" i="52"/>
  <c r="M160" i="52"/>
  <c r="AY144" i="52"/>
  <c r="BB144" i="52"/>
  <c r="AZ146" i="52"/>
  <c r="BC151" i="52"/>
  <c r="AX139" i="52"/>
  <c r="AX145" i="52"/>
  <c r="AA145" i="52"/>
  <c r="BC150" i="52"/>
  <c r="AB88" i="52"/>
  <c r="X158" i="52"/>
  <c r="AX158" i="52"/>
  <c r="AB108" i="52"/>
  <c r="AD159" i="52"/>
  <c r="AB128" i="52"/>
  <c r="X160" i="52"/>
  <c r="BC139" i="52"/>
  <c r="AZ139" i="52"/>
  <c r="AX146" i="52"/>
  <c r="AA146" i="52"/>
  <c r="BB145" i="52"/>
  <c r="BB146" i="52"/>
  <c r="AX149" i="52"/>
  <c r="AY140" i="52"/>
  <c r="AA143" i="52"/>
  <c r="AB145" i="52"/>
  <c r="AB146" i="52"/>
  <c r="AB147" i="52"/>
  <c r="AY149" i="52"/>
  <c r="AY150" i="52"/>
  <c r="AY151" i="52"/>
  <c r="AY152" i="52"/>
  <c r="BB140" i="52"/>
  <c r="BB150" i="52"/>
  <c r="BB151" i="52"/>
  <c r="AA148" i="52"/>
  <c r="AA158" i="51"/>
  <c r="AC5" i="51"/>
  <c r="BB14" i="51"/>
  <c r="AB19" i="51"/>
  <c r="AB26" i="51"/>
  <c r="AB37" i="51"/>
  <c r="AC41" i="51"/>
  <c r="AC49" i="51"/>
  <c r="BC50" i="51"/>
  <c r="AZ52" i="51"/>
  <c r="AB57" i="51"/>
  <c r="AB71" i="51"/>
  <c r="BB80" i="51"/>
  <c r="BC83" i="51"/>
  <c r="AC84" i="51"/>
  <c r="BB106" i="51"/>
  <c r="BC111" i="51"/>
  <c r="AC115" i="51"/>
  <c r="AC131" i="51"/>
  <c r="AD136" i="51"/>
  <c r="AY136" i="51"/>
  <c r="AA142" i="51"/>
  <c r="BA144" i="51"/>
  <c r="AD145" i="51"/>
  <c r="BA146" i="51"/>
  <c r="BA148" i="51"/>
  <c r="AD149" i="51"/>
  <c r="AA152" i="51"/>
  <c r="AC19" i="51"/>
  <c r="BC24" i="51"/>
  <c r="AC29" i="51"/>
  <c r="AC40" i="51"/>
  <c r="AC44" i="51"/>
  <c r="AB52" i="51"/>
  <c r="AC60" i="51"/>
  <c r="AY62" i="51"/>
  <c r="AC79" i="51"/>
  <c r="AB85" i="51"/>
  <c r="AB87" i="51"/>
  <c r="BC90" i="51"/>
  <c r="AC93" i="51"/>
  <c r="AY94" i="51"/>
  <c r="BB125" i="51"/>
  <c r="AC126" i="51"/>
  <c r="BB138" i="51"/>
  <c r="BC140" i="51"/>
  <c r="BC146" i="51"/>
  <c r="AC48" i="51"/>
  <c r="AB110" i="51"/>
  <c r="AB12" i="51"/>
  <c r="AB86" i="51"/>
  <c r="AC120" i="51"/>
  <c r="AC12" i="51"/>
  <c r="BC53" i="51"/>
  <c r="AC99" i="51"/>
  <c r="BB108" i="51"/>
  <c r="BA134" i="51"/>
  <c r="AZ142" i="51"/>
  <c r="AX145" i="51"/>
  <c r="AY146" i="51"/>
  <c r="AD148" i="51"/>
  <c r="AD150" i="51"/>
  <c r="BA151" i="51"/>
  <c r="AB27" i="51"/>
  <c r="BB38" i="51"/>
  <c r="BC46" i="51"/>
  <c r="AC62" i="51"/>
  <c r="AC94" i="51"/>
  <c r="BC103" i="51"/>
  <c r="L159" i="51"/>
  <c r="AC141" i="51"/>
  <c r="AB143" i="51"/>
  <c r="AC146" i="51"/>
  <c r="AC148" i="51"/>
  <c r="AZ149" i="51"/>
  <c r="AB6" i="51"/>
  <c r="AY116" i="51"/>
  <c r="AB132" i="51"/>
  <c r="BB134" i="51"/>
  <c r="AB139" i="51"/>
  <c r="AY10" i="51"/>
  <c r="BB10" i="51"/>
  <c r="AZ32" i="51"/>
  <c r="AB39" i="51"/>
  <c r="BB39" i="51"/>
  <c r="AY140" i="51"/>
  <c r="AB44" i="51"/>
  <c r="BB44" i="51"/>
  <c r="BB8" i="51"/>
  <c r="AY32" i="51"/>
  <c r="AB38" i="51"/>
  <c r="AC51" i="51"/>
  <c r="AZ60" i="51"/>
  <c r="AY61" i="51"/>
  <c r="BB64" i="51"/>
  <c r="AY64" i="51"/>
  <c r="AZ102" i="51"/>
  <c r="AY101" i="51"/>
  <c r="BB101" i="51"/>
  <c r="AB101" i="51"/>
  <c r="AC20" i="51"/>
  <c r="AB36" i="51"/>
  <c r="AB31" i="51"/>
  <c r="AC34" i="51"/>
  <c r="AY50" i="51"/>
  <c r="BB88" i="51"/>
  <c r="AY19" i="51"/>
  <c r="AB61" i="51"/>
  <c r="BB61" i="51"/>
  <c r="AY31" i="51"/>
  <c r="BB31" i="51"/>
  <c r="BB140" i="51"/>
  <c r="AB140" i="51"/>
  <c r="BC14" i="51"/>
  <c r="AB25" i="51"/>
  <c r="BB25" i="51"/>
  <c r="AC37" i="51"/>
  <c r="AY57" i="51"/>
  <c r="AC8" i="51"/>
  <c r="AC15" i="51"/>
  <c r="AB21" i="51"/>
  <c r="AC47" i="51"/>
  <c r="AC134" i="51"/>
  <c r="AA147" i="51"/>
  <c r="AB150" i="51"/>
  <c r="AC151" i="51"/>
  <c r="AC21" i="51"/>
  <c r="AY30" i="51"/>
  <c r="AC35" i="51"/>
  <c r="AC38" i="51"/>
  <c r="AC46" i="51"/>
  <c r="AY52" i="51"/>
  <c r="AB56" i="51"/>
  <c r="BC65" i="51"/>
  <c r="AY66" i="51"/>
  <c r="AC69" i="51"/>
  <c r="AC72" i="51"/>
  <c r="AY74" i="51"/>
  <c r="AC76" i="51"/>
  <c r="AC87" i="51"/>
  <c r="BB93" i="51"/>
  <c r="AC95" i="51"/>
  <c r="AC100" i="51"/>
  <c r="AC106" i="51"/>
  <c r="AB112" i="51"/>
  <c r="AC122" i="51"/>
  <c r="AC129" i="51"/>
  <c r="AA135" i="51"/>
  <c r="AD139" i="51"/>
  <c r="BB139" i="51"/>
  <c r="AD140" i="51"/>
  <c r="AA143" i="51"/>
  <c r="AC144" i="51"/>
  <c r="AC147" i="51"/>
  <c r="AB55" i="51"/>
  <c r="AB64" i="51"/>
  <c r="AY65" i="51"/>
  <c r="AB80" i="51"/>
  <c r="AY82" i="51"/>
  <c r="AZ85" i="51"/>
  <c r="AB97" i="51"/>
  <c r="AC105" i="51"/>
  <c r="AC108" i="51"/>
  <c r="AC112" i="51"/>
  <c r="BC128" i="51"/>
  <c r="AY132" i="51"/>
  <c r="AD133" i="51"/>
  <c r="AD160" i="51" s="1"/>
  <c r="BB133" i="51"/>
  <c r="AC137" i="51"/>
  <c r="AC140" i="51"/>
  <c r="AB149" i="51"/>
  <c r="AC64" i="51"/>
  <c r="AY67" i="51"/>
  <c r="BB71" i="51"/>
  <c r="AC73" i="51"/>
  <c r="AZ74" i="51"/>
  <c r="BB75" i="51"/>
  <c r="AC80" i="51"/>
  <c r="AC81" i="51"/>
  <c r="BB85" i="51"/>
  <c r="AC86" i="51"/>
  <c r="AY90" i="51"/>
  <c r="AC97" i="51"/>
  <c r="AB117" i="51"/>
  <c r="BB128" i="51"/>
  <c r="BC138" i="51"/>
  <c r="AD144" i="51"/>
  <c r="AC13" i="51"/>
  <c r="AB14" i="51"/>
  <c r="AZ15" i="51"/>
  <c r="AC22" i="51"/>
  <c r="BB23" i="51"/>
  <c r="AC36" i="51"/>
  <c r="AB41" i="51"/>
  <c r="AC42" i="51"/>
  <c r="BB43" i="51"/>
  <c r="AC50" i="51"/>
  <c r="AY54" i="51"/>
  <c r="AC75" i="51"/>
  <c r="AZ84" i="51"/>
  <c r="AZ92" i="51"/>
  <c r="BC99" i="51"/>
  <c r="AC117" i="51"/>
  <c r="AC119" i="51"/>
  <c r="BC129" i="51"/>
  <c r="AC136" i="51"/>
  <c r="AB138" i="51"/>
  <c r="AX142" i="51"/>
  <c r="AC143" i="51"/>
  <c r="BC145" i="51"/>
  <c r="AD146" i="51"/>
  <c r="AB146" i="51"/>
  <c r="AZ151" i="51"/>
  <c r="BB3" i="51"/>
  <c r="AB7" i="51"/>
  <c r="BC13" i="51"/>
  <c r="AC14" i="51"/>
  <c r="AY16" i="51"/>
  <c r="AB20" i="51"/>
  <c r="AY25" i="51"/>
  <c r="BC26" i="51"/>
  <c r="BC30" i="51"/>
  <c r="AB30" i="51"/>
  <c r="AY34" i="51"/>
  <c r="AZ36" i="51"/>
  <c r="BC40" i="51"/>
  <c r="BC44" i="51"/>
  <c r="AY46" i="51"/>
  <c r="AZ50" i="51"/>
  <c r="AC52" i="51"/>
  <c r="AC54" i="51"/>
  <c r="AC63" i="51"/>
  <c r="BC64" i="51"/>
  <c r="AC66" i="51"/>
  <c r="BB69" i="51"/>
  <c r="AY71" i="51"/>
  <c r="BB76" i="51"/>
  <c r="AZ82" i="51"/>
  <c r="AY84" i="51"/>
  <c r="AY87" i="51"/>
  <c r="AC89" i="51"/>
  <c r="AB91" i="51"/>
  <c r="AC98" i="51"/>
  <c r="AC158" i="51" s="1"/>
  <c r="BC105" i="51"/>
  <c r="BC108" i="51"/>
  <c r="AC114" i="51"/>
  <c r="AC160" i="51" s="1"/>
  <c r="AZ125" i="51"/>
  <c r="BB126" i="51"/>
  <c r="AX134" i="51"/>
  <c r="AX160" i="51" s="1"/>
  <c r="AD135" i="51"/>
  <c r="AY135" i="51"/>
  <c r="AA137" i="51"/>
  <c r="AC138" i="51"/>
  <c r="BA140" i="51"/>
  <c r="AC142" i="51"/>
  <c r="AD143" i="51"/>
  <c r="AB145" i="51"/>
  <c r="BC148" i="51"/>
  <c r="BB149" i="51"/>
  <c r="AA151" i="51"/>
  <c r="AB51" i="51"/>
  <c r="BB51" i="51"/>
  <c r="AB105" i="51"/>
  <c r="BC23" i="51"/>
  <c r="AB24" i="51"/>
  <c r="BB24" i="51"/>
  <c r="AY24" i="51"/>
  <c r="BB119" i="51"/>
  <c r="AY119" i="51"/>
  <c r="AB70" i="51"/>
  <c r="BB70" i="51"/>
  <c r="BB81" i="51"/>
  <c r="AB81" i="51"/>
  <c r="AZ17" i="51"/>
  <c r="AZ27" i="51"/>
  <c r="AB45" i="51"/>
  <c r="BB45" i="51"/>
  <c r="BA149" i="51"/>
  <c r="AB124" i="51"/>
  <c r="BB124" i="51"/>
  <c r="BA135" i="51"/>
  <c r="BB9" i="51"/>
  <c r="AY11" i="51"/>
  <c r="BB15" i="51"/>
  <c r="AY17" i="51"/>
  <c r="BB20" i="51"/>
  <c r="AC25" i="51"/>
  <c r="AC39" i="51"/>
  <c r="BB53" i="51"/>
  <c r="AB69" i="51"/>
  <c r="AB76" i="51"/>
  <c r="AC82" i="51"/>
  <c r="BB83" i="51"/>
  <c r="AC90" i="51"/>
  <c r="AC101" i="51"/>
  <c r="BC118" i="51"/>
  <c r="AC125" i="51"/>
  <c r="BB130" i="51"/>
  <c r="AX137" i="51"/>
  <c r="AZ140" i="51"/>
  <c r="BB141" i="51"/>
  <c r="AA146" i="51"/>
  <c r="AY147" i="51"/>
  <c r="AB152" i="51"/>
  <c r="BB6" i="51"/>
  <c r="AC9" i="51"/>
  <c r="AC11" i="51"/>
  <c r="AC17" i="51"/>
  <c r="BB18" i="51"/>
  <c r="AC23" i="51"/>
  <c r="AZ25" i="51"/>
  <c r="AC32" i="51"/>
  <c r="AZ40" i="51"/>
  <c r="AY42" i="51"/>
  <c r="AZ47" i="51"/>
  <c r="AC53" i="51"/>
  <c r="AC59" i="51"/>
  <c r="AY70" i="51"/>
  <c r="AC83" i="51"/>
  <c r="BC84" i="51"/>
  <c r="AC88" i="51"/>
  <c r="BC96" i="51"/>
  <c r="AC104" i="51"/>
  <c r="AZ111" i="51"/>
  <c r="AB116" i="51"/>
  <c r="BB118" i="51"/>
  <c r="AC123" i="51"/>
  <c r="AC130" i="51"/>
  <c r="AX135" i="51"/>
  <c r="AY139" i="51"/>
  <c r="AA140" i="51"/>
  <c r="AD151" i="51"/>
  <c r="AC3" i="51"/>
  <c r="AC161" i="51" s="1"/>
  <c r="AZ12" i="51"/>
  <c r="AZ26" i="51"/>
  <c r="AC28" i="51"/>
  <c r="AB35" i="51"/>
  <c r="AY37" i="51"/>
  <c r="BB40" i="51"/>
  <c r="BC43" i="51"/>
  <c r="AY45" i="51"/>
  <c r="AB47" i="51"/>
  <c r="AY51" i="51"/>
  <c r="BC54" i="51"/>
  <c r="AY60" i="51"/>
  <c r="AB67" i="51"/>
  <c r="AC70" i="51"/>
  <c r="AB72" i="51"/>
  <c r="AC109" i="51"/>
  <c r="AC116" i="51"/>
  <c r="AC118" i="51"/>
  <c r="AZ119" i="51"/>
  <c r="AY124" i="51"/>
  <c r="AC128" i="51"/>
  <c r="AD137" i="51"/>
  <c r="AY137" i="51"/>
  <c r="AZ141" i="51"/>
  <c r="AY4" i="51"/>
  <c r="AY12" i="51"/>
  <c r="AY44" i="51"/>
  <c r="AB54" i="51"/>
  <c r="AB62" i="51"/>
  <c r="AC67" i="51"/>
  <c r="AY69" i="51"/>
  <c r="BB91" i="51"/>
  <c r="AC96" i="51"/>
  <c r="AC111" i="51"/>
  <c r="AC124" i="51"/>
  <c r="AY126" i="51"/>
  <c r="AC10" i="51"/>
  <c r="BB13" i="51"/>
  <c r="AC16" i="51"/>
  <c r="AZ72" i="51"/>
  <c r="AZ77" i="51"/>
  <c r="AZ94" i="51"/>
  <c r="AZ97" i="51"/>
  <c r="AZ112" i="51"/>
  <c r="AZ121" i="51"/>
  <c r="AD134" i="51"/>
  <c r="AZ137" i="51"/>
  <c r="BA143" i="51"/>
  <c r="AC145" i="51"/>
  <c r="AZ150" i="51"/>
  <c r="BC8" i="51"/>
  <c r="AB22" i="51"/>
  <c r="AC65" i="51"/>
  <c r="AY92" i="51"/>
  <c r="AZ107" i="51"/>
  <c r="BC20" i="51"/>
  <c r="AZ20" i="51"/>
  <c r="Z177" i="51"/>
  <c r="Z161" i="51"/>
  <c r="BC3" i="51"/>
  <c r="BC6" i="51"/>
  <c r="AZ6" i="51"/>
  <c r="AZ11" i="51"/>
  <c r="BC11" i="51"/>
  <c r="AZ4" i="51"/>
  <c r="BC4" i="51"/>
  <c r="BC41" i="51"/>
  <c r="AZ41" i="51"/>
  <c r="AZ19" i="51"/>
  <c r="BC19" i="51"/>
  <c r="N161" i="51"/>
  <c r="N153" i="51"/>
  <c r="N177" i="51"/>
  <c r="N167" i="51"/>
  <c r="AZ5" i="51"/>
  <c r="BC5" i="51"/>
  <c r="AZ7" i="51"/>
  <c r="AZ10" i="51"/>
  <c r="AZ16" i="51"/>
  <c r="N178" i="51"/>
  <c r="N168" i="51"/>
  <c r="N154" i="51"/>
  <c r="AZ31" i="51"/>
  <c r="BC34" i="51"/>
  <c r="AZ34" i="51"/>
  <c r="AZ51" i="51"/>
  <c r="BC51" i="51"/>
  <c r="N180" i="51"/>
  <c r="N170" i="51"/>
  <c r="N156" i="51"/>
  <c r="BB4" i="51"/>
  <c r="Z179" i="51"/>
  <c r="Z169" i="51"/>
  <c r="Z155" i="51"/>
  <c r="AZ46" i="51"/>
  <c r="BB49" i="51"/>
  <c r="AY49" i="51"/>
  <c r="L180" i="51"/>
  <c r="L170" i="51"/>
  <c r="AY59" i="51"/>
  <c r="AB59" i="51"/>
  <c r="BB59" i="51"/>
  <c r="BC66" i="51"/>
  <c r="AZ66" i="51"/>
  <c r="BC75" i="51"/>
  <c r="AZ75" i="51"/>
  <c r="M161" i="51"/>
  <c r="M177" i="51"/>
  <c r="M167" i="51"/>
  <c r="M153" i="51"/>
  <c r="M162" i="51"/>
  <c r="AY6" i="51"/>
  <c r="AB9" i="51"/>
  <c r="AB10" i="51"/>
  <c r="BC10" i="51"/>
  <c r="AY14" i="51"/>
  <c r="AB16" i="51"/>
  <c r="BC16" i="51"/>
  <c r="AA154" i="51"/>
  <c r="BA154" i="51"/>
  <c r="AY20" i="51"/>
  <c r="BB46" i="51"/>
  <c r="BC48" i="51"/>
  <c r="BC55" i="51"/>
  <c r="AZ55" i="51"/>
  <c r="BC61" i="51"/>
  <c r="AZ61" i="51"/>
  <c r="AB66" i="51"/>
  <c r="BB66" i="51"/>
  <c r="AB75" i="51"/>
  <c r="AY75" i="51"/>
  <c r="AZ90" i="51"/>
  <c r="BB99" i="51"/>
  <c r="AY99" i="51"/>
  <c r="AB99" i="51"/>
  <c r="AB120" i="51"/>
  <c r="BB121" i="51"/>
  <c r="AB121" i="51"/>
  <c r="AY121" i="51"/>
  <c r="AB151" i="51"/>
  <c r="AY151" i="51"/>
  <c r="BB151" i="51"/>
  <c r="BA161" i="51"/>
  <c r="BA153" i="51"/>
  <c r="AY5" i="51"/>
  <c r="Y178" i="51"/>
  <c r="Y168" i="51"/>
  <c r="Y154" i="51"/>
  <c r="Y179" i="51"/>
  <c r="Y169" i="51"/>
  <c r="Y155" i="51"/>
  <c r="AZ45" i="51"/>
  <c r="BC45" i="51"/>
  <c r="AZ64" i="51"/>
  <c r="BB100" i="51"/>
  <c r="AB100" i="51"/>
  <c r="Z178" i="51"/>
  <c r="Z168" i="51"/>
  <c r="Z154" i="51"/>
  <c r="AZ109" i="51"/>
  <c r="BC109" i="51"/>
  <c r="AD161" i="51"/>
  <c r="AD153" i="51"/>
  <c r="BB5" i="51"/>
  <c r="BB11" i="51"/>
  <c r="AZ14" i="51"/>
  <c r="L168" i="51"/>
  <c r="L178" i="51"/>
  <c r="AB18" i="51"/>
  <c r="BB19" i="51"/>
  <c r="AZ22" i="51"/>
  <c r="AY22" i="51"/>
  <c r="BB26" i="51"/>
  <c r="N179" i="51"/>
  <c r="N169" i="51"/>
  <c r="N155" i="51"/>
  <c r="AC33" i="51"/>
  <c r="AC155" i="51" s="1"/>
  <c r="AB42" i="51"/>
  <c r="BB48" i="51"/>
  <c r="AB48" i="51"/>
  <c r="Z180" i="51"/>
  <c r="Z170" i="51"/>
  <c r="Z156" i="51"/>
  <c r="BC58" i="51"/>
  <c r="BA156" i="51"/>
  <c r="AB63" i="51"/>
  <c r="BB63" i="51"/>
  <c r="AZ80" i="51"/>
  <c r="BC80" i="51"/>
  <c r="AB84" i="51"/>
  <c r="BC85" i="51"/>
  <c r="AB96" i="51"/>
  <c r="AB4" i="51"/>
  <c r="AY9" i="51"/>
  <c r="AB11" i="51"/>
  <c r="AY15" i="51"/>
  <c r="AB17" i="51"/>
  <c r="M178" i="51"/>
  <c r="M168" i="51"/>
  <c r="M154" i="51"/>
  <c r="BC18" i="51"/>
  <c r="BB21" i="51"/>
  <c r="AY21" i="51"/>
  <c r="BC29" i="51"/>
  <c r="AZ29" i="51"/>
  <c r="AY40" i="51"/>
  <c r="AB49" i="51"/>
  <c r="AZ54" i="51"/>
  <c r="AZ56" i="51"/>
  <c r="AZ57" i="51"/>
  <c r="BB58" i="51"/>
  <c r="AZ65" i="51"/>
  <c r="AZ71" i="51"/>
  <c r="BC71" i="51"/>
  <c r="L181" i="51"/>
  <c r="L171" i="51"/>
  <c r="L157" i="51"/>
  <c r="AB78" i="51"/>
  <c r="BC81" i="51"/>
  <c r="BC131" i="51"/>
  <c r="AZ131" i="51"/>
  <c r="AA161" i="51"/>
  <c r="AA153" i="51"/>
  <c r="BC25" i="51"/>
  <c r="AY26" i="51"/>
  <c r="AC18" i="51"/>
  <c r="AC154" i="51" s="1"/>
  <c r="X177" i="51"/>
  <c r="X153" i="51"/>
  <c r="X161" i="51"/>
  <c r="AX161" i="51"/>
  <c r="AX153" i="51"/>
  <c r="AZ9" i="51"/>
  <c r="AB13" i="51"/>
  <c r="AD154" i="51"/>
  <c r="BC28" i="51"/>
  <c r="BB29" i="51"/>
  <c r="AY29" i="51"/>
  <c r="M179" i="51"/>
  <c r="M169" i="51"/>
  <c r="M155" i="51"/>
  <c r="BC33" i="51"/>
  <c r="AB46" i="51"/>
  <c r="BB56" i="51"/>
  <c r="BC56" i="51"/>
  <c r="BC60" i="51"/>
  <c r="AZ67" i="51"/>
  <c r="AZ76" i="51"/>
  <c r="BB78" i="51"/>
  <c r="AD157" i="51"/>
  <c r="AB82" i="51"/>
  <c r="AZ89" i="51"/>
  <c r="BC89" i="51"/>
  <c r="X159" i="51"/>
  <c r="X183" i="51"/>
  <c r="AB183" i="51" s="1"/>
  <c r="BB113" i="51"/>
  <c r="AB113" i="51"/>
  <c r="X173" i="51"/>
  <c r="AB173" i="51" s="1"/>
  <c r="AB131" i="51"/>
  <c r="BB131" i="51"/>
  <c r="AY131" i="51"/>
  <c r="AZ59" i="51"/>
  <c r="BC59" i="51"/>
  <c r="L162" i="51"/>
  <c r="L177" i="51"/>
  <c r="Y177" i="51"/>
  <c r="Y167" i="51"/>
  <c r="Y162" i="51"/>
  <c r="Y163" i="51" s="1"/>
  <c r="Y153" i="51"/>
  <c r="Y161" i="51"/>
  <c r="AZ21" i="51"/>
  <c r="BC21" i="51"/>
  <c r="AZ24" i="51"/>
  <c r="BB28" i="51"/>
  <c r="AB28" i="51"/>
  <c r="AZ30" i="51"/>
  <c r="BC35" i="51"/>
  <c r="AZ35" i="51"/>
  <c r="AZ39" i="51"/>
  <c r="BC39" i="51"/>
  <c r="AA156" i="51"/>
  <c r="AB60" i="51"/>
  <c r="BB60" i="51"/>
  <c r="Z157" i="51"/>
  <c r="Z171" i="51"/>
  <c r="Z181" i="51"/>
  <c r="BC78" i="51"/>
  <c r="AZ91" i="51"/>
  <c r="BC91" i="51"/>
  <c r="AZ95" i="51"/>
  <c r="BC95" i="51"/>
  <c r="AY100" i="51"/>
  <c r="AZ106" i="51"/>
  <c r="BC106" i="51"/>
  <c r="L156" i="51"/>
  <c r="AZ37" i="51"/>
  <c r="BC49" i="51"/>
  <c r="AZ49" i="51"/>
  <c r="AB8" i="51"/>
  <c r="X178" i="51"/>
  <c r="AB178" i="51" s="1"/>
  <c r="X168" i="51"/>
  <c r="AB168" i="51" s="1"/>
  <c r="X154" i="51"/>
  <c r="AX154" i="51"/>
  <c r="BC31" i="51"/>
  <c r="X179" i="51"/>
  <c r="AB179" i="51" s="1"/>
  <c r="X169" i="51"/>
  <c r="AB169" i="51" s="1"/>
  <c r="X155" i="51"/>
  <c r="BB33" i="51"/>
  <c r="AB33" i="51"/>
  <c r="BB36" i="51"/>
  <c r="BC38" i="51"/>
  <c r="AY39" i="51"/>
  <c r="AZ42" i="51"/>
  <c r="AZ44" i="51"/>
  <c r="BB50" i="51"/>
  <c r="AB58" i="51"/>
  <c r="AZ62" i="51"/>
  <c r="BC68" i="51"/>
  <c r="BB68" i="51"/>
  <c r="BC70" i="51"/>
  <c r="AB74" i="51"/>
  <c r="BB74" i="51"/>
  <c r="BC94" i="51"/>
  <c r="AY27" i="51"/>
  <c r="AA155" i="51"/>
  <c r="BA155" i="51"/>
  <c r="AY35" i="51"/>
  <c r="AY41" i="51"/>
  <c r="AY47" i="51"/>
  <c r="AY55" i="51"/>
  <c r="M180" i="51"/>
  <c r="M170" i="51"/>
  <c r="AC58" i="51"/>
  <c r="AC156" i="51" s="1"/>
  <c r="BA158" i="51"/>
  <c r="AZ99" i="51"/>
  <c r="AX158" i="51"/>
  <c r="AY110" i="51"/>
  <c r="BB111" i="51"/>
  <c r="AY111" i="51"/>
  <c r="AX139" i="51"/>
  <c r="AA139" i="51"/>
  <c r="L179" i="51"/>
  <c r="L169" i="51"/>
  <c r="L155" i="51"/>
  <c r="BB34" i="51"/>
  <c r="AB53" i="51"/>
  <c r="BB54" i="51"/>
  <c r="AD156" i="51"/>
  <c r="BB65" i="51"/>
  <c r="AZ81" i="51"/>
  <c r="AY89" i="51"/>
  <c r="BB90" i="51"/>
  <c r="AB92" i="51"/>
  <c r="N182" i="51"/>
  <c r="N172" i="51"/>
  <c r="N158" i="51"/>
  <c r="BC98" i="51"/>
  <c r="BC100" i="51"/>
  <c r="AZ105" i="51"/>
  <c r="AZ117" i="51"/>
  <c r="AZ139" i="51"/>
  <c r="BC139" i="51"/>
  <c r="AY56" i="51"/>
  <c r="Y171" i="51"/>
  <c r="Y157" i="51"/>
  <c r="Y181" i="51"/>
  <c r="AC78" i="51"/>
  <c r="AC157" i="51" s="1"/>
  <c r="AZ96" i="51"/>
  <c r="AY97" i="51"/>
  <c r="BB110" i="51"/>
  <c r="BB114" i="51"/>
  <c r="AY114" i="51"/>
  <c r="AB114" i="51"/>
  <c r="AD155" i="51"/>
  <c r="BB35" i="51"/>
  <c r="BB41" i="51"/>
  <c r="BB55" i="51"/>
  <c r="X180" i="51"/>
  <c r="AB180" i="51" s="1"/>
  <c r="X170" i="51"/>
  <c r="AB170" i="51" s="1"/>
  <c r="X156" i="51"/>
  <c r="AX156" i="51"/>
  <c r="BB73" i="51"/>
  <c r="AB73" i="51"/>
  <c r="BC79" i="51"/>
  <c r="AY81" i="51"/>
  <c r="BB84" i="51"/>
  <c r="BB86" i="51"/>
  <c r="AY86" i="51"/>
  <c r="AB89" i="51"/>
  <c r="AY95" i="51"/>
  <c r="BB96" i="51"/>
  <c r="M182" i="51"/>
  <c r="M172" i="51"/>
  <c r="M158" i="51"/>
  <c r="AB111" i="51"/>
  <c r="AB122" i="51"/>
  <c r="AY122" i="51"/>
  <c r="BB123" i="51"/>
  <c r="AY144" i="51"/>
  <c r="BB144" i="51"/>
  <c r="AB144" i="51"/>
  <c r="Y180" i="51"/>
  <c r="Y170" i="51"/>
  <c r="Y156" i="51"/>
  <c r="BC69" i="51"/>
  <c r="AZ69" i="51"/>
  <c r="AY72" i="51"/>
  <c r="AY77" i="51"/>
  <c r="AA157" i="51"/>
  <c r="AY79" i="51"/>
  <c r="AB79" i="51"/>
  <c r="BB79" i="51"/>
  <c r="AX157" i="51"/>
  <c r="AB90" i="51"/>
  <c r="BB94" i="51"/>
  <c r="AB94" i="51"/>
  <c r="Z182" i="51"/>
  <c r="Z172" i="51"/>
  <c r="Z158" i="51"/>
  <c r="AB102" i="51"/>
  <c r="AY102" i="51"/>
  <c r="AB103" i="51"/>
  <c r="BB103" i="51"/>
  <c r="AZ104" i="51"/>
  <c r="AB106" i="51"/>
  <c r="AY107" i="51"/>
  <c r="M183" i="51"/>
  <c r="M173" i="51"/>
  <c r="M159" i="51"/>
  <c r="AC113" i="51"/>
  <c r="AC159" i="51" s="1"/>
  <c r="BC119" i="51"/>
  <c r="AZ120" i="51"/>
  <c r="BC120" i="51"/>
  <c r="AZ126" i="51"/>
  <c r="BC126" i="51"/>
  <c r="BC133" i="51"/>
  <c r="Z160" i="51"/>
  <c r="AX155" i="51"/>
  <c r="AB43" i="51"/>
  <c r="BC73" i="51"/>
  <c r="BC74" i="51"/>
  <c r="N157" i="51"/>
  <c r="N181" i="51"/>
  <c r="N171" i="51"/>
  <c r="BA157" i="51"/>
  <c r="AZ86" i="51"/>
  <c r="BC86" i="51"/>
  <c r="AZ87" i="51"/>
  <c r="BC88" i="51"/>
  <c r="BB95" i="51"/>
  <c r="X158" i="51"/>
  <c r="X182" i="51"/>
  <c r="AB182" i="51" s="1"/>
  <c r="BB98" i="51"/>
  <c r="AB98" i="51"/>
  <c r="X172" i="51"/>
  <c r="AB172" i="51" s="1"/>
  <c r="AZ101" i="51"/>
  <c r="BB104" i="51"/>
  <c r="AB104" i="51"/>
  <c r="AY104" i="51"/>
  <c r="BA159" i="51"/>
  <c r="AY127" i="51"/>
  <c r="M181" i="51"/>
  <c r="M171" i="51"/>
  <c r="M157" i="51"/>
  <c r="AY80" i="51"/>
  <c r="AY85" i="51"/>
  <c r="AY91" i="51"/>
  <c r="Y182" i="51"/>
  <c r="Y158" i="51"/>
  <c r="AY106" i="51"/>
  <c r="AZ110" i="51"/>
  <c r="BC110" i="51"/>
  <c r="AA159" i="51"/>
  <c r="BB115" i="51"/>
  <c r="AY115" i="51"/>
  <c r="BB116" i="51"/>
  <c r="AB125" i="51"/>
  <c r="AB126" i="51"/>
  <c r="AZ135" i="51"/>
  <c r="BC135" i="51"/>
  <c r="AY142" i="51"/>
  <c r="BB148" i="51"/>
  <c r="AB148" i="51"/>
  <c r="AB83" i="51"/>
  <c r="BB105" i="51"/>
  <c r="AB107" i="51"/>
  <c r="AX159" i="51"/>
  <c r="BC121" i="51"/>
  <c r="AZ122" i="51"/>
  <c r="BC123" i="51"/>
  <c r="BB129" i="51"/>
  <c r="AB129" i="51"/>
  <c r="AZ136" i="51"/>
  <c r="BC136" i="51"/>
  <c r="AZ147" i="51"/>
  <c r="AZ152" i="51"/>
  <c r="Y172" i="51"/>
  <c r="N159" i="51"/>
  <c r="N183" i="51"/>
  <c r="N173" i="51"/>
  <c r="BC113" i="51"/>
  <c r="AZ115" i="51"/>
  <c r="BC115" i="51"/>
  <c r="AZ116" i="51"/>
  <c r="BC116" i="51"/>
  <c r="AY120" i="51"/>
  <c r="AY130" i="51"/>
  <c r="AB130" i="51"/>
  <c r="AA136" i="51"/>
  <c r="X181" i="51"/>
  <c r="AB181" i="51" s="1"/>
  <c r="X171" i="51"/>
  <c r="AB171" i="51" s="1"/>
  <c r="X157" i="51"/>
  <c r="L158" i="51"/>
  <c r="L182" i="51"/>
  <c r="L172" i="51"/>
  <c r="AY112" i="51"/>
  <c r="BC114" i="51"/>
  <c r="AB119" i="51"/>
  <c r="AZ124" i="51"/>
  <c r="BC124" i="51"/>
  <c r="AY125" i="51"/>
  <c r="AZ127" i="51"/>
  <c r="AZ129" i="51"/>
  <c r="AZ132" i="51"/>
  <c r="AX141" i="51"/>
  <c r="AA141" i="51"/>
  <c r="BA141" i="51"/>
  <c r="BC143" i="51"/>
  <c r="AA145" i="51"/>
  <c r="BA145" i="51"/>
  <c r="AZ146" i="51"/>
  <c r="AZ130" i="51"/>
  <c r="BC130" i="51"/>
  <c r="AZ134" i="51"/>
  <c r="BC134" i="51"/>
  <c r="AA138" i="51"/>
  <c r="BA138" i="51"/>
  <c r="AA150" i="51"/>
  <c r="BA150" i="51"/>
  <c r="AB93" i="51"/>
  <c r="AD158" i="51"/>
  <c r="BC104" i="51"/>
  <c r="BB109" i="51"/>
  <c r="AB109" i="51"/>
  <c r="Z159" i="51"/>
  <c r="Z183" i="51"/>
  <c r="Z173" i="51"/>
  <c r="Y160" i="51"/>
  <c r="AC133" i="51"/>
  <c r="AY134" i="51"/>
  <c r="AB134" i="51"/>
  <c r="AX136" i="51"/>
  <c r="BC144" i="51"/>
  <c r="AZ144" i="51"/>
  <c r="Y159" i="51"/>
  <c r="Y183" i="51"/>
  <c r="Y173" i="51"/>
  <c r="AA133" i="51"/>
  <c r="AA160" i="51" s="1"/>
  <c r="AB135" i="51"/>
  <c r="AB136" i="51"/>
  <c r="AB137" i="51"/>
  <c r="AY141" i="51"/>
  <c r="AX149" i="51"/>
  <c r="AX150" i="51"/>
  <c r="AY150" i="51"/>
  <c r="BC151" i="51"/>
  <c r="AX152" i="51"/>
  <c r="AY152" i="51"/>
  <c r="AB118" i="51"/>
  <c r="AB133" i="51"/>
  <c r="AA134" i="51"/>
  <c r="AD138" i="51"/>
  <c r="AC139" i="51"/>
  <c r="AX140" i="51"/>
  <c r="AY145" i="51"/>
  <c r="AX147" i="51"/>
  <c r="BC149" i="51"/>
  <c r="L160" i="51"/>
  <c r="AA144" i="51"/>
  <c r="AX144" i="51"/>
  <c r="L183" i="51"/>
  <c r="L173" i="51"/>
  <c r="M160" i="51"/>
  <c r="AC149" i="51"/>
  <c r="BB150" i="51"/>
  <c r="N160" i="51"/>
  <c r="AX146" i="51"/>
  <c r="AY149" i="51"/>
  <c r="BC150" i="51"/>
  <c r="AX151" i="51"/>
  <c r="AB108" i="51"/>
  <c r="AD159" i="51"/>
  <c r="AB128" i="51"/>
  <c r="X160" i="51"/>
  <c r="BB145" i="51"/>
  <c r="BB146" i="51"/>
  <c r="AA148" i="51"/>
  <c r="AZ159" i="51" l="1"/>
  <c r="AZ158" i="51"/>
  <c r="BC154" i="51"/>
  <c r="BB156" i="51"/>
  <c r="AY153" i="51"/>
  <c r="BB153" i="51"/>
  <c r="BB160" i="52"/>
  <c r="BC154" i="52"/>
  <c r="AZ160" i="52"/>
  <c r="BC158" i="52"/>
  <c r="AY154" i="52"/>
  <c r="AY155" i="52"/>
  <c r="BB154" i="52"/>
  <c r="AY158" i="52"/>
  <c r="AB154" i="52"/>
  <c r="BB158" i="52"/>
  <c r="BB157" i="52"/>
  <c r="AB157" i="52"/>
  <c r="AY161" i="52"/>
  <c r="AB160" i="52"/>
  <c r="AY156" i="52"/>
  <c r="AZ156" i="52"/>
  <c r="BB156" i="52"/>
  <c r="AZ155" i="52"/>
  <c r="BC159" i="52"/>
  <c r="BC155" i="52"/>
  <c r="AZ158" i="52"/>
  <c r="AZ157" i="52"/>
  <c r="AZ154" i="52"/>
  <c r="BC160" i="52"/>
  <c r="AB158" i="52"/>
  <c r="AB159" i="52"/>
  <c r="AY157" i="52"/>
  <c r="AY153" i="52"/>
  <c r="AB155" i="52"/>
  <c r="BB159" i="52"/>
  <c r="AB156" i="52"/>
  <c r="BC156" i="52"/>
  <c r="BB155" i="52"/>
  <c r="AZ159" i="52"/>
  <c r="BC157" i="52"/>
  <c r="BB158" i="51"/>
  <c r="AB155" i="51"/>
  <c r="AB160" i="51"/>
  <c r="BB159" i="51"/>
  <c r="BB161" i="51"/>
  <c r="AY154" i="51"/>
  <c r="AY161" i="51"/>
  <c r="BB160" i="51"/>
  <c r="AY156" i="51"/>
  <c r="BB154" i="51"/>
  <c r="BB157" i="51"/>
  <c r="AB158" i="51"/>
  <c r="AB156" i="51"/>
  <c r="AB157" i="51"/>
  <c r="AY155" i="51"/>
  <c r="AY158" i="51"/>
  <c r="AB154" i="51"/>
  <c r="AY157" i="51"/>
  <c r="BB155" i="51"/>
  <c r="BC156" i="51"/>
  <c r="BC155" i="51"/>
  <c r="AZ157" i="51"/>
  <c r="BC159" i="51"/>
  <c r="BC158" i="51"/>
  <c r="AZ154" i="51"/>
  <c r="BC157" i="51"/>
  <c r="AZ160" i="51"/>
  <c r="BC160" i="51"/>
  <c r="AZ156" i="51"/>
  <c r="AZ155" i="51"/>
  <c r="AC171" i="51"/>
  <c r="AC181" i="51"/>
  <c r="AC170" i="51"/>
  <c r="AC169" i="52"/>
  <c r="AC179" i="52"/>
  <c r="AC181" i="52"/>
  <c r="L184" i="56"/>
  <c r="Y163" i="56"/>
  <c r="X163" i="56"/>
  <c r="AA172" i="56"/>
  <c r="Z163" i="56"/>
  <c r="N174" i="56"/>
  <c r="AA170" i="56"/>
  <c r="N184" i="56"/>
  <c r="AC172" i="56"/>
  <c r="M174" i="56"/>
  <c r="AA180" i="56"/>
  <c r="AA173" i="56"/>
  <c r="M184" i="56"/>
  <c r="AC182" i="56"/>
  <c r="AC170" i="56"/>
  <c r="BB161" i="56"/>
  <c r="BB153" i="56"/>
  <c r="AB161" i="56"/>
  <c r="AB153" i="56"/>
  <c r="AB167" i="56"/>
  <c r="X174" i="56"/>
  <c r="AB174" i="56" s="1"/>
  <c r="AB177" i="56"/>
  <c r="X184" i="56"/>
  <c r="AB184" i="56" s="1"/>
  <c r="AA167" i="56"/>
  <c r="Z174" i="56"/>
  <c r="AA174" i="56" s="1"/>
  <c r="AA177" i="56"/>
  <c r="Z184" i="56"/>
  <c r="AA184" i="56" s="1"/>
  <c r="AC161" i="56"/>
  <c r="AC153" i="56"/>
  <c r="Y174" i="56"/>
  <c r="AC174" i="56" s="1"/>
  <c r="AC167" i="56"/>
  <c r="Y184" i="56"/>
  <c r="AC177" i="56"/>
  <c r="AZ161" i="56"/>
  <c r="AZ153" i="56"/>
  <c r="AA183" i="53"/>
  <c r="AA178" i="53"/>
  <c r="AC178" i="53"/>
  <c r="AA167" i="53"/>
  <c r="Z174" i="53"/>
  <c r="AC169" i="53"/>
  <c r="Y163" i="53"/>
  <c r="AA169" i="53"/>
  <c r="AA177" i="53"/>
  <c r="Z184" i="53"/>
  <c r="AA184" i="53" s="1"/>
  <c r="AC179" i="53"/>
  <c r="AC170" i="53"/>
  <c r="AZ161" i="53"/>
  <c r="AZ153" i="53"/>
  <c r="Y174" i="53"/>
  <c r="AC167" i="53"/>
  <c r="AA179" i="53"/>
  <c r="X163" i="53"/>
  <c r="N174" i="53"/>
  <c r="AC161" i="53"/>
  <c r="AC153" i="53"/>
  <c r="L184" i="53"/>
  <c r="Y184" i="53"/>
  <c r="AC184" i="53" s="1"/>
  <c r="AC177" i="53"/>
  <c r="AB167" i="53"/>
  <c r="X174" i="53"/>
  <c r="AB174" i="53" s="1"/>
  <c r="N184" i="53"/>
  <c r="AC173" i="53"/>
  <c r="L174" i="53"/>
  <c r="AZ159" i="53"/>
  <c r="AZ160" i="53"/>
  <c r="AB177" i="53"/>
  <c r="X184" i="53"/>
  <c r="AB184" i="53" s="1"/>
  <c r="BC161" i="53"/>
  <c r="BC153" i="53"/>
  <c r="AC183" i="53"/>
  <c r="AC182" i="53"/>
  <c r="M174" i="53"/>
  <c r="M184" i="53"/>
  <c r="AB161" i="53"/>
  <c r="AB153" i="53"/>
  <c r="AA173" i="53"/>
  <c r="BB161" i="53"/>
  <c r="BB153" i="53"/>
  <c r="AY161" i="53"/>
  <c r="AY153" i="53"/>
  <c r="L174" i="52"/>
  <c r="BC161" i="52"/>
  <c r="BC153" i="52"/>
  <c r="AC173" i="52"/>
  <c r="AC182" i="52"/>
  <c r="N174" i="52"/>
  <c r="AC172" i="52"/>
  <c r="L184" i="52"/>
  <c r="AZ161" i="52"/>
  <c r="AZ153" i="52"/>
  <c r="AC183" i="52"/>
  <c r="N184" i="52"/>
  <c r="AC171" i="52"/>
  <c r="AC170" i="52"/>
  <c r="AC168" i="52"/>
  <c r="X174" i="52"/>
  <c r="AB174" i="52" s="1"/>
  <c r="Z163" i="52"/>
  <c r="AC180" i="52"/>
  <c r="AC161" i="52"/>
  <c r="AC153" i="52"/>
  <c r="Y163" i="52"/>
  <c r="AC178" i="52"/>
  <c r="AB177" i="52"/>
  <c r="X184" i="52"/>
  <c r="AB184" i="52" s="1"/>
  <c r="Z174" i="52"/>
  <c r="AY159" i="52"/>
  <c r="AY160" i="52"/>
  <c r="Y174" i="52"/>
  <c r="AC167" i="52"/>
  <c r="Z184" i="52"/>
  <c r="M174" i="52"/>
  <c r="BB161" i="52"/>
  <c r="BB153" i="52"/>
  <c r="Y184" i="52"/>
  <c r="AC177" i="52"/>
  <c r="M184" i="52"/>
  <c r="AB161" i="52"/>
  <c r="AB153" i="52"/>
  <c r="AC183" i="51"/>
  <c r="AC178" i="51"/>
  <c r="AC153" i="51"/>
  <c r="AC168" i="51"/>
  <c r="AC182" i="51"/>
  <c r="AY159" i="51"/>
  <c r="AY160" i="51"/>
  <c r="Y174" i="51"/>
  <c r="AC167" i="51"/>
  <c r="N174" i="51"/>
  <c r="Z174" i="51"/>
  <c r="AC180" i="51"/>
  <c r="Y184" i="51"/>
  <c r="AC177" i="51"/>
  <c r="N184" i="51"/>
  <c r="Z184" i="51"/>
  <c r="AC172" i="51"/>
  <c r="AC169" i="51"/>
  <c r="L174" i="51"/>
  <c r="AB167" i="51"/>
  <c r="X174" i="51"/>
  <c r="AB174" i="51" s="1"/>
  <c r="AC179" i="51"/>
  <c r="M174" i="51"/>
  <c r="AZ161" i="51"/>
  <c r="AZ153" i="51"/>
  <c r="AB161" i="51"/>
  <c r="AB153" i="51"/>
  <c r="L184" i="51"/>
  <c r="AB177" i="51"/>
  <c r="X184" i="51"/>
  <c r="AB184" i="51" s="1"/>
  <c r="M184" i="51"/>
  <c r="BC161" i="51"/>
  <c r="BC153" i="51"/>
  <c r="AC173" i="51"/>
  <c r="AC184" i="56" l="1"/>
  <c r="AC174" i="53"/>
  <c r="AA174" i="53"/>
  <c r="AC184" i="52"/>
  <c r="AC174" i="52"/>
  <c r="AC174" i="51"/>
  <c r="AC184" i="51"/>
  <c r="AV98" i="56" l="1"/>
  <c r="AG83" i="56"/>
  <c r="AV68" i="56"/>
  <c r="AF43" i="56"/>
  <c r="AO74" i="56"/>
  <c r="AW33" i="56"/>
  <c r="AS43" i="56"/>
  <c r="AF98" i="56"/>
  <c r="AF143" i="56"/>
  <c r="AN4" i="56"/>
  <c r="AJ98" i="56"/>
  <c r="AT8" i="56"/>
  <c r="AS38" i="53"/>
  <c r="AW148" i="56"/>
  <c r="AU33" i="56"/>
  <c r="AN49" i="56"/>
  <c r="AL129" i="56"/>
  <c r="AG128" i="56"/>
  <c r="AO109" i="56"/>
  <c r="AU78" i="56"/>
  <c r="AN59" i="56"/>
  <c r="AN24" i="56"/>
  <c r="AJ23" i="56"/>
  <c r="AO104" i="56"/>
  <c r="AR133" i="56"/>
  <c r="AJ68" i="56"/>
  <c r="AW68" i="56"/>
  <c r="AQ89" i="56"/>
  <c r="AK123" i="56"/>
  <c r="AV13" i="56"/>
  <c r="AP124" i="56"/>
  <c r="AT48" i="56"/>
  <c r="AO14" i="56"/>
  <c r="AP84" i="56"/>
  <c r="AP99" i="56"/>
  <c r="AP114" i="56"/>
  <c r="AV48" i="56"/>
  <c r="AF58" i="56"/>
  <c r="AO124" i="56"/>
  <c r="AI123" i="56"/>
  <c r="AH118" i="56"/>
  <c r="AK3" i="56"/>
  <c r="AP94" i="56"/>
  <c r="AM44" i="56"/>
  <c r="AU63" i="56"/>
  <c r="AL39" i="56"/>
  <c r="AJ108" i="56"/>
  <c r="AG53" i="56"/>
  <c r="AN144" i="56"/>
  <c r="AG138" i="56"/>
  <c r="AM89" i="56"/>
  <c r="AO24" i="56"/>
  <c r="AM59" i="56"/>
  <c r="AF28" i="56"/>
  <c r="AJ3" i="56"/>
  <c r="AG68" i="56"/>
  <c r="AV33" i="56"/>
  <c r="AQ94" i="53"/>
  <c r="AO134" i="56"/>
  <c r="AQ9" i="56"/>
  <c r="AW18" i="53"/>
  <c r="AN109" i="56"/>
  <c r="AU98" i="56"/>
  <c r="AO84" i="56"/>
  <c r="AO39" i="53"/>
  <c r="AV73" i="56"/>
  <c r="AK128" i="56"/>
  <c r="AK113" i="56"/>
  <c r="AH78" i="53"/>
  <c r="AU23" i="56"/>
  <c r="AV13" i="53"/>
  <c r="AR113" i="53"/>
  <c r="AH133" i="53"/>
  <c r="AM29" i="53"/>
  <c r="AM34" i="56"/>
  <c r="AU103" i="56"/>
  <c r="AS43" i="53"/>
  <c r="AO79" i="53"/>
  <c r="AW118" i="53"/>
  <c r="AM64" i="56"/>
  <c r="AT83" i="53"/>
  <c r="AL84" i="56"/>
  <c r="AQ139" i="56"/>
  <c r="AJ78" i="56"/>
  <c r="AV113" i="56"/>
  <c r="AU73" i="53"/>
  <c r="AF108" i="53"/>
  <c r="AH63" i="56"/>
  <c r="AR118" i="56"/>
  <c r="AO44" i="53"/>
  <c r="AW103" i="56"/>
  <c r="AG48" i="53"/>
  <c r="AR23" i="56"/>
  <c r="AF88" i="53"/>
  <c r="AV128" i="53"/>
  <c r="AG98" i="56"/>
  <c r="AV138" i="53"/>
  <c r="AU33" i="53"/>
  <c r="AG73" i="53"/>
  <c r="AP54" i="53"/>
  <c r="AW63" i="53"/>
  <c r="AN84" i="53"/>
  <c r="AG58" i="53"/>
  <c r="AQ109" i="53"/>
  <c r="AR58" i="53"/>
  <c r="AK63" i="53"/>
  <c r="AI8" i="53"/>
  <c r="AQ134" i="56"/>
  <c r="AM124" i="56"/>
  <c r="AN124" i="53"/>
  <c r="AF113" i="53"/>
  <c r="AQ39" i="53"/>
  <c r="AW63" i="56"/>
  <c r="AH113" i="56"/>
  <c r="AM39" i="56"/>
  <c r="AS98" i="56"/>
  <c r="AF148" i="53"/>
  <c r="AO144" i="56"/>
  <c r="AP49" i="53"/>
  <c r="AO119" i="53"/>
  <c r="AW123" i="56"/>
  <c r="AJ53" i="56"/>
  <c r="AK43" i="53"/>
  <c r="AK18" i="53"/>
  <c r="AT23" i="56"/>
  <c r="AW128" i="53"/>
  <c r="AI118" i="53"/>
  <c r="AK38" i="56"/>
  <c r="AG108" i="56"/>
  <c r="AN14" i="56"/>
  <c r="AM9" i="56"/>
  <c r="AW58" i="56"/>
  <c r="AS83" i="56"/>
  <c r="AJ123" i="56"/>
  <c r="AF108" i="56"/>
  <c r="AH138" i="56"/>
  <c r="AM149" i="56"/>
  <c r="AR113" i="56"/>
  <c r="AW18" i="56"/>
  <c r="AK28" i="56"/>
  <c r="AU13" i="56"/>
  <c r="AM134" i="56"/>
  <c r="AJ18" i="56"/>
  <c r="AQ104" i="56"/>
  <c r="AG28" i="56"/>
  <c r="AO114" i="56"/>
  <c r="AK138" i="56"/>
  <c r="AW88" i="56"/>
  <c r="AJ8" i="56"/>
  <c r="AL89" i="56"/>
  <c r="AW108" i="56"/>
  <c r="AO79" i="56"/>
  <c r="AQ74" i="56"/>
  <c r="AJ113" i="56"/>
  <c r="AK43" i="56"/>
  <c r="AS18" i="56"/>
  <c r="AL29" i="56"/>
  <c r="AW38" i="56"/>
  <c r="AK78" i="56"/>
  <c r="AN34" i="56"/>
  <c r="AQ54" i="56"/>
  <c r="AT33" i="56"/>
  <c r="AQ109" i="56"/>
  <c r="AJ93" i="56"/>
  <c r="AQ59" i="53"/>
  <c r="AH33" i="56"/>
  <c r="AL134" i="56"/>
  <c r="AW8" i="56"/>
  <c r="AS78" i="56"/>
  <c r="AO89" i="56"/>
  <c r="AJ33" i="53"/>
  <c r="AJ88" i="53"/>
  <c r="AV128" i="56"/>
  <c r="AM84" i="56"/>
  <c r="AW78" i="56"/>
  <c r="AO99" i="56"/>
  <c r="AW23" i="56"/>
  <c r="AU133" i="53"/>
  <c r="AJ88" i="56"/>
  <c r="AW113" i="56"/>
  <c r="AF53" i="56"/>
  <c r="AV38" i="56"/>
  <c r="AQ44" i="56"/>
  <c r="AJ73" i="56"/>
  <c r="AU73" i="56"/>
  <c r="AI88" i="56"/>
  <c r="AW3" i="56"/>
  <c r="AK23" i="56"/>
  <c r="AH108" i="56"/>
  <c r="AU28" i="56"/>
  <c r="AL44" i="56"/>
  <c r="AT18" i="56"/>
  <c r="AI58" i="56"/>
  <c r="AJ63" i="53"/>
  <c r="AT123" i="56"/>
  <c r="AV83" i="56"/>
  <c r="AH128" i="56"/>
  <c r="AS123" i="56"/>
  <c r="AU88" i="56"/>
  <c r="AH103" i="56"/>
  <c r="AW98" i="56"/>
  <c r="AK133" i="56"/>
  <c r="AW48" i="56"/>
  <c r="AP24" i="56"/>
  <c r="AI148" i="56"/>
  <c r="AU53" i="56"/>
  <c r="AV108" i="56"/>
  <c r="AH98" i="56"/>
  <c r="AL54" i="56"/>
  <c r="AM69" i="53"/>
  <c r="AH68" i="56"/>
  <c r="AI108" i="53"/>
  <c r="AW53" i="56"/>
  <c r="AH38" i="53"/>
  <c r="AQ4" i="53"/>
  <c r="AM54" i="56"/>
  <c r="AO44" i="56"/>
  <c r="AG58" i="56"/>
  <c r="AH78" i="56"/>
  <c r="AI13" i="53"/>
  <c r="AM74" i="56"/>
  <c r="AN134" i="56"/>
  <c r="AP149" i="56"/>
  <c r="AV133" i="56"/>
  <c r="AK58" i="56"/>
  <c r="AP119" i="56"/>
  <c r="AR3" i="56"/>
  <c r="AH83" i="56"/>
  <c r="AP149" i="53"/>
  <c r="AM99" i="53"/>
  <c r="AV63" i="56"/>
  <c r="AR53" i="53"/>
  <c r="AW23" i="53"/>
  <c r="AK88" i="53"/>
  <c r="AQ114" i="53"/>
  <c r="AS3" i="53"/>
  <c r="AI28" i="53"/>
  <c r="AW138" i="56"/>
  <c r="AR68" i="53"/>
  <c r="AU28" i="53"/>
  <c r="AG43" i="56"/>
  <c r="AG148" i="56"/>
  <c r="AV83" i="53"/>
  <c r="AK108" i="53"/>
  <c r="AL24" i="53"/>
  <c r="AH23" i="53"/>
  <c r="AL94" i="56"/>
  <c r="AT58" i="53"/>
  <c r="AW43" i="53"/>
  <c r="AV18" i="56"/>
  <c r="AJ13" i="53"/>
  <c r="AG78" i="56"/>
  <c r="AF23" i="56"/>
  <c r="AM99" i="56"/>
  <c r="AL59" i="53"/>
  <c r="AP34" i="56"/>
  <c r="AH43" i="56"/>
  <c r="AW28" i="53"/>
  <c r="AR103" i="53"/>
  <c r="AO99" i="53"/>
  <c r="AS58" i="53"/>
  <c r="AN144" i="53"/>
  <c r="AJ103" i="53"/>
  <c r="AP74" i="53"/>
  <c r="AF58" i="53"/>
  <c r="AI78" i="53"/>
  <c r="AG63" i="53"/>
  <c r="AU98" i="53"/>
  <c r="AR78" i="53"/>
  <c r="AJ83" i="53"/>
  <c r="AM34" i="53"/>
  <c r="AS138" i="53"/>
  <c r="AG18" i="56"/>
  <c r="AI33" i="56"/>
  <c r="AI83" i="56"/>
  <c r="AF88" i="56"/>
  <c r="AP59" i="56"/>
  <c r="AW118" i="56"/>
  <c r="AR103" i="56"/>
  <c r="AH8" i="56"/>
  <c r="AP134" i="56"/>
  <c r="AI48" i="56"/>
  <c r="AG63" i="56"/>
  <c r="AT28" i="56"/>
  <c r="AR68" i="56"/>
  <c r="AL34" i="53"/>
  <c r="AF118" i="56"/>
  <c r="AN94" i="56"/>
  <c r="AU148" i="56"/>
  <c r="AN79" i="56"/>
  <c r="AV123" i="56"/>
  <c r="AL119" i="56"/>
  <c r="AL59" i="56"/>
  <c r="AL109" i="56"/>
  <c r="AS143" i="56"/>
  <c r="AT108" i="56"/>
  <c r="AM119" i="56"/>
  <c r="AN119" i="56"/>
  <c r="AR48" i="56"/>
  <c r="AR28" i="56"/>
  <c r="AG118" i="56"/>
  <c r="AR93" i="56"/>
  <c r="AF138" i="56"/>
  <c r="AI128" i="56"/>
  <c r="AS58" i="56"/>
  <c r="AR98" i="56"/>
  <c r="AL14" i="56"/>
  <c r="AP139" i="56"/>
  <c r="AT33" i="53"/>
  <c r="AQ29" i="56"/>
  <c r="AQ59" i="56"/>
  <c r="AS128" i="56"/>
  <c r="AS3" i="56"/>
  <c r="AF3" i="56"/>
  <c r="AI108" i="56"/>
  <c r="AO54" i="56"/>
  <c r="AI138" i="53"/>
  <c r="AT58" i="56"/>
  <c r="AJ128" i="56"/>
  <c r="AF128" i="56"/>
  <c r="AI28" i="56"/>
  <c r="AV138" i="56"/>
  <c r="AS8" i="56"/>
  <c r="AI133" i="56"/>
  <c r="AR83" i="56"/>
  <c r="AF78" i="56"/>
  <c r="AI23" i="56"/>
  <c r="AR38" i="56"/>
  <c r="AK73" i="56"/>
  <c r="AT78" i="53"/>
  <c r="AV3" i="56"/>
  <c r="AU43" i="56"/>
  <c r="AV143" i="56"/>
  <c r="AI78" i="56"/>
  <c r="AN69" i="56"/>
  <c r="AV78" i="56"/>
  <c r="AO94" i="56"/>
  <c r="AN29" i="56"/>
  <c r="AS148" i="53"/>
  <c r="AN139" i="56"/>
  <c r="AP64" i="56"/>
  <c r="AL139" i="56"/>
  <c r="AK93" i="53"/>
  <c r="AT93" i="56"/>
  <c r="AT133" i="53"/>
  <c r="AN39" i="56"/>
  <c r="AK128" i="53"/>
  <c r="AQ84" i="53"/>
  <c r="AJ138" i="56"/>
  <c r="AU8" i="56"/>
  <c r="AS28" i="53"/>
  <c r="AS18" i="53"/>
  <c r="AU83" i="56"/>
  <c r="AG93" i="53"/>
  <c r="AP84" i="53"/>
  <c r="AH108" i="53"/>
  <c r="AT103" i="53"/>
  <c r="AV3" i="53"/>
  <c r="AW78" i="53"/>
  <c r="AF33" i="53"/>
  <c r="AP94" i="53"/>
  <c r="AU123" i="53"/>
  <c r="AM79" i="56"/>
  <c r="AT103" i="56"/>
  <c r="AQ14" i="56"/>
  <c r="AG48" i="56"/>
  <c r="AU138" i="56"/>
  <c r="AT128" i="56"/>
  <c r="AQ19" i="56"/>
  <c r="AN149" i="56"/>
  <c r="AM69" i="56"/>
  <c r="AP49" i="56"/>
  <c r="AI18" i="56"/>
  <c r="AI43" i="53"/>
  <c r="AS88" i="56"/>
  <c r="AM104" i="56"/>
  <c r="AL49" i="56"/>
  <c r="AR3" i="53"/>
  <c r="AM14" i="56"/>
  <c r="AN44" i="56"/>
  <c r="AI143" i="56"/>
  <c r="AU143" i="56"/>
  <c r="AK33" i="56"/>
  <c r="AP144" i="56"/>
  <c r="AS28" i="56"/>
  <c r="AO69" i="56"/>
  <c r="AJ103" i="56"/>
  <c r="AH48" i="56"/>
  <c r="AT13" i="56"/>
  <c r="AN54" i="56"/>
  <c r="AV23" i="56"/>
  <c r="AH123" i="56"/>
  <c r="AH73" i="56"/>
  <c r="AM149" i="53"/>
  <c r="AS33" i="56"/>
  <c r="AL79" i="56"/>
  <c r="AS108" i="56"/>
  <c r="AF63" i="56"/>
  <c r="AV43" i="56"/>
  <c r="AP4" i="56"/>
  <c r="AG73" i="56"/>
  <c r="AK148" i="56"/>
  <c r="AG113" i="56"/>
  <c r="AI13" i="56"/>
  <c r="AR88" i="56"/>
  <c r="AR73" i="56"/>
  <c r="AJ83" i="56"/>
  <c r="AI68" i="56"/>
  <c r="AM139" i="56"/>
  <c r="AN104" i="56"/>
  <c r="AH28" i="56"/>
  <c r="AP79" i="56"/>
  <c r="AV93" i="56"/>
  <c r="AP129" i="56"/>
  <c r="AS103" i="56"/>
  <c r="AT148" i="56"/>
  <c r="AK103" i="56"/>
  <c r="AK118" i="53"/>
  <c r="AI103" i="56"/>
  <c r="AT98" i="56"/>
  <c r="AV53" i="56"/>
  <c r="AR148" i="56"/>
  <c r="AU93" i="56"/>
  <c r="AI43" i="56"/>
  <c r="AL124" i="56"/>
  <c r="AM109" i="56"/>
  <c r="AG8" i="56"/>
  <c r="AS38" i="56"/>
  <c r="AS23" i="56"/>
  <c r="AR53" i="56"/>
  <c r="AH23" i="56"/>
  <c r="AR133" i="53"/>
  <c r="AP69" i="56"/>
  <c r="AJ113" i="53"/>
  <c r="AS148" i="56"/>
  <c r="AN49" i="53"/>
  <c r="AV8" i="56"/>
  <c r="AM19" i="56"/>
  <c r="AF83" i="56"/>
  <c r="AH13" i="53"/>
  <c r="AV73" i="53"/>
  <c r="AS108" i="53"/>
  <c r="AN79" i="53"/>
  <c r="AM119" i="53"/>
  <c r="AV88" i="53"/>
  <c r="AS13" i="56"/>
  <c r="AM59" i="53"/>
  <c r="AT3" i="53"/>
  <c r="AP54" i="56"/>
  <c r="AQ64" i="53"/>
  <c r="AF38" i="53"/>
  <c r="AP9" i="53"/>
  <c r="AN64" i="56"/>
  <c r="AI93" i="53"/>
  <c r="AU143" i="53"/>
  <c r="AR48" i="53"/>
  <c r="AI148" i="53"/>
  <c r="AW33" i="53"/>
  <c r="AP19" i="56"/>
  <c r="AK63" i="56"/>
  <c r="AJ28" i="53"/>
  <c r="AF48" i="53"/>
  <c r="AG133" i="53"/>
  <c r="AW48" i="53"/>
  <c r="AU103" i="53"/>
  <c r="AG118" i="53"/>
  <c r="AS68" i="53"/>
  <c r="AR118" i="53"/>
  <c r="AM144" i="53"/>
  <c r="AL89" i="53"/>
  <c r="AL69" i="53"/>
  <c r="AL74" i="56"/>
  <c r="AM74" i="53"/>
  <c r="AF133" i="56"/>
  <c r="AS48" i="56"/>
  <c r="AT88" i="53"/>
  <c r="AO54" i="53"/>
  <c r="AL104" i="56"/>
  <c r="AR128" i="53"/>
  <c r="AL84" i="53"/>
  <c r="AK83" i="56"/>
  <c r="AF48" i="56"/>
  <c r="AO4" i="56"/>
  <c r="AW28" i="56"/>
  <c r="AR33" i="56"/>
  <c r="AP74" i="56"/>
  <c r="AU58" i="56"/>
  <c r="AL19" i="56"/>
  <c r="AG103" i="56"/>
  <c r="AW143" i="56"/>
  <c r="AT63" i="56"/>
  <c r="AU118" i="56"/>
  <c r="AI93" i="56"/>
  <c r="AL19" i="53"/>
  <c r="AR63" i="56"/>
  <c r="AT53" i="56"/>
  <c r="AG88" i="56"/>
  <c r="AQ34" i="56"/>
  <c r="AL99" i="56"/>
  <c r="AV118" i="56"/>
  <c r="AU108" i="56"/>
  <c r="AW43" i="56"/>
  <c r="AW133" i="56"/>
  <c r="AL24" i="56"/>
  <c r="AT78" i="56"/>
  <c r="AR123" i="56"/>
  <c r="AV88" i="56"/>
  <c r="AP29" i="56"/>
  <c r="AH133" i="56"/>
  <c r="AR43" i="56"/>
  <c r="AP89" i="56"/>
  <c r="AK98" i="53"/>
  <c r="AI38" i="56"/>
  <c r="AG93" i="56"/>
  <c r="AF8" i="56"/>
  <c r="AI3" i="56"/>
  <c r="AI8" i="56"/>
  <c r="AR128" i="56"/>
  <c r="AU113" i="56"/>
  <c r="AK53" i="56"/>
  <c r="AL69" i="56"/>
  <c r="AN89" i="56"/>
  <c r="AF38" i="56"/>
  <c r="AM24" i="56"/>
  <c r="AQ124" i="56"/>
  <c r="AP104" i="56"/>
  <c r="AH143" i="56"/>
  <c r="AN114" i="53"/>
  <c r="AF73" i="56"/>
  <c r="AO29" i="56"/>
  <c r="AK123" i="53"/>
  <c r="AK93" i="56"/>
  <c r="AO139" i="56"/>
  <c r="AU93" i="53"/>
  <c r="AQ149" i="56"/>
  <c r="AN124" i="56"/>
  <c r="AP109" i="56"/>
  <c r="AP39" i="56"/>
  <c r="AO104" i="53"/>
  <c r="AI73" i="56"/>
  <c r="AT73" i="56"/>
  <c r="AT68" i="56"/>
  <c r="AI118" i="56"/>
  <c r="AK118" i="56"/>
  <c r="AT138" i="56"/>
  <c r="AO64" i="56"/>
  <c r="AN9" i="56"/>
  <c r="AU138" i="53"/>
  <c r="AJ133" i="56"/>
  <c r="AU133" i="56"/>
  <c r="AU88" i="53"/>
  <c r="AQ94" i="56"/>
  <c r="AL149" i="56"/>
  <c r="AJ108" i="53"/>
  <c r="AW93" i="56"/>
  <c r="AP134" i="53"/>
  <c r="AN14" i="53"/>
  <c r="AF83" i="53"/>
  <c r="AK143" i="53"/>
  <c r="AP139" i="53"/>
  <c r="AM49" i="53"/>
  <c r="AP24" i="53"/>
  <c r="AN74" i="53"/>
  <c r="AK68" i="56"/>
  <c r="AQ4" i="56"/>
  <c r="AW68" i="53"/>
  <c r="AT118" i="56"/>
  <c r="AS128" i="53"/>
  <c r="AW13" i="56"/>
  <c r="AI103" i="53"/>
  <c r="AP4" i="53"/>
  <c r="AU63" i="53"/>
  <c r="AW98" i="53"/>
  <c r="AN69" i="53"/>
  <c r="AM124" i="53"/>
  <c r="AG33" i="53"/>
  <c r="AM134" i="53"/>
  <c r="AH48" i="53"/>
  <c r="AQ69" i="56"/>
  <c r="AN59" i="53"/>
  <c r="AO114" i="53"/>
  <c r="AO39" i="56"/>
  <c r="AW3" i="53"/>
  <c r="AM109" i="53"/>
  <c r="AR138" i="56"/>
  <c r="AJ123" i="53"/>
  <c r="AQ129" i="56"/>
  <c r="AS23" i="53"/>
  <c r="AM144" i="56"/>
  <c r="AO4" i="53"/>
  <c r="AP64" i="53"/>
  <c r="AQ119" i="53"/>
  <c r="AR98" i="53"/>
  <c r="AQ39" i="56"/>
  <c r="AS118" i="56"/>
  <c r="AF68" i="56"/>
  <c r="AQ64" i="56"/>
  <c r="AH38" i="56"/>
  <c r="AU123" i="56"/>
  <c r="AU18" i="56"/>
  <c r="AS113" i="56"/>
  <c r="AS143" i="53"/>
  <c r="AG13" i="53"/>
  <c r="AM19" i="53"/>
  <c r="AN129" i="56"/>
  <c r="AW13" i="53"/>
  <c r="AG13" i="56"/>
  <c r="AH13" i="56"/>
  <c r="AO9" i="53"/>
  <c r="AO119" i="56"/>
  <c r="AJ28" i="56"/>
  <c r="AL64" i="53"/>
  <c r="AN54" i="53"/>
  <c r="AT148" i="53"/>
  <c r="AS8" i="53"/>
  <c r="AH88" i="56"/>
  <c r="AO59" i="56"/>
  <c r="AL109" i="53"/>
  <c r="AL14" i="53"/>
  <c r="AW53" i="53"/>
  <c r="AJ93" i="53"/>
  <c r="AF33" i="56"/>
  <c r="AR13" i="53"/>
  <c r="AP39" i="53"/>
  <c r="AJ43" i="56"/>
  <c r="AI113" i="56"/>
  <c r="AT128" i="53"/>
  <c r="AT88" i="56"/>
  <c r="AL94" i="53"/>
  <c r="AO129" i="56"/>
  <c r="AG83" i="53"/>
  <c r="AI98" i="53"/>
  <c r="AJ48" i="56"/>
  <c r="AK138" i="53"/>
  <c r="AL129" i="53"/>
  <c r="AP104" i="53"/>
  <c r="AO64" i="53"/>
  <c r="AI128" i="53"/>
  <c r="AM139" i="53"/>
  <c r="AK133" i="53"/>
  <c r="AM39" i="53"/>
  <c r="AH123" i="53"/>
  <c r="AJ58" i="56"/>
  <c r="AF148" i="56"/>
  <c r="AH58" i="56"/>
  <c r="AK13" i="56"/>
  <c r="AG3" i="56"/>
  <c r="AN114" i="56"/>
  <c r="AQ79" i="56"/>
  <c r="AO9" i="56"/>
  <c r="AN19" i="53"/>
  <c r="AH93" i="53"/>
  <c r="AP14" i="56"/>
  <c r="AG18" i="53"/>
  <c r="AI63" i="56"/>
  <c r="AK48" i="53"/>
  <c r="AR138" i="53"/>
  <c r="AH148" i="56"/>
  <c r="AF123" i="53"/>
  <c r="AL79" i="53"/>
  <c r="AL64" i="56"/>
  <c r="AQ84" i="56"/>
  <c r="AP109" i="53"/>
  <c r="AU148" i="53"/>
  <c r="AM114" i="56"/>
  <c r="AK98" i="56"/>
  <c r="AL4" i="53"/>
  <c r="AU3" i="56"/>
  <c r="AU108" i="53"/>
  <c r="AW83" i="53"/>
  <c r="AJ3" i="53"/>
  <c r="AK13" i="53"/>
  <c r="AI53" i="53"/>
  <c r="AU68" i="56"/>
  <c r="AR108" i="53"/>
  <c r="AL34" i="56"/>
  <c r="AP44" i="56"/>
  <c r="AT113" i="53"/>
  <c r="AW88" i="53"/>
  <c r="AQ149" i="53"/>
  <c r="AV48" i="53"/>
  <c r="AJ68" i="53"/>
  <c r="AS13" i="53"/>
  <c r="AG8" i="53"/>
  <c r="AI88" i="53"/>
  <c r="AH3" i="53"/>
  <c r="AS53" i="53"/>
  <c r="AQ99" i="56"/>
  <c r="AM129" i="53"/>
  <c r="AJ53" i="53"/>
  <c r="AL139" i="53"/>
  <c r="AK23" i="53"/>
  <c r="AU148" i="51"/>
  <c r="AF133" i="53"/>
  <c r="AF103" i="56"/>
  <c r="AO74" i="53"/>
  <c r="AF8" i="53"/>
  <c r="AG23" i="53"/>
  <c r="AR123" i="53"/>
  <c r="AM14" i="53"/>
  <c r="AH143" i="51"/>
  <c r="AG38" i="53"/>
  <c r="AP59" i="53"/>
  <c r="AI58" i="53"/>
  <c r="AN4" i="53"/>
  <c r="AH98" i="53"/>
  <c r="AT73" i="53"/>
  <c r="AW143" i="51"/>
  <c r="AK143" i="51"/>
  <c r="AP139" i="51"/>
  <c r="AR148" i="52"/>
  <c r="AN34" i="53"/>
  <c r="AQ79" i="53"/>
  <c r="AI138" i="56"/>
  <c r="AQ134" i="53"/>
  <c r="AR23" i="53"/>
  <c r="AJ148" i="53"/>
  <c r="AQ149" i="51"/>
  <c r="AM139" i="51"/>
  <c r="AV123" i="53"/>
  <c r="AR33" i="53"/>
  <c r="AJ138" i="53"/>
  <c r="AS98" i="53"/>
  <c r="AV108" i="53"/>
  <c r="AM84" i="53"/>
  <c r="AK138" i="51"/>
  <c r="AF133" i="51"/>
  <c r="AS138" i="51"/>
  <c r="AH143" i="52"/>
  <c r="AQ29" i="53"/>
  <c r="AO84" i="53"/>
  <c r="AN134" i="53"/>
  <c r="AU83" i="53"/>
  <c r="AL134" i="53"/>
  <c r="AM104" i="53"/>
  <c r="AF148" i="51"/>
  <c r="AT133" i="51"/>
  <c r="AJ148" i="52"/>
  <c r="AU133" i="52"/>
  <c r="AJ133" i="52"/>
  <c r="AT148" i="52"/>
  <c r="AP144" i="52"/>
  <c r="AL134" i="52"/>
  <c r="AI148" i="52"/>
  <c r="AP149" i="52"/>
  <c r="AN144" i="52"/>
  <c r="AU138" i="52"/>
  <c r="AG23" i="52"/>
  <c r="AT108" i="52"/>
  <c r="AN124" i="52"/>
  <c r="AG88" i="52"/>
  <c r="AF18" i="56"/>
  <c r="AV103" i="56"/>
  <c r="AO149" i="56"/>
  <c r="AT143" i="56"/>
  <c r="AQ144" i="56"/>
  <c r="AM29" i="56"/>
  <c r="AU78" i="53"/>
  <c r="AT8" i="53"/>
  <c r="AF23" i="53"/>
  <c r="AS138" i="56"/>
  <c r="AS93" i="56"/>
  <c r="AT3" i="56"/>
  <c r="AS133" i="56"/>
  <c r="AP124" i="53"/>
  <c r="AI123" i="53"/>
  <c r="AT63" i="53"/>
  <c r="AK8" i="56"/>
  <c r="AS78" i="53"/>
  <c r="AG38" i="56"/>
  <c r="AW73" i="53"/>
  <c r="AN64" i="53"/>
  <c r="AF13" i="56"/>
  <c r="AT123" i="53"/>
  <c r="AV28" i="53"/>
  <c r="AL124" i="53"/>
  <c r="AM4" i="53"/>
  <c r="AN74" i="56"/>
  <c r="AR63" i="53"/>
  <c r="AF53" i="53"/>
  <c r="AK148" i="53"/>
  <c r="AT43" i="56"/>
  <c r="AR58" i="56"/>
  <c r="AJ38" i="56"/>
  <c r="AV28" i="56"/>
  <c r="AQ54" i="53"/>
  <c r="AK28" i="53"/>
  <c r="AR38" i="53"/>
  <c r="AV43" i="53"/>
  <c r="AN84" i="56"/>
  <c r="AR88" i="53"/>
  <c r="AU8" i="53"/>
  <c r="AK38" i="53"/>
  <c r="AN119" i="53"/>
  <c r="AL114" i="53"/>
  <c r="AI33" i="53"/>
  <c r="AV133" i="53"/>
  <c r="AN99" i="56"/>
  <c r="AF128" i="53"/>
  <c r="AQ14" i="53"/>
  <c r="AH58" i="53"/>
  <c r="AP144" i="51"/>
  <c r="AR143" i="56"/>
  <c r="AT43" i="53"/>
  <c r="AU43" i="53"/>
  <c r="AL99" i="53"/>
  <c r="AF103" i="53"/>
  <c r="AL144" i="53"/>
  <c r="AF138" i="51"/>
  <c r="AJ133" i="51"/>
  <c r="AQ24" i="53"/>
  <c r="AU53" i="53"/>
  <c r="AR143" i="53"/>
  <c r="AG78" i="53"/>
  <c r="AF68" i="53"/>
  <c r="AF28" i="53"/>
  <c r="AN144" i="51"/>
  <c r="AK133" i="51"/>
  <c r="AW148" i="51"/>
  <c r="AV143" i="52"/>
  <c r="AW148" i="53"/>
  <c r="AH138" i="53"/>
  <c r="AP89" i="53"/>
  <c r="AQ44" i="53"/>
  <c r="AS103" i="53"/>
  <c r="AQ69" i="53"/>
  <c r="AI143" i="51"/>
  <c r="AM144" i="51"/>
  <c r="AJ118" i="53"/>
  <c r="AH128" i="53"/>
  <c r="AH118" i="53"/>
  <c r="AO69" i="53"/>
  <c r="AS83" i="53"/>
  <c r="AO24" i="53"/>
  <c r="AM149" i="51"/>
  <c r="AR138" i="51"/>
  <c r="AH148" i="51"/>
  <c r="AM139" i="52"/>
  <c r="AT13" i="53"/>
  <c r="AT118" i="53"/>
  <c r="AW83" i="56"/>
  <c r="AN139" i="53"/>
  <c r="AT108" i="53"/>
  <c r="AT138" i="53"/>
  <c r="AP149" i="51"/>
  <c r="AU143" i="51"/>
  <c r="AJ143" i="52"/>
  <c r="AW138" i="52"/>
  <c r="AP139" i="52"/>
  <c r="AM149" i="52"/>
  <c r="AH133" i="52"/>
  <c r="AT133" i="52"/>
  <c r="AQ144" i="52"/>
  <c r="AO134" i="52"/>
  <c r="AR133" i="52"/>
  <c r="AG138" i="52"/>
  <c r="AM44" i="52"/>
  <c r="AK48" i="52"/>
  <c r="AF58" i="52"/>
  <c r="AM94" i="52"/>
  <c r="AO79" i="52"/>
  <c r="AO99" i="52"/>
  <c r="AT103" i="52"/>
  <c r="AW43" i="52"/>
  <c r="AT63" i="52"/>
  <c r="AG13" i="52"/>
  <c r="AN4" i="52"/>
  <c r="AJ113" i="52"/>
  <c r="AV123" i="52"/>
  <c r="AR48" i="52"/>
  <c r="AN24" i="52"/>
  <c r="AT18" i="52"/>
  <c r="AJ23" i="52"/>
  <c r="AM99" i="52"/>
  <c r="AO64" i="52"/>
  <c r="AJ18" i="52"/>
  <c r="AG83" i="52"/>
  <c r="AV3" i="52"/>
  <c r="AH3" i="56"/>
  <c r="AL9" i="56"/>
  <c r="AT133" i="56"/>
  <c r="AU48" i="56"/>
  <c r="AQ24" i="56"/>
  <c r="AQ114" i="56"/>
  <c r="AO129" i="53"/>
  <c r="AK143" i="56"/>
  <c r="AM44" i="53"/>
  <c r="AM9" i="53"/>
  <c r="AJ143" i="53"/>
  <c r="AO89" i="53"/>
  <c r="AM89" i="53"/>
  <c r="AU128" i="56"/>
  <c r="AJ23" i="53"/>
  <c r="AQ49" i="56"/>
  <c r="AP69" i="53"/>
  <c r="AF113" i="56"/>
  <c r="AJ38" i="53"/>
  <c r="AS63" i="56"/>
  <c r="AL149" i="53"/>
  <c r="AS63" i="53"/>
  <c r="AT113" i="56"/>
  <c r="AL44" i="53"/>
  <c r="AN94" i="53"/>
  <c r="AQ124" i="53"/>
  <c r="AI133" i="53"/>
  <c r="AI18" i="53"/>
  <c r="AV23" i="53"/>
  <c r="AW138" i="53"/>
  <c r="AK88" i="56"/>
  <c r="AM94" i="53"/>
  <c r="AG3" i="53"/>
  <c r="AV68" i="53"/>
  <c r="AO19" i="53"/>
  <c r="AV78" i="53"/>
  <c r="AU48" i="53"/>
  <c r="AH143" i="53"/>
  <c r="AT93" i="53"/>
  <c r="AJ43" i="53"/>
  <c r="AM54" i="53"/>
  <c r="AJ63" i="56"/>
  <c r="AO134" i="53"/>
  <c r="AW8" i="53"/>
  <c r="AI98" i="56"/>
  <c r="AK3" i="53"/>
  <c r="AN149" i="53"/>
  <c r="AU68" i="53"/>
  <c r="AH43" i="53"/>
  <c r="AO134" i="51"/>
  <c r="AL149" i="51"/>
  <c r="AK83" i="53"/>
  <c r="AN9" i="53"/>
  <c r="AQ129" i="53"/>
  <c r="AU18" i="53"/>
  <c r="AJ78" i="53"/>
  <c r="AQ19" i="53"/>
  <c r="AG138" i="51"/>
  <c r="AG143" i="53"/>
  <c r="AL9" i="53"/>
  <c r="AH18" i="53"/>
  <c r="AV148" i="56"/>
  <c r="AR18" i="53"/>
  <c r="AJ8" i="53"/>
  <c r="AW113" i="53"/>
  <c r="AQ139" i="51"/>
  <c r="AL134" i="51"/>
  <c r="AQ134" i="51"/>
  <c r="AM114" i="53"/>
  <c r="AK8" i="53"/>
  <c r="AH53" i="56"/>
  <c r="AJ98" i="53"/>
  <c r="AS93" i="53"/>
  <c r="AF3" i="53"/>
  <c r="AF93" i="56"/>
  <c r="AS133" i="51"/>
  <c r="AR143" i="51"/>
  <c r="AR18" i="56"/>
  <c r="AF43" i="53"/>
  <c r="AF18" i="53"/>
  <c r="AP44" i="53"/>
  <c r="AH113" i="53"/>
  <c r="AM64" i="53"/>
  <c r="AV138" i="51"/>
  <c r="AU138" i="51"/>
  <c r="AW133" i="52"/>
  <c r="AL139" i="52"/>
  <c r="AK18" i="56"/>
  <c r="AH33" i="53"/>
  <c r="AG143" i="56"/>
  <c r="AQ99" i="53"/>
  <c r="AP79" i="53"/>
  <c r="AK148" i="51"/>
  <c r="AO149" i="51"/>
  <c r="AU148" i="52"/>
  <c r="AG133" i="52"/>
  <c r="AK138" i="52"/>
  <c r="AI138" i="52"/>
  <c r="AJ138" i="52"/>
  <c r="AO149" i="52"/>
  <c r="AQ134" i="52"/>
  <c r="AV133" i="52"/>
  <c r="AF148" i="52"/>
  <c r="AM134" i="52"/>
  <c r="AK143" i="52"/>
  <c r="AP9" i="52"/>
  <c r="AU128" i="52"/>
  <c r="AJ83" i="52"/>
  <c r="AI128" i="52"/>
  <c r="AH93" i="52"/>
  <c r="AS128" i="52"/>
  <c r="AO119" i="52"/>
  <c r="AJ48" i="52"/>
  <c r="AQ109" i="52"/>
  <c r="AI73" i="52"/>
  <c r="AF78" i="52"/>
  <c r="AK38" i="52"/>
  <c r="AU78" i="52"/>
  <c r="AQ124" i="52"/>
  <c r="AV58" i="52"/>
  <c r="AN119" i="52"/>
  <c r="AT3" i="52"/>
  <c r="AK8" i="52"/>
  <c r="AN19" i="56"/>
  <c r="AH93" i="56"/>
  <c r="AL144" i="56"/>
  <c r="AS73" i="56"/>
  <c r="AQ119" i="56"/>
  <c r="AK48" i="56"/>
  <c r="AJ13" i="56"/>
  <c r="AQ34" i="53"/>
  <c r="AR13" i="56"/>
  <c r="AO34" i="53"/>
  <c r="AO139" i="53"/>
  <c r="AV148" i="53"/>
  <c r="AI63" i="53"/>
  <c r="AV118" i="53"/>
  <c r="AP99" i="53"/>
  <c r="AW128" i="56"/>
  <c r="AG23" i="56"/>
  <c r="AW38" i="53"/>
  <c r="AU13" i="53"/>
  <c r="AS53" i="56"/>
  <c r="AL54" i="53"/>
  <c r="AI53" i="56"/>
  <c r="AT83" i="56"/>
  <c r="AP144" i="53"/>
  <c r="AN109" i="53"/>
  <c r="AM24" i="53"/>
  <c r="AN129" i="53"/>
  <c r="AG123" i="53"/>
  <c r="AS33" i="53"/>
  <c r="AO19" i="56"/>
  <c r="AV58" i="56"/>
  <c r="AR78" i="56"/>
  <c r="AN39" i="53"/>
  <c r="AU58" i="53"/>
  <c r="AW123" i="53"/>
  <c r="AP29" i="53"/>
  <c r="AK58" i="53"/>
  <c r="AS88" i="53"/>
  <c r="AW58" i="53"/>
  <c r="AL49" i="53"/>
  <c r="AT23" i="53"/>
  <c r="AS118" i="53"/>
  <c r="AT28" i="53"/>
  <c r="AH18" i="56"/>
  <c r="AN29" i="53"/>
  <c r="AG68" i="53"/>
  <c r="AI68" i="53"/>
  <c r="AV18" i="53"/>
  <c r="AF13" i="53"/>
  <c r="AG148" i="51"/>
  <c r="AT138" i="51"/>
  <c r="AI83" i="53"/>
  <c r="AP114" i="53"/>
  <c r="AV58" i="53"/>
  <c r="AO59" i="53"/>
  <c r="AP19" i="53"/>
  <c r="AN24" i="53"/>
  <c r="AT148" i="51"/>
  <c r="AS113" i="53"/>
  <c r="AQ89" i="53"/>
  <c r="AM79" i="53"/>
  <c r="AO149" i="53"/>
  <c r="AF73" i="53"/>
  <c r="AL119" i="53"/>
  <c r="AT143" i="53"/>
  <c r="AI148" i="51"/>
  <c r="AI138" i="51"/>
  <c r="AP134" i="52"/>
  <c r="AL74" i="53"/>
  <c r="AF93" i="53"/>
  <c r="AT53" i="53"/>
  <c r="AT38" i="53"/>
  <c r="AI48" i="53"/>
  <c r="AV33" i="53"/>
  <c r="AF78" i="53"/>
  <c r="AL144" i="51"/>
  <c r="AJ143" i="51"/>
  <c r="AN89" i="53"/>
  <c r="AL39" i="53"/>
  <c r="AJ48" i="53"/>
  <c r="AQ49" i="53"/>
  <c r="AN104" i="53"/>
  <c r="AG138" i="53"/>
  <c r="AN139" i="51"/>
  <c r="AW138" i="51"/>
  <c r="AF143" i="52"/>
  <c r="AT48" i="53"/>
  <c r="AT38" i="56"/>
  <c r="AR73" i="53"/>
  <c r="AQ104" i="53"/>
  <c r="AP119" i="53"/>
  <c r="AH68" i="53"/>
  <c r="AN134" i="51"/>
  <c r="AS148" i="51"/>
  <c r="AQ149" i="52"/>
  <c r="AK133" i="52"/>
  <c r="AU143" i="52"/>
  <c r="AV138" i="52"/>
  <c r="AT143" i="52"/>
  <c r="AS143" i="52"/>
  <c r="AS133" i="52"/>
  <c r="AS148" i="52"/>
  <c r="AM134" i="51"/>
  <c r="AF138" i="52"/>
  <c r="AS123" i="52"/>
  <c r="AQ24" i="52"/>
  <c r="AG123" i="52"/>
  <c r="AS38" i="52"/>
  <c r="AN14" i="52"/>
  <c r="AU93" i="52"/>
  <c r="AM89" i="52"/>
  <c r="AM109" i="52"/>
  <c r="AU38" i="52"/>
  <c r="AF28" i="52"/>
  <c r="AO59" i="52"/>
  <c r="AV93" i="52"/>
  <c r="AJ93" i="52"/>
  <c r="AO9" i="52"/>
  <c r="AG43" i="53"/>
  <c r="AI113" i="53"/>
  <c r="AH103" i="53"/>
  <c r="AS68" i="56"/>
  <c r="AG128" i="53"/>
  <c r="AG33" i="56"/>
  <c r="AT98" i="53"/>
  <c r="AM129" i="56"/>
  <c r="AV93" i="53"/>
  <c r="AR28" i="53"/>
  <c r="AP9" i="56"/>
  <c r="AO29" i="53"/>
  <c r="AH53" i="53"/>
  <c r="AT18" i="53"/>
  <c r="AN149" i="51"/>
  <c r="AJ18" i="53"/>
  <c r="AO144" i="53"/>
  <c r="AG133" i="51"/>
  <c r="AF118" i="53"/>
  <c r="AI23" i="53"/>
  <c r="AO144" i="51"/>
  <c r="AR43" i="53"/>
  <c r="AK103" i="53"/>
  <c r="AJ148" i="51"/>
  <c r="AF133" i="52"/>
  <c r="AO139" i="52"/>
  <c r="AK148" i="52"/>
  <c r="AF103" i="52"/>
  <c r="AF33" i="52"/>
  <c r="AK68" i="52"/>
  <c r="AV13" i="52"/>
  <c r="AJ13" i="52"/>
  <c r="AK103" i="52"/>
  <c r="AN54" i="52"/>
  <c r="AO84" i="52"/>
  <c r="AH128" i="52"/>
  <c r="AP59" i="52"/>
  <c r="AR28" i="52"/>
  <c r="AU43" i="52"/>
  <c r="AF8" i="52"/>
  <c r="AG8" i="52"/>
  <c r="AL34" i="52"/>
  <c r="AH83" i="52"/>
  <c r="AK98" i="52"/>
  <c r="AI43" i="52"/>
  <c r="AW83" i="52"/>
  <c r="AT93" i="52"/>
  <c r="AP34" i="52"/>
  <c r="AL99" i="52"/>
  <c r="AQ114" i="52"/>
  <c r="AK118" i="52"/>
  <c r="AL104" i="52"/>
  <c r="AH43" i="52"/>
  <c r="AQ84" i="52"/>
  <c r="AG98" i="52"/>
  <c r="AV63" i="52"/>
  <c r="AV73" i="52"/>
  <c r="AG28" i="52"/>
  <c r="AI118" i="52"/>
  <c r="AH3" i="52"/>
  <c r="AH118" i="52"/>
  <c r="AS28" i="52"/>
  <c r="AI33" i="52"/>
  <c r="AG18" i="52"/>
  <c r="AT68" i="52"/>
  <c r="AQ34" i="52"/>
  <c r="AV78" i="52"/>
  <c r="AG63" i="52"/>
  <c r="AP54" i="52"/>
  <c r="AN39" i="52"/>
  <c r="AU118" i="52"/>
  <c r="AU103" i="52"/>
  <c r="AO49" i="52"/>
  <c r="AS13" i="52"/>
  <c r="AI18" i="52"/>
  <c r="AI113" i="52"/>
  <c r="AI78" i="52"/>
  <c r="AH108" i="52"/>
  <c r="AR68" i="52"/>
  <c r="AK88" i="52"/>
  <c r="AJ8" i="52"/>
  <c r="AT88" i="52"/>
  <c r="AO24" i="52"/>
  <c r="AI68" i="52"/>
  <c r="AM59" i="52"/>
  <c r="AN84" i="52"/>
  <c r="AM39" i="52"/>
  <c r="AT128" i="52"/>
  <c r="AS63" i="52"/>
  <c r="AO69" i="52"/>
  <c r="AI88" i="52"/>
  <c r="AP69" i="52"/>
  <c r="AS53" i="52"/>
  <c r="AO19" i="52"/>
  <c r="AV33" i="52"/>
  <c r="AL29" i="52"/>
  <c r="AN29" i="51"/>
  <c r="AQ19" i="51"/>
  <c r="AT73" i="51"/>
  <c r="AU13" i="51"/>
  <c r="AM119" i="51"/>
  <c r="AO24" i="51"/>
  <c r="AF88" i="51"/>
  <c r="AN99" i="51"/>
  <c r="AI108" i="51"/>
  <c r="AM44" i="51"/>
  <c r="AG58" i="51"/>
  <c r="AR8" i="51"/>
  <c r="AH88" i="51"/>
  <c r="AW78" i="51"/>
  <c r="AP49" i="51"/>
  <c r="AP29" i="51"/>
  <c r="AN54" i="51"/>
  <c r="AF33" i="51"/>
  <c r="AJ3" i="51"/>
  <c r="AH93" i="51"/>
  <c r="AL44" i="51"/>
  <c r="AV18" i="51"/>
  <c r="AO99" i="51"/>
  <c r="AK43" i="51"/>
  <c r="AK98" i="51"/>
  <c r="AI53" i="51"/>
  <c r="AW83" i="51"/>
  <c r="AL119" i="51"/>
  <c r="AL4" i="51"/>
  <c r="AP19" i="51"/>
  <c r="AW48" i="51"/>
  <c r="AK48" i="51"/>
  <c r="AK58" i="51"/>
  <c r="AL114" i="56"/>
  <c r="AG103" i="53"/>
  <c r="AW133" i="53"/>
  <c r="AG53" i="53"/>
  <c r="AV38" i="53"/>
  <c r="AO49" i="56"/>
  <c r="AG108" i="53"/>
  <c r="AS73" i="53"/>
  <c r="AR148" i="53"/>
  <c r="AG133" i="56"/>
  <c r="AS48" i="53"/>
  <c r="AS143" i="51"/>
  <c r="AJ73" i="53"/>
  <c r="AR8" i="53"/>
  <c r="AF143" i="51"/>
  <c r="AJ118" i="56"/>
  <c r="AQ74" i="53"/>
  <c r="AT143" i="51"/>
  <c r="AF143" i="53"/>
  <c r="AO94" i="53"/>
  <c r="AH138" i="51"/>
  <c r="AS123" i="53"/>
  <c r="AG148" i="53"/>
  <c r="AV148" i="51"/>
  <c r="AN149" i="52"/>
  <c r="AN139" i="52"/>
  <c r="AP134" i="51"/>
  <c r="AP109" i="52"/>
  <c r="AH98" i="52"/>
  <c r="AP24" i="52"/>
  <c r="AK63" i="52"/>
  <c r="AS118" i="52"/>
  <c r="AS113" i="52"/>
  <c r="AO124" i="52"/>
  <c r="AL39" i="52"/>
  <c r="AM9" i="52"/>
  <c r="AV43" i="52"/>
  <c r="AO104" i="52"/>
  <c r="AV8" i="52"/>
  <c r="AU83" i="52"/>
  <c r="AG78" i="52"/>
  <c r="AP94" i="52"/>
  <c r="AM94" i="56"/>
  <c r="AG113" i="53"/>
  <c r="AH83" i="53"/>
  <c r="AJ58" i="53"/>
  <c r="AP34" i="53"/>
  <c r="AK68" i="53"/>
  <c r="AF123" i="56"/>
  <c r="AR108" i="56"/>
  <c r="AV98" i="53"/>
  <c r="AU23" i="53"/>
  <c r="AI3" i="53"/>
  <c r="AQ144" i="51"/>
  <c r="AJ33" i="56"/>
  <c r="AR8" i="56"/>
  <c r="AV143" i="51"/>
  <c r="AI143" i="53"/>
  <c r="AH73" i="53"/>
  <c r="AV133" i="51"/>
  <c r="AV8" i="53"/>
  <c r="AR83" i="53"/>
  <c r="AL139" i="51"/>
  <c r="AU113" i="53"/>
  <c r="AK73" i="53"/>
  <c r="AJ138" i="51"/>
  <c r="AI143" i="52"/>
  <c r="AW143" i="52"/>
  <c r="AH138" i="52"/>
  <c r="AG113" i="52"/>
  <c r="AQ4" i="52"/>
  <c r="AM14" i="52"/>
  <c r="AW53" i="52"/>
  <c r="AF108" i="52"/>
  <c r="AQ99" i="52"/>
  <c r="AS3" i="52"/>
  <c r="AG73" i="52"/>
  <c r="AT13" i="52"/>
  <c r="AN129" i="52"/>
  <c r="AG3" i="52"/>
  <c r="AW113" i="52"/>
  <c r="AS88" i="52"/>
  <c r="AP4" i="52"/>
  <c r="AL9" i="52"/>
  <c r="AL119" i="52"/>
  <c r="AH8" i="52"/>
  <c r="AQ74" i="52"/>
  <c r="AG58" i="52"/>
  <c r="AR33" i="52"/>
  <c r="AU3" i="52"/>
  <c r="AP99" i="52"/>
  <c r="AS68" i="52"/>
  <c r="AU123" i="52"/>
  <c r="AO109" i="52"/>
  <c r="AN44" i="52"/>
  <c r="AH48" i="52"/>
  <c r="AR3" i="52"/>
  <c r="AV98" i="52"/>
  <c r="AF3" i="52"/>
  <c r="AJ58" i="52"/>
  <c r="AH38" i="52"/>
  <c r="AM19" i="52"/>
  <c r="AL69" i="52"/>
  <c r="AJ118" i="52"/>
  <c r="AV53" i="52"/>
  <c r="AN89" i="52"/>
  <c r="AM49" i="52"/>
  <c r="AQ39" i="52"/>
  <c r="AU48" i="52"/>
  <c r="AK53" i="52"/>
  <c r="AJ108" i="52"/>
  <c r="AT43" i="52"/>
  <c r="AR8" i="52"/>
  <c r="AJ63" i="52"/>
  <c r="AQ9" i="52"/>
  <c r="AV88" i="52"/>
  <c r="AF73" i="52"/>
  <c r="AO114" i="52"/>
  <c r="AV48" i="52"/>
  <c r="AR83" i="52"/>
  <c r="AU98" i="52"/>
  <c r="AM64" i="52"/>
  <c r="AV108" i="52"/>
  <c r="AM24" i="52"/>
  <c r="AK113" i="52"/>
  <c r="AT113" i="52"/>
  <c r="AK123" i="52"/>
  <c r="AT83" i="52"/>
  <c r="AH58" i="52"/>
  <c r="AN29" i="52"/>
  <c r="AI93" i="52"/>
  <c r="AG43" i="52"/>
  <c r="AJ98" i="52"/>
  <c r="AJ33" i="52"/>
  <c r="AP64" i="52"/>
  <c r="AW18" i="52"/>
  <c r="AG33" i="52"/>
  <c r="AL24" i="51"/>
  <c r="AQ14" i="51"/>
  <c r="AM89" i="51"/>
  <c r="AN69" i="51"/>
  <c r="AN14" i="51"/>
  <c r="AF113" i="51"/>
  <c r="AI83" i="51"/>
  <c r="AJ83" i="51"/>
  <c r="AQ59" i="51"/>
  <c r="AW63" i="51"/>
  <c r="AF93" i="51"/>
  <c r="AV83" i="51"/>
  <c r="AQ4" i="51"/>
  <c r="AL19" i="51"/>
  <c r="AF98" i="51"/>
  <c r="AJ23" i="51"/>
  <c r="AR123" i="51"/>
  <c r="AO64" i="51"/>
  <c r="AM19" i="51"/>
  <c r="AS83" i="51"/>
  <c r="AI113" i="51"/>
  <c r="AS128" i="51"/>
  <c r="AV98" i="51"/>
  <c r="AW8" i="51"/>
  <c r="AN79" i="51"/>
  <c r="AF3" i="51"/>
  <c r="AG83" i="51"/>
  <c r="AL99" i="51"/>
  <c r="AO69" i="51"/>
  <c r="AF68" i="51"/>
  <c r="AR108" i="51"/>
  <c r="AM129" i="51"/>
  <c r="AL74" i="51"/>
  <c r="AK123" i="51"/>
  <c r="AK23" i="51"/>
  <c r="AO34" i="51"/>
  <c r="AW28" i="51"/>
  <c r="AO129" i="51"/>
  <c r="AH3" i="51"/>
  <c r="AJ38" i="51"/>
  <c r="AW3" i="51"/>
  <c r="AJ148" i="56"/>
  <c r="AO124" i="53"/>
  <c r="AM4" i="56"/>
  <c r="AF63" i="53"/>
  <c r="AV113" i="53"/>
  <c r="AH63" i="53"/>
  <c r="AV103" i="53"/>
  <c r="AQ144" i="53"/>
  <c r="AG143" i="51"/>
  <c r="AV53" i="53"/>
  <c r="AO14" i="53"/>
  <c r="AT68" i="53"/>
  <c r="AV143" i="53"/>
  <c r="AH28" i="53"/>
  <c r="AH148" i="52"/>
  <c r="AW73" i="56"/>
  <c r="AH148" i="53"/>
  <c r="AI133" i="51"/>
  <c r="AJ133" i="53"/>
  <c r="AV63" i="53"/>
  <c r="AS138" i="52"/>
  <c r="AJ128" i="53"/>
  <c r="AK53" i="53"/>
  <c r="AG148" i="52"/>
  <c r="AL149" i="52"/>
  <c r="AR143" i="52"/>
  <c r="AW148" i="52"/>
  <c r="AQ64" i="52"/>
  <c r="AK43" i="52"/>
  <c r="AF48" i="52"/>
  <c r="AO29" i="52"/>
  <c r="AO34" i="52"/>
  <c r="AV128" i="52"/>
  <c r="AT48" i="52"/>
  <c r="AU8" i="52"/>
  <c r="AI8" i="52"/>
  <c r="AL19" i="52"/>
  <c r="AO44" i="52"/>
  <c r="AS8" i="52"/>
  <c r="AN74" i="52"/>
  <c r="AK128" i="52"/>
  <c r="AN69" i="52"/>
  <c r="AS33" i="52"/>
  <c r="AH33" i="52"/>
  <c r="AW38" i="52"/>
  <c r="AL79" i="52"/>
  <c r="AW108" i="52"/>
  <c r="AR18" i="52"/>
  <c r="AL74" i="52"/>
  <c r="AN109" i="52"/>
  <c r="AR53" i="52"/>
  <c r="AI58" i="52"/>
  <c r="AR23" i="52"/>
  <c r="AQ129" i="52"/>
  <c r="AI98" i="52"/>
  <c r="AJ123" i="52"/>
  <c r="AI38" i="52"/>
  <c r="AH63" i="52"/>
  <c r="AI3" i="52"/>
  <c r="AV23" i="52"/>
  <c r="AW28" i="52"/>
  <c r="AS18" i="52"/>
  <c r="AL44" i="52"/>
  <c r="AK93" i="52"/>
  <c r="AF13" i="52"/>
  <c r="AR118" i="52"/>
  <c r="AU28" i="52"/>
  <c r="AG108" i="52"/>
  <c r="AL129" i="52"/>
  <c r="AH28" i="52"/>
  <c r="AQ94" i="52"/>
  <c r="AM69" i="52"/>
  <c r="AW123" i="52"/>
  <c r="AW8" i="52"/>
  <c r="AH113" i="52"/>
  <c r="AP114" i="52"/>
  <c r="AH123" i="52"/>
  <c r="AI48" i="52"/>
  <c r="AO129" i="52"/>
  <c r="AV118" i="52"/>
  <c r="AN59" i="52"/>
  <c r="AH73" i="52"/>
  <c r="AP19" i="52"/>
  <c r="AS43" i="52"/>
  <c r="AH88" i="52"/>
  <c r="AR123" i="52"/>
  <c r="AU13" i="52"/>
  <c r="AG103" i="52"/>
  <c r="AU58" i="52"/>
  <c r="AQ14" i="52"/>
  <c r="AK18" i="52"/>
  <c r="AS23" i="52"/>
  <c r="AP129" i="52"/>
  <c r="AS58" i="52"/>
  <c r="AW128" i="52"/>
  <c r="AK83" i="51"/>
  <c r="AL54" i="51"/>
  <c r="AP109" i="51"/>
  <c r="AH33" i="51"/>
  <c r="AO109" i="51"/>
  <c r="AU93" i="51"/>
  <c r="AH73" i="51"/>
  <c r="AP39" i="51"/>
  <c r="AI93" i="51"/>
  <c r="AQ84" i="51"/>
  <c r="AS93" i="51"/>
  <c r="AS118" i="51"/>
  <c r="AN84" i="51"/>
  <c r="AL34" i="51"/>
  <c r="AS88" i="51"/>
  <c r="AM99" i="51"/>
  <c r="AN59" i="51"/>
  <c r="AG73" i="51"/>
  <c r="AM4" i="51"/>
  <c r="AF23" i="51"/>
  <c r="AK93" i="51"/>
  <c r="AK33" i="51"/>
  <c r="AV28" i="51"/>
  <c r="AU23" i="51"/>
  <c r="AJ53" i="51"/>
  <c r="AK18" i="51"/>
  <c r="AM49" i="51"/>
  <c r="AN4" i="51"/>
  <c r="AG108" i="51"/>
  <c r="AJ43" i="51"/>
  <c r="AO94" i="51"/>
  <c r="AG53" i="51"/>
  <c r="AG123" i="56"/>
  <c r="AO49" i="53"/>
  <c r="AU38" i="56"/>
  <c r="AP14" i="53"/>
  <c r="AG98" i="53"/>
  <c r="AF98" i="53"/>
  <c r="AW103" i="53"/>
  <c r="AU38" i="53"/>
  <c r="AU133" i="51"/>
  <c r="AI73" i="53"/>
  <c r="AH88" i="53"/>
  <c r="AS133" i="53"/>
  <c r="AK113" i="53"/>
  <c r="AO139" i="51"/>
  <c r="AL144" i="52"/>
  <c r="AK33" i="53"/>
  <c r="AQ9" i="53"/>
  <c r="AW143" i="53"/>
  <c r="AR93" i="53"/>
  <c r="AF138" i="53"/>
  <c r="AI133" i="52"/>
  <c r="AM49" i="56"/>
  <c r="AU128" i="53"/>
  <c r="AN134" i="52"/>
  <c r="AR138" i="52"/>
  <c r="AG143" i="52"/>
  <c r="AV148" i="52"/>
  <c r="AW93" i="52"/>
  <c r="AO39" i="52"/>
  <c r="AJ3" i="52"/>
  <c r="AR73" i="52"/>
  <c r="AN34" i="52"/>
  <c r="AR93" i="52"/>
  <c r="AR38" i="52"/>
  <c r="AN79" i="52"/>
  <c r="AF23" i="52"/>
  <c r="AG48" i="52"/>
  <c r="AR128" i="52"/>
  <c r="AJ73" i="52"/>
  <c r="AI63" i="52"/>
  <c r="AU53" i="52"/>
  <c r="AK23" i="52"/>
  <c r="AR63" i="52"/>
  <c r="AL54" i="52"/>
  <c r="AN104" i="52"/>
  <c r="AW88" i="52"/>
  <c r="AH103" i="52"/>
  <c r="AM114" i="52"/>
  <c r="AL64" i="52"/>
  <c r="AJ103" i="52"/>
  <c r="AN94" i="52"/>
  <c r="AF43" i="52"/>
  <c r="AU73" i="52"/>
  <c r="AM79" i="52"/>
  <c r="AP74" i="52"/>
  <c r="AM74" i="52"/>
  <c r="AM54" i="52"/>
  <c r="AP49" i="52"/>
  <c r="AS93" i="52"/>
  <c r="AI83" i="52"/>
  <c r="AP84" i="52"/>
  <c r="AM29" i="52"/>
  <c r="AI103" i="52"/>
  <c r="AP79" i="52"/>
  <c r="AM84" i="52"/>
  <c r="AK58" i="52"/>
  <c r="AT8" i="52"/>
  <c r="AQ44" i="52"/>
  <c r="AL89" i="52"/>
  <c r="AK28" i="52"/>
  <c r="AF63" i="52"/>
  <c r="AQ119" i="52"/>
  <c r="AU33" i="52"/>
  <c r="AF123" i="52"/>
  <c r="AH13" i="52"/>
  <c r="AI23" i="52"/>
  <c r="AM124" i="52"/>
  <c r="AJ128" i="52"/>
  <c r="AW3" i="52"/>
  <c r="AT33" i="52"/>
  <c r="AQ69" i="52"/>
  <c r="AO14" i="52"/>
  <c r="AW33" i="52"/>
  <c r="AQ59" i="52"/>
  <c r="AJ88" i="52"/>
  <c r="AN64" i="52"/>
  <c r="AS98" i="52"/>
  <c r="AO74" i="52"/>
  <c r="AG68" i="52"/>
  <c r="AW63" i="52"/>
  <c r="AV18" i="52"/>
  <c r="AR13" i="52"/>
  <c r="AR88" i="52"/>
  <c r="AG118" i="52"/>
  <c r="AV103" i="52"/>
  <c r="AK53" i="51"/>
  <c r="AG118" i="51"/>
  <c r="AT68" i="51"/>
  <c r="AQ124" i="51"/>
  <c r="AJ78" i="51"/>
  <c r="AR113" i="51"/>
  <c r="AO34" i="56"/>
  <c r="AG28" i="53"/>
  <c r="AN99" i="53"/>
  <c r="AN44" i="53"/>
  <c r="AH8" i="53"/>
  <c r="AJ143" i="56"/>
  <c r="AK108" i="56"/>
  <c r="AO109" i="53"/>
  <c r="AW133" i="51"/>
  <c r="AQ139" i="53"/>
  <c r="AU118" i="53"/>
  <c r="AW93" i="53"/>
  <c r="AL104" i="53"/>
  <c r="AR148" i="51"/>
  <c r="AU3" i="53"/>
  <c r="AK78" i="53"/>
  <c r="AL29" i="53"/>
  <c r="AG88" i="53"/>
  <c r="AW108" i="53"/>
  <c r="AH133" i="51"/>
  <c r="AI38" i="53"/>
  <c r="AP129" i="53"/>
  <c r="AR133" i="51"/>
  <c r="AO144" i="52"/>
  <c r="AT138" i="52"/>
  <c r="AQ139" i="52"/>
  <c r="AM144" i="52"/>
  <c r="AQ89" i="52"/>
  <c r="AS48" i="52"/>
  <c r="AK3" i="52"/>
  <c r="AO89" i="52"/>
  <c r="AL109" i="52"/>
  <c r="AL84" i="52"/>
  <c r="AP124" i="52"/>
  <c r="AV83" i="52"/>
  <c r="AR108" i="52"/>
  <c r="AH53" i="52"/>
  <c r="AP104" i="52"/>
  <c r="AW13" i="52"/>
  <c r="AW68" i="52"/>
  <c r="AI28" i="52"/>
  <c r="AT123" i="52"/>
  <c r="AS78" i="52"/>
  <c r="AL4" i="52"/>
  <c r="AJ78" i="52"/>
  <c r="AK108" i="52"/>
  <c r="AP89" i="52"/>
  <c r="AQ104" i="52"/>
  <c r="AT53" i="52"/>
  <c r="AP14" i="52"/>
  <c r="AF98" i="52"/>
  <c r="AU23" i="52"/>
  <c r="AQ79" i="52"/>
  <c r="AN49" i="52"/>
  <c r="AS83" i="52"/>
  <c r="AI123" i="52"/>
  <c r="AW58" i="52"/>
  <c r="AF68" i="52"/>
  <c r="AJ28" i="52"/>
  <c r="AL14" i="52"/>
  <c r="AT78" i="52"/>
  <c r="AP29" i="52"/>
  <c r="AF18" i="52"/>
  <c r="AP39" i="52"/>
  <c r="AI13" i="52"/>
  <c r="AU108" i="52"/>
  <c r="AN99" i="52"/>
  <c r="AU88" i="52"/>
  <c r="AU68" i="52"/>
  <c r="AF38" i="52"/>
  <c r="AT28" i="52"/>
  <c r="AW98" i="52"/>
  <c r="AH78" i="52"/>
  <c r="AO4" i="52"/>
  <c r="AG128" i="52"/>
  <c r="AJ53" i="52"/>
  <c r="AN19" i="52"/>
  <c r="AL114" i="52"/>
  <c r="AG93" i="52"/>
  <c r="AI108" i="52"/>
  <c r="AG38" i="52"/>
  <c r="AO94" i="52"/>
  <c r="AW48" i="52"/>
  <c r="AJ43" i="52"/>
  <c r="AJ38" i="52"/>
  <c r="AM119" i="52"/>
  <c r="AT98" i="52"/>
  <c r="AW73" i="52"/>
  <c r="AK83" i="52"/>
  <c r="AT73" i="52"/>
  <c r="AS103" i="52"/>
  <c r="AW23" i="52"/>
  <c r="AN9" i="52"/>
  <c r="AF128" i="52"/>
  <c r="AQ54" i="52"/>
  <c r="AG28" i="51"/>
  <c r="AN114" i="52"/>
  <c r="AT23" i="51"/>
  <c r="AS3" i="51"/>
  <c r="AL124" i="52"/>
  <c r="AT118" i="52"/>
  <c r="AR43" i="52"/>
  <c r="AK73" i="52"/>
  <c r="AP119" i="52"/>
  <c r="AU18" i="52"/>
  <c r="AR78" i="52"/>
  <c r="AF93" i="52"/>
  <c r="AL24" i="52"/>
  <c r="AI33" i="51"/>
  <c r="AI118" i="51"/>
  <c r="AP9" i="51"/>
  <c r="AM29" i="51"/>
  <c r="AT113" i="51"/>
  <c r="AW103" i="51"/>
  <c r="AJ13" i="51"/>
  <c r="AQ24" i="51"/>
  <c r="AQ99" i="51"/>
  <c r="AS63" i="51"/>
  <c r="AP104" i="51"/>
  <c r="AJ18" i="51"/>
  <c r="AL104" i="51"/>
  <c r="AV53" i="51"/>
  <c r="AF118" i="51"/>
  <c r="AF8" i="51"/>
  <c r="AM84" i="51"/>
  <c r="AR63" i="51"/>
  <c r="AV78" i="51"/>
  <c r="AS43" i="51"/>
  <c r="AL59" i="51"/>
  <c r="AH48" i="51"/>
  <c r="AF18" i="51"/>
  <c r="AF43" i="51"/>
  <c r="AQ54" i="51"/>
  <c r="AW98" i="51"/>
  <c r="AL64" i="51"/>
  <c r="AS13" i="51"/>
  <c r="AR98" i="51"/>
  <c r="AW18" i="51"/>
  <c r="AG88" i="51"/>
  <c r="AI128" i="51"/>
  <c r="AT93" i="51"/>
  <c r="AT33" i="51"/>
  <c r="AP129" i="51"/>
  <c r="AH8" i="51"/>
  <c r="AG98" i="51"/>
  <c r="AS23" i="51"/>
  <c r="AW113" i="51"/>
  <c r="AG128" i="51"/>
  <c r="AI3" i="51"/>
  <c r="AL114" i="51"/>
  <c r="AV38" i="51"/>
  <c r="AV63" i="51"/>
  <c r="AL109" i="51"/>
  <c r="AG3" i="51"/>
  <c r="AS53" i="51"/>
  <c r="AI73" i="51"/>
  <c r="AS48" i="51"/>
  <c r="AO124" i="51"/>
  <c r="AM74" i="51"/>
  <c r="AM54" i="51"/>
  <c r="AI68" i="51"/>
  <c r="AO39" i="51"/>
  <c r="AS28" i="51"/>
  <c r="AG43" i="51"/>
  <c r="AK108" i="51"/>
  <c r="AO89" i="51"/>
  <c r="AN89" i="51"/>
  <c r="AF113" i="52"/>
  <c r="AW103" i="52"/>
  <c r="AQ19" i="52"/>
  <c r="AH68" i="52"/>
  <c r="AW128" i="51"/>
  <c r="AO14" i="51"/>
  <c r="AG68" i="51"/>
  <c r="AQ94" i="51"/>
  <c r="AH128" i="51"/>
  <c r="AQ104" i="51"/>
  <c r="AJ113" i="51"/>
  <c r="AJ33" i="51"/>
  <c r="AI8" i="51"/>
  <c r="AP124" i="51"/>
  <c r="AO4" i="51"/>
  <c r="AI78" i="51"/>
  <c r="AT123" i="51"/>
  <c r="AS123" i="51"/>
  <c r="AP59" i="51"/>
  <c r="AI38" i="51"/>
  <c r="AO54" i="51"/>
  <c r="AN109" i="51"/>
  <c r="AT98" i="51"/>
  <c r="AU98" i="51"/>
  <c r="AQ9" i="51"/>
  <c r="AW108" i="51"/>
  <c r="AL129" i="51"/>
  <c r="AV48" i="51"/>
  <c r="AL49" i="51"/>
  <c r="AP64" i="51"/>
  <c r="AM104" i="51"/>
  <c r="AQ49" i="52"/>
  <c r="AR113" i="52"/>
  <c r="AT58" i="52"/>
  <c r="AV28" i="52"/>
  <c r="AH23" i="52"/>
  <c r="AL49" i="52"/>
  <c r="AU113" i="52"/>
  <c r="AQ29" i="52"/>
  <c r="AM104" i="52"/>
  <c r="AH63" i="51"/>
  <c r="AL39" i="51"/>
  <c r="AR58" i="51"/>
  <c r="AP74" i="51"/>
  <c r="AW123" i="51"/>
  <c r="AN119" i="51"/>
  <c r="AR23" i="51"/>
  <c r="AS98" i="51"/>
  <c r="AN39" i="51"/>
  <c r="AI103" i="51"/>
  <c r="AR28" i="51"/>
  <c r="AK68" i="51"/>
  <c r="AK38" i="51"/>
  <c r="AJ63" i="51"/>
  <c r="AS103" i="51"/>
  <c r="AU68" i="51"/>
  <c r="AV88" i="51"/>
  <c r="AT8" i="51"/>
  <c r="AK28" i="51"/>
  <c r="AU43" i="51"/>
  <c r="AQ89" i="51"/>
  <c r="AM9" i="51"/>
  <c r="AH28" i="51"/>
  <c r="AL89" i="51"/>
  <c r="AN44" i="51"/>
  <c r="AU28" i="51"/>
  <c r="AM79" i="51"/>
  <c r="AQ79" i="51"/>
  <c r="AP34" i="51"/>
  <c r="AF78" i="51"/>
  <c r="AK103" i="51"/>
  <c r="AP119" i="51"/>
  <c r="AK73" i="51"/>
  <c r="AV58" i="51"/>
  <c r="AR13" i="51"/>
  <c r="AV103" i="51"/>
  <c r="AH123" i="51"/>
  <c r="AV93" i="51"/>
  <c r="AU8" i="51"/>
  <c r="AL84" i="51"/>
  <c r="AU83" i="51"/>
  <c r="AT43" i="51"/>
  <c r="AR73" i="51"/>
  <c r="AP4" i="51"/>
  <c r="AJ123" i="51"/>
  <c r="AK63" i="51"/>
  <c r="AH43" i="51"/>
  <c r="AM114" i="51"/>
  <c r="AR103" i="51"/>
  <c r="AF108" i="51"/>
  <c r="AH38" i="51"/>
  <c r="AQ69" i="51"/>
  <c r="AP24" i="51"/>
  <c r="AV123" i="51"/>
  <c r="AU38" i="51"/>
  <c r="AV128" i="51"/>
  <c r="AG103" i="51"/>
  <c r="AM124" i="51"/>
  <c r="AW43" i="51"/>
  <c r="AM34" i="52"/>
  <c r="AO54" i="52"/>
  <c r="AL59" i="52"/>
  <c r="AR48" i="51"/>
  <c r="AW118" i="51"/>
  <c r="AH13" i="51"/>
  <c r="AV108" i="51"/>
  <c r="AS73" i="51"/>
  <c r="AN49" i="51"/>
  <c r="AU58" i="51"/>
  <c r="AI123" i="51"/>
  <c r="AQ49" i="51"/>
  <c r="AQ114" i="51"/>
  <c r="AM39" i="51"/>
  <c r="AR43" i="51"/>
  <c r="AT118" i="51"/>
  <c r="AW88" i="51"/>
  <c r="AW33" i="51"/>
  <c r="AH103" i="51"/>
  <c r="AL79" i="51"/>
  <c r="AG113" i="51"/>
  <c r="AL14" i="51"/>
  <c r="AM59" i="51"/>
  <c r="AP99" i="51"/>
  <c r="AO49" i="51"/>
  <c r="AG78" i="51"/>
  <c r="AF13" i="51"/>
  <c r="AU108" i="51"/>
  <c r="AG38" i="51"/>
  <c r="AT13" i="51"/>
  <c r="AO44" i="51"/>
  <c r="AT3" i="51"/>
  <c r="AV73" i="51"/>
  <c r="AK78" i="52"/>
  <c r="AL94" i="52"/>
  <c r="AF118" i="52"/>
  <c r="AW118" i="52"/>
  <c r="AR58" i="52"/>
  <c r="AS73" i="52"/>
  <c r="AS108" i="52"/>
  <c r="AM129" i="52"/>
  <c r="AR103" i="52"/>
  <c r="AF28" i="51"/>
  <c r="AP69" i="51"/>
  <c r="AG18" i="51"/>
  <c r="AR18" i="51"/>
  <c r="AW38" i="51"/>
  <c r="AQ64" i="51"/>
  <c r="AP14" i="51"/>
  <c r="AF73" i="51"/>
  <c r="AV118" i="51"/>
  <c r="AK8" i="51"/>
  <c r="AQ39" i="51"/>
  <c r="AH113" i="51"/>
  <c r="AK3" i="51"/>
  <c r="AP54" i="51"/>
  <c r="AO79" i="51"/>
  <c r="AN94" i="51"/>
  <c r="AL29" i="51"/>
  <c r="AM69" i="51"/>
  <c r="AJ128" i="51"/>
  <c r="AS38" i="51"/>
  <c r="AH83" i="51"/>
  <c r="AR3" i="51"/>
  <c r="AG33" i="51"/>
  <c r="AV3" i="51"/>
  <c r="AP44" i="51"/>
  <c r="AF38" i="51"/>
  <c r="AJ68" i="51"/>
  <c r="AO74" i="51"/>
  <c r="AR33" i="51"/>
  <c r="AF128" i="51"/>
  <c r="AT108" i="51"/>
  <c r="AP89" i="51"/>
  <c r="AW23" i="51"/>
  <c r="AF58" i="51"/>
  <c r="AJ103" i="51"/>
  <c r="AJ118" i="51"/>
  <c r="AO29" i="51"/>
  <c r="AN19" i="51"/>
  <c r="AQ74" i="51"/>
  <c r="AP84" i="51"/>
  <c r="AU3" i="51"/>
  <c r="AT103" i="51"/>
  <c r="AH78" i="51"/>
  <c r="AU73" i="51"/>
  <c r="AG48" i="51"/>
  <c r="AT58" i="51"/>
  <c r="AS18" i="51"/>
  <c r="AF83" i="51"/>
  <c r="AG63" i="51"/>
  <c r="AH118" i="51"/>
  <c r="AP94" i="51"/>
  <c r="AJ98" i="51"/>
  <c r="AJ28" i="51"/>
  <c r="AG13" i="51"/>
  <c r="AF48" i="51"/>
  <c r="AT18" i="51"/>
  <c r="AU128" i="51"/>
  <c r="AK128" i="51"/>
  <c r="AU123" i="51"/>
  <c r="AK33" i="52"/>
  <c r="AT23" i="52"/>
  <c r="AW93" i="51"/>
  <c r="AT48" i="51"/>
  <c r="AU78" i="51"/>
  <c r="AH98" i="51"/>
  <c r="AM24" i="51"/>
  <c r="AU48" i="51"/>
  <c r="AR68" i="51"/>
  <c r="AR93" i="51"/>
  <c r="AF53" i="51"/>
  <c r="AW58" i="51"/>
  <c r="AO114" i="51"/>
  <c r="AT38" i="51"/>
  <c r="AS78" i="51"/>
  <c r="AN104" i="51"/>
  <c r="AU63" i="51"/>
  <c r="AT83" i="51"/>
  <c r="AQ29" i="51"/>
  <c r="AG123" i="51"/>
  <c r="AR118" i="51"/>
  <c r="AM94" i="51"/>
  <c r="AI43" i="51"/>
  <c r="AI88" i="51"/>
  <c r="AF103" i="51"/>
  <c r="AU18" i="51"/>
  <c r="AJ93" i="51"/>
  <c r="AI98" i="51"/>
  <c r="AL69" i="51"/>
  <c r="AU33" i="51"/>
  <c r="AW53" i="51"/>
  <c r="AF83" i="52"/>
  <c r="AV113" i="52"/>
  <c r="AJ68" i="52"/>
  <c r="AH18" i="52"/>
  <c r="AK13" i="52"/>
  <c r="AP44" i="52"/>
  <c r="AV38" i="52"/>
  <c r="AV68" i="52"/>
  <c r="AT38" i="52"/>
  <c r="AV23" i="51"/>
  <c r="AU53" i="51"/>
  <c r="AR128" i="51"/>
  <c r="AS108" i="51"/>
  <c r="AV13" i="51"/>
  <c r="AI28" i="51"/>
  <c r="AW68" i="51"/>
  <c r="AK118" i="51"/>
  <c r="AJ8" i="51"/>
  <c r="AI48" i="51"/>
  <c r="AK88" i="51"/>
  <c r="AT28" i="51"/>
  <c r="AT128" i="51"/>
  <c r="AV8" i="51"/>
  <c r="AR38" i="51"/>
  <c r="AP79" i="51"/>
  <c r="AF123" i="51"/>
  <c r="AU113" i="51"/>
  <c r="AH58" i="51"/>
  <c r="AO119" i="51"/>
  <c r="AJ48" i="51"/>
  <c r="AU88" i="51"/>
  <c r="AR83" i="51"/>
  <c r="AV33" i="51"/>
  <c r="AO9" i="51"/>
  <c r="AW13" i="51"/>
  <c r="AT63" i="51"/>
  <c r="AP114" i="51"/>
  <c r="AT53" i="51"/>
  <c r="AO84" i="51"/>
  <c r="AL124" i="51"/>
  <c r="AS33" i="51"/>
  <c r="AJ73" i="51"/>
  <c r="AV43" i="51"/>
  <c r="AI18" i="51"/>
  <c r="AN34" i="51"/>
  <c r="AI63" i="51"/>
  <c r="AO59" i="51"/>
  <c r="AN24" i="51"/>
  <c r="AN74" i="51"/>
  <c r="AG93" i="51"/>
  <c r="AN114" i="51"/>
  <c r="AN9" i="51"/>
  <c r="AR88" i="51"/>
  <c r="AG23" i="51"/>
  <c r="AH108" i="51"/>
  <c r="AH68" i="51"/>
  <c r="AS8" i="51"/>
  <c r="AR53" i="51"/>
  <c r="AV68" i="51"/>
  <c r="AJ108" i="51"/>
  <c r="AI13" i="51"/>
  <c r="AH18" i="51"/>
  <c r="AO104" i="51"/>
  <c r="AN129" i="51"/>
  <c r="AR78" i="51"/>
  <c r="AG8" i="51"/>
  <c r="AS68" i="51"/>
  <c r="AT78" i="51"/>
  <c r="AW78" i="52"/>
  <c r="AF88" i="52"/>
  <c r="AI53" i="52"/>
  <c r="AM4" i="52"/>
  <c r="AF53" i="52"/>
  <c r="AR98" i="52"/>
  <c r="AG53" i="52"/>
  <c r="AU63" i="52"/>
  <c r="AQ129" i="51"/>
  <c r="AQ34" i="51"/>
  <c r="AO19" i="51"/>
  <c r="AL94" i="51"/>
  <c r="AU103" i="51"/>
  <c r="AM34" i="51"/>
  <c r="AJ88" i="51"/>
  <c r="AS113" i="51"/>
  <c r="AK113" i="51"/>
  <c r="AF63" i="51"/>
  <c r="AL9" i="51"/>
  <c r="AM109" i="51"/>
  <c r="AK78" i="51"/>
  <c r="AN64" i="51"/>
  <c r="AK13" i="51"/>
  <c r="AH23" i="51"/>
  <c r="AI23" i="51"/>
  <c r="AI58" i="51"/>
  <c r="AM64" i="51"/>
  <c r="AU118" i="51"/>
  <c r="AH53" i="51"/>
  <c r="AV113" i="51"/>
  <c r="AT88" i="51"/>
  <c r="AQ119" i="51"/>
  <c r="AN124" i="51"/>
  <c r="AS58" i="51"/>
  <c r="AW73" i="51"/>
  <c r="AM14" i="51"/>
  <c r="AJ58" i="51"/>
  <c r="AQ44" i="51"/>
  <c r="AQ109" i="51"/>
  <c r="AJ187" i="51" l="1"/>
  <c r="AJ156" i="51"/>
  <c r="AS156" i="51"/>
  <c r="AS187" i="51"/>
  <c r="AV159" i="51"/>
  <c r="AI187" i="51"/>
  <c r="AI156" i="51"/>
  <c r="AK157" i="51"/>
  <c r="BD63" i="51"/>
  <c r="AK159" i="51"/>
  <c r="AS159" i="51"/>
  <c r="AM155" i="51"/>
  <c r="AO154" i="51"/>
  <c r="AQ155" i="51"/>
  <c r="AR158" i="52"/>
  <c r="BD53" i="52"/>
  <c r="AM153" i="52"/>
  <c r="AM161" i="52"/>
  <c r="BD88" i="52"/>
  <c r="AW157" i="52"/>
  <c r="AT157" i="51"/>
  <c r="AR157" i="51"/>
  <c r="AH154" i="51"/>
  <c r="AN159" i="51"/>
  <c r="AO187" i="51"/>
  <c r="AO156" i="51"/>
  <c r="AN155" i="51"/>
  <c r="AI154" i="51"/>
  <c r="AS155" i="51"/>
  <c r="AP159" i="51"/>
  <c r="AV155" i="51"/>
  <c r="AH187" i="51"/>
  <c r="AH156" i="51"/>
  <c r="AU159" i="51"/>
  <c r="BD123" i="51"/>
  <c r="AP157" i="51"/>
  <c r="AH154" i="52"/>
  <c r="AV159" i="52"/>
  <c r="BD83" i="52"/>
  <c r="AU155" i="51"/>
  <c r="AI158" i="51"/>
  <c r="AU154" i="51"/>
  <c r="BD103" i="51"/>
  <c r="AS157" i="51"/>
  <c r="AO159" i="51"/>
  <c r="AW187" i="51"/>
  <c r="AW156" i="51"/>
  <c r="BD53" i="51"/>
  <c r="AH158" i="51"/>
  <c r="AU157" i="51"/>
  <c r="AK155" i="52"/>
  <c r="AT154" i="51"/>
  <c r="BD48" i="51"/>
  <c r="AJ158" i="51"/>
  <c r="BD83" i="51"/>
  <c r="AS154" i="51"/>
  <c r="AT187" i="51"/>
  <c r="AT156" i="51"/>
  <c r="AH157" i="51"/>
  <c r="AU161" i="51"/>
  <c r="AU153" i="51"/>
  <c r="AN154" i="51"/>
  <c r="BD58" i="51"/>
  <c r="AF187" i="51"/>
  <c r="AF156" i="51"/>
  <c r="BD128" i="51"/>
  <c r="AR155" i="51"/>
  <c r="BD38" i="51"/>
  <c r="AV161" i="51"/>
  <c r="AV153" i="51"/>
  <c r="AG155" i="51"/>
  <c r="AR153" i="51"/>
  <c r="AR161" i="51"/>
  <c r="AO157" i="51"/>
  <c r="AK161" i="51"/>
  <c r="AK153" i="51"/>
  <c r="AH159" i="51"/>
  <c r="BD73" i="51"/>
  <c r="AR154" i="51"/>
  <c r="AG154" i="51"/>
  <c r="BD28" i="51"/>
  <c r="AR156" i="52"/>
  <c r="AR189" i="52"/>
  <c r="BD118" i="52"/>
  <c r="AK157" i="52"/>
  <c r="AT153" i="51"/>
  <c r="AT161" i="51"/>
  <c r="BD13" i="51"/>
  <c r="AG157" i="51"/>
  <c r="AP158" i="51"/>
  <c r="AM187" i="51"/>
  <c r="AM156" i="51"/>
  <c r="AG159" i="51"/>
  <c r="AL157" i="51"/>
  <c r="AW155" i="51"/>
  <c r="AQ159" i="51"/>
  <c r="AU187" i="51"/>
  <c r="AU156" i="51"/>
  <c r="AL189" i="52"/>
  <c r="AL156" i="52"/>
  <c r="AM155" i="52"/>
  <c r="BD108" i="51"/>
  <c r="AM159" i="51"/>
  <c r="AP153" i="51"/>
  <c r="AP161" i="51"/>
  <c r="AV187" i="51"/>
  <c r="AV156" i="51"/>
  <c r="BD78" i="51"/>
  <c r="AF157" i="51"/>
  <c r="AP155" i="51"/>
  <c r="AQ157" i="51"/>
  <c r="AM157" i="51"/>
  <c r="AS158" i="51"/>
  <c r="AR187" i="51"/>
  <c r="AR156" i="51"/>
  <c r="AU159" i="52"/>
  <c r="AT156" i="52"/>
  <c r="AT189" i="52"/>
  <c r="AR159" i="52"/>
  <c r="AU158" i="51"/>
  <c r="AT158" i="51"/>
  <c r="AP187" i="51"/>
  <c r="AP156" i="51"/>
  <c r="AI157" i="51"/>
  <c r="AO153" i="51"/>
  <c r="AO161" i="51"/>
  <c r="AJ155" i="51"/>
  <c r="AJ159" i="51"/>
  <c r="AQ154" i="52"/>
  <c r="BD113" i="52"/>
  <c r="AF159" i="52"/>
  <c r="AG161" i="51"/>
  <c r="AG153" i="51"/>
  <c r="AL159" i="51"/>
  <c r="AI161" i="51"/>
  <c r="AI153" i="51"/>
  <c r="AW159" i="51"/>
  <c r="AG158" i="51"/>
  <c r="AT155" i="51"/>
  <c r="AW154" i="51"/>
  <c r="AR158" i="51"/>
  <c r="AW158" i="51"/>
  <c r="BD43" i="51"/>
  <c r="BD18" i="51"/>
  <c r="AF154" i="51"/>
  <c r="AL156" i="51"/>
  <c r="AL187" i="51"/>
  <c r="AV157" i="51"/>
  <c r="BD8" i="51"/>
  <c r="BD118" i="51"/>
  <c r="AJ154" i="51"/>
  <c r="AQ158" i="51"/>
  <c r="AT159" i="51"/>
  <c r="AI155" i="51"/>
  <c r="BD93" i="52"/>
  <c r="AR157" i="52"/>
  <c r="AU154" i="52"/>
  <c r="AS153" i="51"/>
  <c r="AS161" i="51"/>
  <c r="AN159" i="52"/>
  <c r="BD128" i="52"/>
  <c r="AT158" i="52"/>
  <c r="AL159" i="52"/>
  <c r="AN154" i="52"/>
  <c r="AO153" i="52"/>
  <c r="AO161" i="52"/>
  <c r="AH157" i="52"/>
  <c r="AW158" i="52"/>
  <c r="BD38" i="52"/>
  <c r="AN158" i="52"/>
  <c r="BD18" i="52"/>
  <c r="AF154" i="52"/>
  <c r="AT157" i="52"/>
  <c r="BD68" i="52"/>
  <c r="AW156" i="52"/>
  <c r="AW189" i="52"/>
  <c r="AQ157" i="52"/>
  <c r="AF158" i="52"/>
  <c r="BD98" i="52"/>
  <c r="AJ157" i="52"/>
  <c r="AL161" i="52"/>
  <c r="AL153" i="52"/>
  <c r="BD152" i="52" s="1"/>
  <c r="AS157" i="52"/>
  <c r="AK161" i="52"/>
  <c r="AK153" i="52"/>
  <c r="AR160" i="51"/>
  <c r="AH160" i="51"/>
  <c r="AK157" i="53"/>
  <c r="AU161" i="53"/>
  <c r="AU153" i="53"/>
  <c r="AW160" i="51"/>
  <c r="AN158" i="53"/>
  <c r="AO155" i="56"/>
  <c r="AR159" i="51"/>
  <c r="AJ157" i="51"/>
  <c r="AV154" i="52"/>
  <c r="AS158" i="52"/>
  <c r="AQ189" i="52"/>
  <c r="AQ156" i="52"/>
  <c r="AW155" i="52"/>
  <c r="AT155" i="52"/>
  <c r="AW153" i="52"/>
  <c r="AW161" i="52"/>
  <c r="BD123" i="52"/>
  <c r="AU155" i="52"/>
  <c r="BD63" i="52"/>
  <c r="AK156" i="52"/>
  <c r="AK189" i="52"/>
  <c r="AP157" i="52"/>
  <c r="AM157" i="52"/>
  <c r="BD43" i="52"/>
  <c r="AM159" i="52"/>
  <c r="BD23" i="52"/>
  <c r="AN157" i="52"/>
  <c r="AN155" i="52"/>
  <c r="AJ161" i="52"/>
  <c r="AJ153" i="52"/>
  <c r="AN160" i="52"/>
  <c r="AI160" i="52"/>
  <c r="AK155" i="53"/>
  <c r="AK159" i="53"/>
  <c r="AS160" i="53"/>
  <c r="AU160" i="51"/>
  <c r="AF158" i="53"/>
  <c r="AG158" i="53"/>
  <c r="AN153" i="51"/>
  <c r="AN161" i="51"/>
  <c r="AK154" i="51"/>
  <c r="AK155" i="51"/>
  <c r="BD23" i="51"/>
  <c r="AM161" i="51"/>
  <c r="AM153" i="51"/>
  <c r="AN187" i="51"/>
  <c r="AN156" i="51"/>
  <c r="AM158" i="51"/>
  <c r="AL155" i="51"/>
  <c r="AH155" i="51"/>
  <c r="AS189" i="52"/>
  <c r="AS156" i="52"/>
  <c r="AK154" i="52"/>
  <c r="AU189" i="52"/>
  <c r="AU156" i="52"/>
  <c r="AP154" i="52"/>
  <c r="AN189" i="52"/>
  <c r="AN156" i="52"/>
  <c r="AP159" i="52"/>
  <c r="AH159" i="52"/>
  <c r="BD13" i="52"/>
  <c r="AS154" i="52"/>
  <c r="AI161" i="52"/>
  <c r="AI153" i="52"/>
  <c r="AI158" i="52"/>
  <c r="AI156" i="52"/>
  <c r="AI189" i="52"/>
  <c r="AR154" i="52"/>
  <c r="AL157" i="52"/>
  <c r="AH155" i="52"/>
  <c r="AS155" i="52"/>
  <c r="AL154" i="52"/>
  <c r="AO155" i="52"/>
  <c r="BD48" i="52"/>
  <c r="AJ160" i="53"/>
  <c r="AI160" i="51"/>
  <c r="AV159" i="53"/>
  <c r="AM161" i="56"/>
  <c r="AM153" i="56"/>
  <c r="AW161" i="51"/>
  <c r="AW153" i="51"/>
  <c r="AH161" i="51"/>
  <c r="AH153" i="51"/>
  <c r="AO155" i="51"/>
  <c r="BD68" i="51"/>
  <c r="AL158" i="51"/>
  <c r="AF153" i="51"/>
  <c r="BD3" i="51"/>
  <c r="AF161" i="51"/>
  <c r="AN157" i="51"/>
  <c r="AV158" i="51"/>
  <c r="AI159" i="51"/>
  <c r="AM154" i="51"/>
  <c r="AF158" i="51"/>
  <c r="BD98" i="51"/>
  <c r="AL154" i="51"/>
  <c r="AQ153" i="51"/>
  <c r="AQ161" i="51"/>
  <c r="BD93" i="51"/>
  <c r="AQ187" i="51"/>
  <c r="AQ156" i="51"/>
  <c r="BD113" i="51"/>
  <c r="AF159" i="51"/>
  <c r="AG155" i="52"/>
  <c r="AW154" i="52"/>
  <c r="AJ155" i="52"/>
  <c r="AJ158" i="52"/>
  <c r="AH156" i="52"/>
  <c r="AH189" i="52"/>
  <c r="AT159" i="52"/>
  <c r="AK159" i="52"/>
  <c r="AU158" i="52"/>
  <c r="AO159" i="52"/>
  <c r="BD73" i="52"/>
  <c r="AM154" i="52"/>
  <c r="AJ189" i="52"/>
  <c r="AJ156" i="52"/>
  <c r="BD3" i="52"/>
  <c r="AF153" i="52"/>
  <c r="AF161" i="52"/>
  <c r="AV158" i="52"/>
  <c r="AR161" i="52"/>
  <c r="AR153" i="52"/>
  <c r="AP158" i="52"/>
  <c r="AU161" i="52"/>
  <c r="AU153" i="52"/>
  <c r="AR155" i="52"/>
  <c r="AG189" i="52"/>
  <c r="AG156" i="52"/>
  <c r="AP153" i="52"/>
  <c r="AP161" i="52"/>
  <c r="AW159" i="52"/>
  <c r="AG161" i="52"/>
  <c r="AG153" i="52"/>
  <c r="AS153" i="52"/>
  <c r="AS161" i="52"/>
  <c r="AQ158" i="52"/>
  <c r="BD108" i="52"/>
  <c r="AQ161" i="52"/>
  <c r="AQ153" i="52"/>
  <c r="AG159" i="52"/>
  <c r="AU159" i="53"/>
  <c r="AV160" i="51"/>
  <c r="AJ155" i="56"/>
  <c r="AI153" i="53"/>
  <c r="AI161" i="53"/>
  <c r="AV158" i="53"/>
  <c r="AP155" i="53"/>
  <c r="AJ156" i="53"/>
  <c r="AG159" i="53"/>
  <c r="AG157" i="52"/>
  <c r="AS159" i="52"/>
  <c r="AH158" i="52"/>
  <c r="AP160" i="51"/>
  <c r="AG160" i="56"/>
  <c r="AW160" i="53"/>
  <c r="AL159" i="56"/>
  <c r="AK156" i="51"/>
  <c r="AK187" i="51"/>
  <c r="AP154" i="51"/>
  <c r="AL161" i="51"/>
  <c r="AL153" i="51"/>
  <c r="AK158" i="51"/>
  <c r="AO158" i="51"/>
  <c r="AV154" i="51"/>
  <c r="AJ161" i="51"/>
  <c r="AJ153" i="51"/>
  <c r="AF155" i="51"/>
  <c r="BD33" i="51"/>
  <c r="AW157" i="51"/>
  <c r="AG187" i="51"/>
  <c r="AG156" i="51"/>
  <c r="AN158" i="51"/>
  <c r="BD88" i="51"/>
  <c r="AQ154" i="51"/>
  <c r="AV155" i="52"/>
  <c r="AO154" i="52"/>
  <c r="AM189" i="52"/>
  <c r="AM156" i="52"/>
  <c r="AI157" i="52"/>
  <c r="AI159" i="52"/>
  <c r="AI154" i="52"/>
  <c r="AV157" i="52"/>
  <c r="AQ155" i="52"/>
  <c r="AG154" i="52"/>
  <c r="AI155" i="52"/>
  <c r="AH153" i="52"/>
  <c r="AH161" i="52"/>
  <c r="AG158" i="52"/>
  <c r="AQ159" i="52"/>
  <c r="AL158" i="52"/>
  <c r="AP155" i="52"/>
  <c r="AK158" i="52"/>
  <c r="AL155" i="52"/>
  <c r="BD8" i="52"/>
  <c r="AP189" i="52"/>
  <c r="AP156" i="52"/>
  <c r="AF155" i="52"/>
  <c r="BD33" i="52"/>
  <c r="BD103" i="52"/>
  <c r="AF160" i="52"/>
  <c r="BD133" i="52"/>
  <c r="AG160" i="51"/>
  <c r="AJ154" i="53"/>
  <c r="AT154" i="53"/>
  <c r="AT158" i="53"/>
  <c r="AG155" i="56"/>
  <c r="AI159" i="53"/>
  <c r="AO189" i="52"/>
  <c r="AO156" i="52"/>
  <c r="BD28" i="52"/>
  <c r="BD138" i="52"/>
  <c r="AM160" i="51"/>
  <c r="AS160" i="52"/>
  <c r="AK160" i="52"/>
  <c r="AN160" i="51"/>
  <c r="BD143" i="52"/>
  <c r="AF157" i="53"/>
  <c r="AV155" i="53"/>
  <c r="AP160" i="52"/>
  <c r="AM157" i="53"/>
  <c r="AS159" i="53"/>
  <c r="AP154" i="53"/>
  <c r="AO156" i="53"/>
  <c r="AV156" i="53"/>
  <c r="AP159" i="53"/>
  <c r="AV154" i="53"/>
  <c r="AH154" i="56"/>
  <c r="AW156" i="53"/>
  <c r="AK156" i="53"/>
  <c r="AU156" i="53"/>
  <c r="AR157" i="56"/>
  <c r="AV156" i="56"/>
  <c r="AO154" i="56"/>
  <c r="AS155" i="53"/>
  <c r="AP158" i="53"/>
  <c r="AO155" i="53"/>
  <c r="AQ155" i="53"/>
  <c r="AN154" i="56"/>
  <c r="AT153" i="52"/>
  <c r="AT161" i="52"/>
  <c r="AV189" i="52"/>
  <c r="AV156" i="52"/>
  <c r="AU157" i="52"/>
  <c r="BD78" i="52"/>
  <c r="AF157" i="52"/>
  <c r="AM160" i="52"/>
  <c r="BD148" i="52"/>
  <c r="AV160" i="52"/>
  <c r="AQ160" i="52"/>
  <c r="AG160" i="52"/>
  <c r="AP157" i="53"/>
  <c r="AQ158" i="53"/>
  <c r="AH155" i="53"/>
  <c r="AK154" i="56"/>
  <c r="AW160" i="52"/>
  <c r="AH159" i="53"/>
  <c r="AF154" i="53"/>
  <c r="AR154" i="56"/>
  <c r="AS160" i="51"/>
  <c r="AF161" i="53"/>
  <c r="AF153" i="53"/>
  <c r="AJ158" i="53"/>
  <c r="AM159" i="53"/>
  <c r="AQ160" i="51"/>
  <c r="AL160" i="51"/>
  <c r="AW159" i="53"/>
  <c r="AR154" i="53"/>
  <c r="AH154" i="53"/>
  <c r="AQ154" i="53"/>
  <c r="AJ157" i="53"/>
  <c r="AU154" i="53"/>
  <c r="AO160" i="51"/>
  <c r="AK153" i="53"/>
  <c r="AK161" i="53"/>
  <c r="AI158" i="56"/>
  <c r="AO160" i="53"/>
  <c r="AV157" i="53"/>
  <c r="AO154" i="53"/>
  <c r="AG153" i="53"/>
  <c r="AG161" i="53"/>
  <c r="AI154" i="53"/>
  <c r="AI160" i="53"/>
  <c r="AT159" i="56"/>
  <c r="AF159" i="56"/>
  <c r="AQ159" i="56"/>
  <c r="AT160" i="56"/>
  <c r="AL161" i="56"/>
  <c r="AL153" i="56"/>
  <c r="AH161" i="56"/>
  <c r="AH153" i="56"/>
  <c r="AV153" i="52"/>
  <c r="AV161" i="52"/>
  <c r="AJ154" i="52"/>
  <c r="AM158" i="52"/>
  <c r="AT154" i="52"/>
  <c r="AJ159" i="52"/>
  <c r="AN153" i="52"/>
  <c r="AN161" i="52"/>
  <c r="AO158" i="52"/>
  <c r="AO157" i="52"/>
  <c r="BD58" i="52"/>
  <c r="AF156" i="52"/>
  <c r="AR160" i="52"/>
  <c r="AO160" i="52"/>
  <c r="AT160" i="52"/>
  <c r="AH160" i="52"/>
  <c r="AK160" i="51"/>
  <c r="AG157" i="53"/>
  <c r="AJ160" i="51"/>
  <c r="AL158" i="53"/>
  <c r="AH156" i="53"/>
  <c r="AN158" i="56"/>
  <c r="AV160" i="53"/>
  <c r="AI155" i="53"/>
  <c r="AL159" i="53"/>
  <c r="AR188" i="56"/>
  <c r="AR156" i="56"/>
  <c r="AM161" i="53"/>
  <c r="AM153" i="53"/>
  <c r="AS157" i="53"/>
  <c r="AS160" i="56"/>
  <c r="AT161" i="56"/>
  <c r="AT153" i="56"/>
  <c r="AU157" i="53"/>
  <c r="AF154" i="56"/>
  <c r="AL160" i="52"/>
  <c r="AJ160" i="52"/>
  <c r="AU160" i="52"/>
  <c r="AT160" i="51"/>
  <c r="AL160" i="53"/>
  <c r="AN160" i="53"/>
  <c r="AF160" i="51"/>
  <c r="AS158" i="53"/>
  <c r="AR155" i="53"/>
  <c r="AQ160" i="53"/>
  <c r="AQ157" i="53"/>
  <c r="AN155" i="53"/>
  <c r="AH158" i="53"/>
  <c r="AN153" i="53"/>
  <c r="AN161" i="53"/>
  <c r="AI156" i="53"/>
  <c r="AP156" i="53"/>
  <c r="AF160" i="53"/>
  <c r="AQ158" i="56"/>
  <c r="AH161" i="53"/>
  <c r="AH153" i="53"/>
  <c r="AT159" i="53"/>
  <c r="AL155" i="56"/>
  <c r="AJ153" i="53"/>
  <c r="AJ161" i="53"/>
  <c r="AU153" i="56"/>
  <c r="AU161" i="56"/>
  <c r="AL153" i="53"/>
  <c r="AL161" i="53"/>
  <c r="AK158" i="56"/>
  <c r="AM159" i="56"/>
  <c r="AL157" i="53"/>
  <c r="AG154" i="53"/>
  <c r="AN154" i="53"/>
  <c r="AQ157" i="56"/>
  <c r="AN159" i="56"/>
  <c r="AG161" i="56"/>
  <c r="AG153" i="56"/>
  <c r="AH156" i="56"/>
  <c r="AJ156" i="56"/>
  <c r="AK160" i="53"/>
  <c r="AI158" i="53"/>
  <c r="AI159" i="56"/>
  <c r="AF155" i="56"/>
  <c r="AO156" i="56"/>
  <c r="AM154" i="53"/>
  <c r="AS159" i="56"/>
  <c r="AU154" i="56"/>
  <c r="AR158" i="53"/>
  <c r="AO153" i="53"/>
  <c r="AO161" i="53"/>
  <c r="AW153" i="53"/>
  <c r="AW161" i="53"/>
  <c r="AO159" i="53"/>
  <c r="AN156" i="53"/>
  <c r="AM160" i="53"/>
  <c r="AG155" i="53"/>
  <c r="AW158" i="53"/>
  <c r="AP161" i="53"/>
  <c r="AP153" i="53"/>
  <c r="AQ161" i="56"/>
  <c r="AQ153" i="56"/>
  <c r="AP160" i="53"/>
  <c r="AU160" i="56"/>
  <c r="AJ160" i="56"/>
  <c r="AN159" i="53"/>
  <c r="AU159" i="56"/>
  <c r="AI161" i="56"/>
  <c r="AI153" i="56"/>
  <c r="AK158" i="53"/>
  <c r="AH160" i="56"/>
  <c r="AT157" i="56"/>
  <c r="AW160" i="56"/>
  <c r="AL158" i="56"/>
  <c r="AQ155" i="56"/>
  <c r="AL154" i="53"/>
  <c r="AL154" i="56"/>
  <c r="AU156" i="56"/>
  <c r="AR155" i="56"/>
  <c r="AO161" i="56"/>
  <c r="AO153" i="56"/>
  <c r="AF160" i="56"/>
  <c r="AG160" i="53"/>
  <c r="AP154" i="56"/>
  <c r="AW155" i="53"/>
  <c r="AT153" i="53"/>
  <c r="AT161" i="53"/>
  <c r="AM156" i="53"/>
  <c r="AN157" i="53"/>
  <c r="AM154" i="56"/>
  <c r="AJ159" i="53"/>
  <c r="AR160" i="53"/>
  <c r="AT158" i="56"/>
  <c r="AP157" i="56"/>
  <c r="AG159" i="56"/>
  <c r="AP161" i="56"/>
  <c r="AP153" i="56"/>
  <c r="AL157" i="56"/>
  <c r="AS155" i="56"/>
  <c r="AK155" i="56"/>
  <c r="AR161" i="53"/>
  <c r="AR153" i="53"/>
  <c r="AI154" i="56"/>
  <c r="AQ154" i="56"/>
  <c r="AM157" i="56"/>
  <c r="AF155" i="53"/>
  <c r="AW157" i="53"/>
  <c r="AV161" i="53"/>
  <c r="AV153" i="53"/>
  <c r="AS154" i="53"/>
  <c r="AT160" i="53"/>
  <c r="AV157" i="56"/>
  <c r="AI157" i="56"/>
  <c r="AV161" i="56"/>
  <c r="AV153" i="56"/>
  <c r="AT157" i="53"/>
  <c r="AF157" i="56"/>
  <c r="AI160" i="56"/>
  <c r="AT156" i="56"/>
  <c r="AF161" i="56"/>
  <c r="AF153" i="56"/>
  <c r="AS161" i="56"/>
  <c r="AS153" i="56"/>
  <c r="AQ156" i="56"/>
  <c r="AT155" i="53"/>
  <c r="AR158" i="56"/>
  <c r="AS156" i="56"/>
  <c r="AL156" i="56"/>
  <c r="AL188" i="56"/>
  <c r="AN157" i="56"/>
  <c r="AL155" i="53"/>
  <c r="AP160" i="56"/>
  <c r="AP156" i="56"/>
  <c r="AI155" i="56"/>
  <c r="AG154" i="56"/>
  <c r="AM155" i="53"/>
  <c r="AR157" i="53"/>
  <c r="AU158" i="53"/>
  <c r="AI157" i="53"/>
  <c r="AF187" i="53"/>
  <c r="AF156" i="53"/>
  <c r="AS156" i="53"/>
  <c r="AO158" i="53"/>
  <c r="AP155" i="56"/>
  <c r="AL187" i="53"/>
  <c r="AL156" i="53"/>
  <c r="AM158" i="56"/>
  <c r="AG157" i="56"/>
  <c r="AV154" i="56"/>
  <c r="AT156" i="53"/>
  <c r="AS153" i="53"/>
  <c r="AS161" i="53"/>
  <c r="AQ159" i="53"/>
  <c r="AM158" i="53"/>
  <c r="AR161" i="56"/>
  <c r="AR153" i="56"/>
  <c r="AK156" i="56"/>
  <c r="AV160" i="56"/>
  <c r="AN160" i="56"/>
  <c r="AH157" i="56"/>
  <c r="AG156" i="56"/>
  <c r="AQ161" i="53"/>
  <c r="AQ153" i="53"/>
  <c r="AH158" i="56"/>
  <c r="AK160" i="56"/>
  <c r="AW158" i="56"/>
  <c r="AI156" i="56"/>
  <c r="AT154" i="56"/>
  <c r="AW161" i="56"/>
  <c r="AW153" i="56"/>
  <c r="AW159" i="56"/>
  <c r="AU160" i="53"/>
  <c r="AO158" i="56"/>
  <c r="AW157" i="56"/>
  <c r="AJ155" i="53"/>
  <c r="AS157" i="56"/>
  <c r="AL160" i="56"/>
  <c r="AH155" i="56"/>
  <c r="AQ156" i="53"/>
  <c r="AT155" i="56"/>
  <c r="AN155" i="56"/>
  <c r="AK157" i="56"/>
  <c r="AS154" i="56"/>
  <c r="AJ159" i="56"/>
  <c r="AO157" i="56"/>
  <c r="AO159" i="56"/>
  <c r="AJ154" i="56"/>
  <c r="AM160" i="56"/>
  <c r="AW154" i="56"/>
  <c r="AR159" i="56"/>
  <c r="AW156" i="56"/>
  <c r="AK154" i="53"/>
  <c r="AS158" i="56"/>
  <c r="AH159" i="56"/>
  <c r="AF159" i="53"/>
  <c r="AQ160" i="56"/>
  <c r="AR187" i="53"/>
  <c r="AR156" i="53"/>
  <c r="AG156" i="53"/>
  <c r="AU155" i="53"/>
  <c r="AG158" i="56"/>
  <c r="AV159" i="56"/>
  <c r="AJ157" i="56"/>
  <c r="AO157" i="53"/>
  <c r="AM155" i="56"/>
  <c r="AH160" i="53"/>
  <c r="AR159" i="53"/>
  <c r="AH157" i="53"/>
  <c r="AK159" i="56"/>
  <c r="AU158" i="56"/>
  <c r="AW154" i="53"/>
  <c r="AO160" i="56"/>
  <c r="AV155" i="56"/>
  <c r="AJ153" i="56"/>
  <c r="AJ161" i="56"/>
  <c r="AM156" i="56"/>
  <c r="AK153" i="56"/>
  <c r="AK161" i="56"/>
  <c r="AF156" i="56"/>
  <c r="AF188" i="56"/>
  <c r="AP159" i="56"/>
  <c r="AP158" i="56"/>
  <c r="AR160" i="56"/>
  <c r="AN156" i="56"/>
  <c r="AU157" i="56"/>
  <c r="AU155" i="56"/>
  <c r="AJ158" i="56"/>
  <c r="AN153" i="56"/>
  <c r="AN161" i="56"/>
  <c r="AF158" i="56"/>
  <c r="AW155" i="56"/>
  <c r="AV158" i="5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</author>
  </authors>
  <commentList>
    <comment ref="L3" authorId="0" shapeId="0" xr:uid="{76C62324-43FF-4BB5-BB5A-83470C1ACD8E}">
      <text>
        <r>
          <rPr>
            <b/>
            <sz val="9"/>
            <color indexed="81"/>
            <rFont val="宋体"/>
            <family val="3"/>
            <charset val="134"/>
          </rPr>
          <t>p:</t>
        </r>
        <r>
          <rPr>
            <sz val="9"/>
            <color indexed="81"/>
            <rFont val="宋体"/>
            <family val="3"/>
            <charset val="134"/>
          </rPr>
          <t xml:space="preserve">
20250108_已修正</t>
        </r>
      </text>
    </comment>
    <comment ref="P3" authorId="0" shapeId="0" xr:uid="{38D7707B-127A-4E5D-9D22-B780F4EF0F18}">
      <text>
        <r>
          <rPr>
            <b/>
            <sz val="9"/>
            <color indexed="81"/>
            <rFont val="宋体"/>
            <family val="3"/>
            <charset val="134"/>
          </rPr>
          <t>p:</t>
        </r>
        <r>
          <rPr>
            <sz val="9"/>
            <color indexed="81"/>
            <rFont val="宋体"/>
            <family val="3"/>
            <charset val="134"/>
          </rPr>
          <t xml:space="preserve">
20250109_已修正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</author>
  </authors>
  <commentList>
    <comment ref="L3" authorId="0" shapeId="0" xr:uid="{D49E7D9A-1AA2-47FE-ABA1-97CD66648AA2}">
      <text>
        <r>
          <rPr>
            <b/>
            <sz val="9"/>
            <color indexed="81"/>
            <rFont val="宋体"/>
            <family val="3"/>
            <charset val="134"/>
          </rPr>
          <t>p:</t>
        </r>
        <r>
          <rPr>
            <sz val="9"/>
            <color indexed="81"/>
            <rFont val="宋体"/>
            <family val="3"/>
            <charset val="134"/>
          </rPr>
          <t xml:space="preserve">
20250108_已修正</t>
        </r>
      </text>
    </comment>
    <comment ref="P3" authorId="0" shapeId="0" xr:uid="{E8C8215D-288E-421A-A635-76304C08CBE3}">
      <text>
        <r>
          <rPr>
            <b/>
            <sz val="9"/>
            <color indexed="81"/>
            <rFont val="宋体"/>
            <family val="3"/>
            <charset val="134"/>
          </rPr>
          <t>p:</t>
        </r>
        <r>
          <rPr>
            <sz val="9"/>
            <color indexed="81"/>
            <rFont val="宋体"/>
            <family val="3"/>
            <charset val="134"/>
          </rPr>
          <t xml:space="preserve">
20250109_结果已更新_Class A1 A2可能需要重新跑一下，因为突然增加了其他方法其他类的编解码，可能会竞争核心数，从而对编解码结果产生影响。</t>
        </r>
      </text>
    </comment>
    <comment ref="B161" authorId="0" shapeId="0" xr:uid="{18849D50-1C64-4CD8-9E7A-F7EE6BAAE31C}">
      <text>
        <r>
          <rPr>
            <b/>
            <sz val="9"/>
            <color indexed="81"/>
            <rFont val="宋体"/>
            <family val="3"/>
            <charset val="134"/>
          </rPr>
          <t>p:</t>
        </r>
        <r>
          <rPr>
            <sz val="9"/>
            <color indexed="81"/>
            <rFont val="宋体"/>
            <family val="3"/>
            <charset val="134"/>
          </rPr>
          <t xml:space="preserve">
250109_数据应该不能说明相关含义，意为错误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</author>
  </authors>
  <commentList>
    <comment ref="L3" authorId="0" shapeId="0" xr:uid="{8681A066-EAF0-45B4-A3C1-03055C1DCE4C}">
      <text>
        <r>
          <rPr>
            <b/>
            <sz val="9"/>
            <color indexed="81"/>
            <rFont val="宋体"/>
            <family val="3"/>
            <charset val="134"/>
          </rPr>
          <t>p:</t>
        </r>
        <r>
          <rPr>
            <sz val="9"/>
            <color indexed="81"/>
            <rFont val="宋体"/>
            <family val="3"/>
            <charset val="134"/>
          </rPr>
          <t xml:space="preserve">
20250108_已修正</t>
        </r>
      </text>
    </comment>
    <comment ref="P3" authorId="0" shapeId="0" xr:uid="{08F17AC7-BDCD-4F59-9C87-D99B376D8ED2}">
      <text>
        <r>
          <rPr>
            <b/>
            <sz val="9"/>
            <color indexed="81"/>
            <rFont val="宋体"/>
            <family val="3"/>
            <charset val="134"/>
          </rPr>
          <t>p:</t>
        </r>
        <r>
          <rPr>
            <sz val="9"/>
            <color indexed="81"/>
            <rFont val="宋体"/>
            <family val="3"/>
            <charset val="134"/>
          </rPr>
          <t xml:space="preserve">
20250108已更新</t>
        </r>
      </text>
    </comment>
  </commentList>
</comments>
</file>

<file path=xl/sharedStrings.xml><?xml version="1.0" encoding="utf-8"?>
<sst xmlns="http://schemas.openxmlformats.org/spreadsheetml/2006/main" count="870" uniqueCount="100">
  <si>
    <t>QPISlice</t>
  </si>
  <si>
    <t>Class B</t>
  </si>
  <si>
    <t>Cactus</t>
  </si>
  <si>
    <t>BasketballDrive</t>
  </si>
  <si>
    <t>BQTerrace</t>
  </si>
  <si>
    <t>Class C</t>
  </si>
  <si>
    <t>Class D</t>
  </si>
  <si>
    <t>Class E</t>
  </si>
  <si>
    <t>All</t>
  </si>
  <si>
    <t>Time geomean</t>
  </si>
  <si>
    <t>Time ratio</t>
  </si>
  <si>
    <t>Time sum (hours)</t>
  </si>
  <si>
    <t>Reference</t>
  </si>
  <si>
    <t>Tested</t>
  </si>
  <si>
    <t>kbps</t>
  </si>
  <si>
    <t>Enc T [s]</t>
  </si>
  <si>
    <t>Enc T [h]</t>
  </si>
  <si>
    <t>BQMall</t>
  </si>
  <si>
    <t>Class F</t>
  </si>
  <si>
    <t>4K</t>
  </si>
  <si>
    <t>1080p</t>
  </si>
  <si>
    <t>WVGA</t>
  </si>
  <si>
    <t>WQVGA</t>
  </si>
  <si>
    <t>ClassE</t>
  </si>
  <si>
    <t>720p</t>
  </si>
  <si>
    <t>ClassF</t>
  </si>
  <si>
    <t>BasketballDrill</t>
  </si>
  <si>
    <t>PartyScene</t>
  </si>
  <si>
    <t>RaceHorses</t>
  </si>
  <si>
    <t>BasketballPass</t>
  </si>
  <si>
    <t>BQSquare</t>
  </si>
  <si>
    <t>BlowingBubbles</t>
  </si>
  <si>
    <t>FourPeople</t>
  </si>
  <si>
    <t>Johnny</t>
  </si>
  <si>
    <t>KristenAndSara</t>
  </si>
  <si>
    <t>BasketballDrillText</t>
  </si>
  <si>
    <t>SlideEditing</t>
  </si>
  <si>
    <t>SlideShow</t>
  </si>
  <si>
    <t>EncR</t>
  </si>
  <si>
    <t>DecR</t>
  </si>
  <si>
    <t>Class A1</t>
  </si>
  <si>
    <t>Class A2</t>
  </si>
  <si>
    <t>Tango2</t>
  </si>
  <si>
    <t>FoodMarket4</t>
  </si>
  <si>
    <t>DaylightRoad2</t>
  </si>
  <si>
    <t>ParkRunning3</t>
  </si>
  <si>
    <t>RitualDance</t>
  </si>
  <si>
    <t>MarketPlace</t>
  </si>
  <si>
    <t>Campfire</t>
  </si>
  <si>
    <t>ArenaOfValor</t>
  </si>
  <si>
    <t>Time sums</t>
  </si>
  <si>
    <t>Time max</t>
  </si>
  <si>
    <t>CatRobot</t>
  </si>
  <si>
    <t>Y msssim</t>
  </si>
  <si>
    <t>U msssim</t>
  </si>
  <si>
    <t>V msssim</t>
  </si>
  <si>
    <t>Y-PSNR</t>
  </si>
  <si>
    <t>U-PSNR</t>
  </si>
  <si>
    <t>V-PSNR</t>
  </si>
  <si>
    <r>
      <t xml:space="preserve">BD-rate4 </t>
    </r>
    <r>
      <rPr>
        <b/>
        <sz val="9"/>
        <color rgb="FF0070C0"/>
        <rFont val="Arial"/>
        <family val="2"/>
      </rPr>
      <t xml:space="preserve">q2345 </t>
    </r>
    <r>
      <rPr>
        <b/>
        <sz val="9"/>
        <color indexed="8"/>
        <rFont val="Arial"/>
        <family val="2"/>
      </rPr>
      <t>(piecewise cubic)</t>
    </r>
  </si>
  <si>
    <r>
      <t xml:space="preserve">BD-rate4 </t>
    </r>
    <r>
      <rPr>
        <b/>
        <sz val="9"/>
        <color rgb="FF0070C0"/>
        <rFont val="Arial"/>
        <family val="2"/>
      </rPr>
      <t>q2345</t>
    </r>
    <r>
      <rPr>
        <b/>
        <sz val="9"/>
        <color indexed="8"/>
        <rFont val="Arial"/>
        <family val="2"/>
      </rPr>
      <t xml:space="preserve">  (piecewise cubic)</t>
    </r>
  </si>
  <si>
    <r>
      <t xml:space="preserve">BD-rate5 </t>
    </r>
    <r>
      <rPr>
        <b/>
        <sz val="9"/>
        <color rgb="FF0070C0"/>
        <rFont val="Arial"/>
        <family val="2"/>
      </rPr>
      <t>q12345</t>
    </r>
    <r>
      <rPr>
        <b/>
        <sz val="9"/>
        <color indexed="8"/>
        <rFont val="Arial"/>
        <family val="2"/>
      </rPr>
      <t xml:space="preserve"> (piecewise cubic)</t>
    </r>
  </si>
  <si>
    <r>
      <t xml:space="preserve">BD-rate5 </t>
    </r>
    <r>
      <rPr>
        <b/>
        <sz val="9"/>
        <color rgb="FF0070C0"/>
        <rFont val="Arial"/>
        <family val="2"/>
      </rPr>
      <t xml:space="preserve">q12345 </t>
    </r>
    <r>
      <rPr>
        <b/>
        <sz val="9"/>
        <color indexed="8"/>
        <rFont val="Arial"/>
        <family val="2"/>
      </rPr>
      <t>(piecewise cubic)</t>
    </r>
  </si>
  <si>
    <t>DIFF</t>
  </si>
  <si>
    <t>ClassH</t>
  </si>
  <si>
    <t>DayStreet</t>
  </si>
  <si>
    <t>FlyingBirds2</t>
  </si>
  <si>
    <t>PeopleInShoppingCenter</t>
  </si>
  <si>
    <t>SunsetBeach2</t>
  </si>
  <si>
    <t>Class H</t>
  </si>
  <si>
    <t xml:space="preserve"> q1234</t>
  </si>
  <si>
    <t>q2345</t>
  </si>
  <si>
    <t>DecCPU T [s]</t>
  </si>
  <si>
    <t>DecGPU T [s]</t>
  </si>
  <si>
    <t xml:space="preserve">CPU </t>
  </si>
  <si>
    <t>GPU</t>
  </si>
  <si>
    <r>
      <t xml:space="preserve">BD-rate4 </t>
    </r>
    <r>
      <rPr>
        <b/>
        <sz val="9"/>
        <color rgb="FF0070C0"/>
        <rFont val="Arial"/>
        <family val="2"/>
      </rPr>
      <t>q1234</t>
    </r>
    <r>
      <rPr>
        <b/>
        <sz val="9"/>
        <color indexed="8"/>
        <rFont val="Arial"/>
        <family val="2"/>
      </rPr>
      <t xml:space="preserve"> (piecewise cubic)</t>
    </r>
  </si>
  <si>
    <t xml:space="preserve"> </t>
    <phoneticPr fontId="23" type="noConversion"/>
  </si>
  <si>
    <t>A2_1</t>
    <phoneticPr fontId="23" type="noConversion"/>
  </si>
  <si>
    <t>A2_2</t>
    <phoneticPr fontId="23" type="noConversion"/>
  </si>
  <si>
    <t>B_0</t>
    <phoneticPr fontId="23" type="noConversion"/>
  </si>
  <si>
    <t>B_1</t>
    <phoneticPr fontId="23" type="noConversion"/>
  </si>
  <si>
    <t>B_2</t>
    <phoneticPr fontId="23" type="noConversion"/>
  </si>
  <si>
    <t>D_0</t>
    <phoneticPr fontId="23" type="noConversion"/>
  </si>
  <si>
    <t>E_0</t>
    <phoneticPr fontId="23" type="noConversion"/>
  </si>
  <si>
    <t>E_2</t>
    <phoneticPr fontId="23" type="noConversion"/>
  </si>
  <si>
    <t>F_1</t>
    <phoneticPr fontId="23" type="noConversion"/>
  </si>
  <si>
    <t>F_2</t>
    <phoneticPr fontId="23" type="noConversion"/>
  </si>
  <si>
    <t>F_3</t>
    <phoneticPr fontId="23" type="noConversion"/>
  </si>
  <si>
    <t>C_1</t>
    <phoneticPr fontId="23" type="noConversion"/>
  </si>
  <si>
    <t>A1_1</t>
    <phoneticPr fontId="23" type="noConversion"/>
  </si>
  <si>
    <t>A1_2</t>
    <phoneticPr fontId="23" type="noConversion"/>
  </si>
  <si>
    <t>A2_0</t>
    <phoneticPr fontId="23" type="noConversion"/>
  </si>
  <si>
    <t>C_2</t>
    <phoneticPr fontId="23" type="noConversion"/>
  </si>
  <si>
    <t>D_1</t>
    <phoneticPr fontId="23" type="noConversion"/>
  </si>
  <si>
    <t>Class</t>
    <phoneticPr fontId="23" type="noConversion"/>
  </si>
  <si>
    <t>All</t>
    <phoneticPr fontId="23" type="noConversion"/>
  </si>
  <si>
    <t>Class</t>
    <phoneticPr fontId="23" type="noConversion"/>
  </si>
  <si>
    <t>Enc</t>
    <phoneticPr fontId="23" type="noConversion"/>
  </si>
  <si>
    <t>Dec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</si>
</sst>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28" x14ac:knownFonts="1">
    <font>
      <sz val="12"/>
      <color theme="1"/>
      <name val="宋体"/>
      <family val="2"/>
      <charset val="129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b/>
      <sz val="9"/>
      <color rgb="FF0070C0"/>
      <name val="Arial"/>
      <family val="2"/>
    </font>
    <font>
      <sz val="11"/>
      <color theme="1"/>
      <name val="宋体"/>
      <family val="2"/>
      <charset val="134"/>
      <scheme val="minor"/>
    </font>
    <font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9"/>
      <color rgb="FFFF0000"/>
      <name val="Arial"/>
      <family val="2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3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4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15" applyNumberFormat="0" applyFill="0" applyAlignment="0" applyProtection="0">
      <alignment vertical="center"/>
    </xf>
    <xf numFmtId="0" fontId="9" fillId="0" borderId="16" applyNumberFormat="0" applyFill="0" applyAlignment="0" applyProtection="0">
      <alignment vertical="center"/>
    </xf>
    <xf numFmtId="0" fontId="10" fillId="0" borderId="17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4" fillId="6" borderId="18" applyNumberFormat="0" applyAlignment="0" applyProtection="0">
      <alignment vertical="center"/>
    </xf>
    <xf numFmtId="0" fontId="15" fillId="7" borderId="19" applyNumberFormat="0" applyAlignment="0" applyProtection="0">
      <alignment vertical="center"/>
    </xf>
    <xf numFmtId="0" fontId="16" fillId="7" borderId="18" applyNumberFormat="0" applyAlignment="0" applyProtection="0">
      <alignment vertical="center"/>
    </xf>
    <xf numFmtId="0" fontId="17" fillId="0" borderId="20" applyNumberFormat="0" applyFill="0" applyAlignment="0" applyProtection="0">
      <alignment vertical="center"/>
    </xf>
    <xf numFmtId="0" fontId="18" fillId="8" borderId="21" applyNumberForma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9" borderId="22" applyNumberFormat="0" applyFon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23" applyNumberFormat="0" applyFill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</cellStyleXfs>
  <cellXfs count="8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2" borderId="3" xfId="0" applyNumberFormat="1" applyFont="1" applyFill="1" applyBorder="1"/>
    <xf numFmtId="176" fontId="1" fillId="2" borderId="4" xfId="0" applyNumberFormat="1" applyFont="1" applyFill="1" applyBorder="1"/>
    <xf numFmtId="176" fontId="1" fillId="2" borderId="5" xfId="0" applyNumberFormat="1" applyFont="1" applyFill="1" applyBorder="1"/>
    <xf numFmtId="2" fontId="1" fillId="0" borderId="0" xfId="0" applyNumberFormat="1" applyFont="1"/>
    <xf numFmtId="0" fontId="1" fillId="0" borderId="7" xfId="0" applyFont="1" applyBorder="1"/>
    <xf numFmtId="176" fontId="1" fillId="2" borderId="8" xfId="0" applyNumberFormat="1" applyFont="1" applyFill="1" applyBorder="1"/>
    <xf numFmtId="176" fontId="1" fillId="2" borderId="0" xfId="0" applyNumberFormat="1" applyFont="1" applyFill="1"/>
    <xf numFmtId="176" fontId="1" fillId="2" borderId="9" xfId="0" applyNumberFormat="1" applyFont="1" applyFill="1" applyBorder="1"/>
    <xf numFmtId="0" fontId="1" fillId="0" borderId="10" xfId="0" applyFont="1" applyBorder="1"/>
    <xf numFmtId="176" fontId="1" fillId="2" borderId="11" xfId="0" applyNumberFormat="1" applyFont="1" applyFill="1" applyBorder="1"/>
    <xf numFmtId="176" fontId="1" fillId="2" borderId="12" xfId="0" applyNumberFormat="1" applyFont="1" applyFill="1" applyBorder="1"/>
    <xf numFmtId="176" fontId="1" fillId="2" borderId="13" xfId="0" applyNumberFormat="1" applyFont="1" applyFill="1" applyBorder="1"/>
    <xf numFmtId="10" fontId="1" fillId="0" borderId="0" xfId="0" applyNumberFormat="1" applyFont="1"/>
    <xf numFmtId="176" fontId="1" fillId="0" borderId="0" xfId="0" applyNumberFormat="1" applyFont="1"/>
    <xf numFmtId="9" fontId="1" fillId="0" borderId="0" xfId="0" applyNumberFormat="1" applyFont="1"/>
    <xf numFmtId="0" fontId="2" fillId="0" borderId="0" xfId="0" applyFont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0" fontId="1" fillId="0" borderId="8" xfId="0" applyNumberFormat="1" applyFont="1" applyBorder="1"/>
    <xf numFmtId="10" fontId="1" fillId="0" borderId="11" xfId="0" applyNumberFormat="1" applyFont="1" applyBorder="1"/>
    <xf numFmtId="10" fontId="1" fillId="0" borderId="8" xfId="0" applyNumberFormat="1" applyFont="1" applyBorder="1" applyAlignment="1">
      <alignment horizontal="center"/>
    </xf>
    <xf numFmtId="10" fontId="1" fillId="0" borderId="1" xfId="0" applyNumberFormat="1" applyFont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0" xfId="0" applyNumberFormat="1" applyFont="1" applyAlignment="1">
      <alignment horizontal="center"/>
    </xf>
    <xf numFmtId="10" fontId="1" fillId="0" borderId="9" xfId="0" applyNumberFormat="1" applyFont="1" applyBorder="1" applyAlignment="1">
      <alignment horizontal="center"/>
    </xf>
    <xf numFmtId="0" fontId="1" fillId="0" borderId="5" xfId="0" applyFont="1" applyBorder="1"/>
    <xf numFmtId="0" fontId="1" fillId="0" borderId="4" xfId="0" applyFont="1" applyBorder="1"/>
    <xf numFmtId="10" fontId="1" fillId="0" borderId="9" xfId="0" applyNumberFormat="1" applyFont="1" applyBorder="1"/>
    <xf numFmtId="10" fontId="1" fillId="0" borderId="12" xfId="0" applyNumberFormat="1" applyFont="1" applyBorder="1"/>
    <xf numFmtId="10" fontId="1" fillId="0" borderId="13" xfId="0" applyNumberFormat="1" applyFont="1" applyBorder="1"/>
    <xf numFmtId="0" fontId="1" fillId="0" borderId="3" xfId="0" applyFont="1" applyBorder="1"/>
    <xf numFmtId="2" fontId="1" fillId="0" borderId="4" xfId="0" applyNumberFormat="1" applyFont="1" applyBorder="1"/>
    <xf numFmtId="2" fontId="1" fillId="0" borderId="12" xfId="0" applyNumberFormat="1" applyFont="1" applyBorder="1"/>
    <xf numFmtId="2" fontId="1" fillId="0" borderId="2" xfId="0" applyNumberFormat="1" applyFont="1" applyBorder="1"/>
    <xf numFmtId="0" fontId="1" fillId="0" borderId="8" xfId="0" applyFont="1" applyBorder="1"/>
    <xf numFmtId="0" fontId="1" fillId="0" borderId="11" xfId="0" applyFont="1" applyBorder="1"/>
    <xf numFmtId="10" fontId="1" fillId="0" borderId="3" xfId="0" applyNumberFormat="1" applyFont="1" applyBorder="1"/>
    <xf numFmtId="10" fontId="1" fillId="0" borderId="4" xfId="0" applyNumberFormat="1" applyFont="1" applyBorder="1"/>
    <xf numFmtId="10" fontId="1" fillId="0" borderId="5" xfId="0" applyNumberFormat="1" applyFont="1" applyBorder="1"/>
    <xf numFmtId="0" fontId="1" fillId="34" borderId="6" xfId="0" applyFont="1" applyFill="1" applyBorder="1"/>
    <xf numFmtId="0" fontId="24" fillId="34" borderId="4" xfId="0" applyFont="1" applyFill="1" applyBorder="1" applyAlignment="1">
      <alignment horizontal="center"/>
    </xf>
    <xf numFmtId="0" fontId="1" fillId="2" borderId="4" xfId="0" applyFont="1" applyFill="1" applyBorder="1"/>
    <xf numFmtId="0" fontId="1" fillId="2" borderId="0" xfId="0" applyFont="1" applyFill="1"/>
    <xf numFmtId="0" fontId="1" fillId="2" borderId="12" xfId="0" applyFont="1" applyFill="1" applyBorder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34" borderId="7" xfId="0" applyFont="1" applyFill="1" applyBorder="1"/>
    <xf numFmtId="0" fontId="1" fillId="34" borderId="0" xfId="0" applyFont="1" applyFill="1"/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/>
    </xf>
    <xf numFmtId="0" fontId="0" fillId="38" borderId="0" xfId="0" applyFill="1"/>
    <xf numFmtId="0" fontId="24" fillId="0" borderId="1" xfId="0" applyFont="1" applyBorder="1"/>
    <xf numFmtId="0" fontId="24" fillId="0" borderId="2" xfId="0" applyFont="1" applyBorder="1"/>
    <xf numFmtId="2" fontId="24" fillId="0" borderId="2" xfId="0" applyNumberFormat="1" applyFont="1" applyBorder="1"/>
    <xf numFmtId="10" fontId="24" fillId="0" borderId="1" xfId="0" applyNumberFormat="1" applyFont="1" applyBorder="1" applyAlignment="1">
      <alignment horizontal="center"/>
    </xf>
    <xf numFmtId="0" fontId="24" fillId="0" borderId="0" xfId="0" applyFont="1"/>
    <xf numFmtId="2" fontId="27" fillId="39" borderId="0" xfId="0" applyNumberFormat="1" applyFont="1" applyFill="1"/>
    <xf numFmtId="2" fontId="1" fillId="39" borderId="0" xfId="0" applyNumberFormat="1" applyFont="1" applyFill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25" xfId="0" applyFont="1" applyBorder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10" fontId="1" fillId="0" borderId="24" xfId="0" applyNumberFormat="1" applyFont="1" applyBorder="1" applyAlignment="1">
      <alignment horizontal="center" vertical="center"/>
    </xf>
    <xf numFmtId="10" fontId="1" fillId="0" borderId="29" xfId="0" applyNumberFormat="1" applyFont="1" applyBorder="1" applyAlignment="1">
      <alignment horizontal="center" vertical="center"/>
    </xf>
    <xf numFmtId="10" fontId="1" fillId="0" borderId="30" xfId="0" applyNumberFormat="1" applyFont="1" applyBorder="1" applyAlignment="1">
      <alignment horizontal="center" vertical="center"/>
    </xf>
    <xf numFmtId="10" fontId="1" fillId="0" borderId="26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</cellXfs>
  <cellStyles count="47">
    <cellStyle name="20% - Accent1 2" xfId="24" xr:uid="{00000000-0005-0000-0000-000000000000}"/>
    <cellStyle name="20% - Accent2 2" xfId="28" xr:uid="{00000000-0005-0000-0000-000001000000}"/>
    <cellStyle name="20% - Accent3 2" xfId="32" xr:uid="{00000000-0005-0000-0000-000002000000}"/>
    <cellStyle name="20% - Accent4 2" xfId="36" xr:uid="{00000000-0005-0000-0000-000003000000}"/>
    <cellStyle name="20% - Accent5 2" xfId="40" xr:uid="{00000000-0005-0000-0000-000004000000}"/>
    <cellStyle name="20% - Accent6 2" xfId="44" xr:uid="{00000000-0005-0000-0000-000005000000}"/>
    <cellStyle name="40% - Accent1 2" xfId="25" xr:uid="{00000000-0005-0000-0000-000006000000}"/>
    <cellStyle name="40% - Accent2 2" xfId="29" xr:uid="{00000000-0005-0000-0000-000007000000}"/>
    <cellStyle name="40% - Accent3 2" xfId="33" xr:uid="{00000000-0005-0000-0000-000008000000}"/>
    <cellStyle name="40% - Accent4 2" xfId="37" xr:uid="{00000000-0005-0000-0000-000009000000}"/>
    <cellStyle name="40% - Accent5 2" xfId="41" xr:uid="{00000000-0005-0000-0000-00000A000000}"/>
    <cellStyle name="40% - Accent6 2" xfId="45" xr:uid="{00000000-0005-0000-0000-00000B000000}"/>
    <cellStyle name="60% - Accent1 2" xfId="26" xr:uid="{00000000-0005-0000-0000-00000C000000}"/>
    <cellStyle name="60% - Accent2 2" xfId="30" xr:uid="{00000000-0005-0000-0000-00000D000000}"/>
    <cellStyle name="60% - Accent3 2" xfId="34" xr:uid="{00000000-0005-0000-0000-00000E000000}"/>
    <cellStyle name="60% - Accent4 2" xfId="38" xr:uid="{00000000-0005-0000-0000-00000F000000}"/>
    <cellStyle name="60% - Accent5 2" xfId="42" xr:uid="{00000000-0005-0000-0000-000010000000}"/>
    <cellStyle name="60% - Accent6 2" xfId="46" xr:uid="{00000000-0005-0000-0000-000011000000}"/>
    <cellStyle name="Accent1 2" xfId="23" xr:uid="{00000000-0005-0000-0000-000012000000}"/>
    <cellStyle name="Accent2 2" xfId="27" xr:uid="{00000000-0005-0000-0000-000013000000}"/>
    <cellStyle name="Accent3 2" xfId="31" xr:uid="{00000000-0005-0000-0000-000014000000}"/>
    <cellStyle name="Accent4 2" xfId="35" xr:uid="{00000000-0005-0000-0000-000015000000}"/>
    <cellStyle name="Accent5 2" xfId="39" xr:uid="{00000000-0005-0000-0000-000016000000}"/>
    <cellStyle name="Accent6 2" xfId="43" xr:uid="{00000000-0005-0000-0000-000017000000}"/>
    <cellStyle name="Bad 2" xfId="12" xr:uid="{00000000-0005-0000-0000-000018000000}"/>
    <cellStyle name="Calculation 2" xfId="16" xr:uid="{00000000-0005-0000-0000-000019000000}"/>
    <cellStyle name="Check Cell 2" xfId="18" xr:uid="{00000000-0005-0000-0000-00001A000000}"/>
    <cellStyle name="Explanatory Text 2" xfId="21" xr:uid="{00000000-0005-0000-0000-00001B000000}"/>
    <cellStyle name="Good 2" xfId="11" xr:uid="{00000000-0005-0000-0000-00001E000000}"/>
    <cellStyle name="Heading 1 2" xfId="7" xr:uid="{00000000-0005-0000-0000-00001F000000}"/>
    <cellStyle name="Heading 2 2" xfId="8" xr:uid="{00000000-0005-0000-0000-000020000000}"/>
    <cellStyle name="Heading 3 2" xfId="9" xr:uid="{00000000-0005-0000-0000-000021000000}"/>
    <cellStyle name="Heading 4 2" xfId="10" xr:uid="{00000000-0005-0000-0000-000022000000}"/>
    <cellStyle name="Input 2" xfId="14" xr:uid="{00000000-0005-0000-0000-000025000000}"/>
    <cellStyle name="Linked Cell 2" xfId="17" xr:uid="{00000000-0005-0000-0000-000026000000}"/>
    <cellStyle name="Neutral 2" xfId="13" xr:uid="{00000000-0005-0000-0000-000027000000}"/>
    <cellStyle name="Normal 2" xfId="5" xr:uid="{00000000-0005-0000-0000-000029000000}"/>
    <cellStyle name="Note 2" xfId="20" xr:uid="{00000000-0005-0000-0000-00002A000000}"/>
    <cellStyle name="Output 2" xfId="15" xr:uid="{00000000-0005-0000-0000-00002B000000}"/>
    <cellStyle name="Title 2" xfId="6" xr:uid="{00000000-0005-0000-0000-00002C000000}"/>
    <cellStyle name="Total 2" xfId="22" xr:uid="{00000000-0005-0000-0000-00002D000000}"/>
    <cellStyle name="Warning Text 2" xfId="19" xr:uid="{00000000-0005-0000-0000-00002E000000}"/>
    <cellStyle name="常规" xfId="0" builtinId="0"/>
    <cellStyle name="超链接" xfId="1" builtinId="8" hidden="1"/>
    <cellStyle name="超链接" xfId="3" builtinId="8" hidden="1"/>
    <cellStyle name="已访问的超链接" xfId="2" builtinId="9" hidden="1"/>
    <cellStyle name="已访问的超链接" xfId="4" builtinId="9" hidden="1"/>
  </cellStyles>
  <dxfs count="7372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AAAA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A113A-B59C-424C-AF52-8B4643077050}">
  <sheetPr codeName="Sheet21">
    <tabColor rgb="FF92D050"/>
  </sheetPr>
  <dimension ref="A1:BD209"/>
  <sheetViews>
    <sheetView topLeftCell="G163" zoomScale="85" zoomScaleNormal="85" workbookViewId="0">
      <selection activeCell="AG169" sqref="AG169:AI174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49" width="8.75" style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16384" width="10.75" style="1"/>
  </cols>
  <sheetData>
    <row r="1" spans="1:56" ht="12.75" thickBot="1" x14ac:dyDescent="0.25">
      <c r="D1" s="68" t="s">
        <v>12</v>
      </c>
      <c r="E1" s="69"/>
      <c r="F1" s="69"/>
      <c r="G1" s="69"/>
      <c r="H1" s="69"/>
      <c r="I1" s="69"/>
      <c r="J1" s="69"/>
      <c r="K1" s="69"/>
      <c r="L1" s="69"/>
      <c r="M1" s="69"/>
      <c r="N1" s="70"/>
      <c r="P1" s="68" t="s">
        <v>13</v>
      </c>
      <c r="Q1" s="69"/>
      <c r="R1" s="69"/>
      <c r="S1" s="69"/>
      <c r="T1" s="69"/>
      <c r="U1" s="69"/>
      <c r="V1" s="69"/>
      <c r="W1" s="69"/>
      <c r="X1" s="69"/>
      <c r="Y1" s="69"/>
      <c r="Z1" s="70"/>
      <c r="AA1" s="24"/>
      <c r="AB1" s="24" t="s">
        <v>74</v>
      </c>
      <c r="AC1" s="24" t="s">
        <v>75</v>
      </c>
      <c r="AD1" s="24"/>
      <c r="AE1" s="2"/>
      <c r="AF1" s="68" t="s">
        <v>62</v>
      </c>
      <c r="AG1" s="69"/>
      <c r="AH1" s="70"/>
      <c r="AI1" s="68" t="s">
        <v>61</v>
      </c>
      <c r="AJ1" s="69"/>
      <c r="AK1" s="70"/>
      <c r="AL1" s="68" t="s">
        <v>59</v>
      </c>
      <c r="AM1" s="69"/>
      <c r="AN1" s="70"/>
      <c r="AO1" s="68" t="s">
        <v>60</v>
      </c>
      <c r="AP1" s="69"/>
      <c r="AQ1" s="70"/>
      <c r="AR1" s="68" t="s">
        <v>76</v>
      </c>
      <c r="AS1" s="69"/>
      <c r="AT1" s="70"/>
      <c r="AU1" s="68" t="s">
        <v>76</v>
      </c>
      <c r="AV1" s="69"/>
      <c r="AW1" s="70"/>
      <c r="AX1" s="71" t="s">
        <v>71</v>
      </c>
      <c r="AY1" s="72"/>
      <c r="AZ1" s="24"/>
      <c r="BA1" s="72" t="s">
        <v>70</v>
      </c>
      <c r="BB1" s="72"/>
    </row>
    <row r="2" spans="1:56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6" ht="15.75" thickBot="1" x14ac:dyDescent="0.25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44.239800000000002</v>
      </c>
      <c r="F3" s="55">
        <v>46.102600000000002</v>
      </c>
      <c r="G3" s="55">
        <v>44.088500000000003</v>
      </c>
      <c r="H3" s="55">
        <v>0.99632900000000002</v>
      </c>
      <c r="I3" s="55">
        <v>0.99844650000000001</v>
      </c>
      <c r="J3" s="55">
        <v>0.9950928</v>
      </c>
      <c r="K3" s="55">
        <v>3059.55</v>
      </c>
      <c r="L3" s="55">
        <v>1.242</v>
      </c>
      <c r="M3" s="10" t="e">
        <f>#REF!</f>
        <v>#REF!</v>
      </c>
      <c r="N3" s="11">
        <f t="shared" ref="N3:N66" si="0">K3/3600</f>
        <v>0.84987500000000005</v>
      </c>
      <c r="P3" s="60">
        <v>20719.89</v>
      </c>
      <c r="Q3" s="60">
        <v>44.236400000000003</v>
      </c>
      <c r="R3" s="60">
        <v>46.1004</v>
      </c>
      <c r="S3" s="60">
        <v>44.091000000000001</v>
      </c>
      <c r="T3" s="60">
        <v>0.99632339999999997</v>
      </c>
      <c r="U3" s="60">
        <v>0.99844999999999995</v>
      </c>
      <c r="V3" s="60">
        <v>0.99511090000000002</v>
      </c>
      <c r="W3" s="60">
        <v>3933.489</v>
      </c>
      <c r="X3" s="60">
        <v>1.1930000000000001</v>
      </c>
      <c r="Y3" s="10" t="e">
        <f>#REF!</f>
        <v>#REF!</v>
      </c>
      <c r="Z3" s="11">
        <f>W3/3600</f>
        <v>1.0926358333333333</v>
      </c>
      <c r="AA3" s="10">
        <f>W3/K3</f>
        <v>1.2856429867137324</v>
      </c>
      <c r="AB3" s="10">
        <f>X3/L3</f>
        <v>0.96054750402576494</v>
      </c>
      <c r="AC3" s="10" t="e">
        <f t="shared" ref="AB3:AC18" si="1">Y3/M3</f>
        <v>#REF!</v>
      </c>
      <c r="AD3" s="11">
        <f>ABS(P3-D3)/D3</f>
        <v>7.8179630731495026E-5</v>
      </c>
      <c r="AE3" s="40"/>
      <c r="AF3" s="25">
        <f t="shared" ref="AF3:AK3" si="2">bdRateExtend($D3:$D7,E3:E7,$P3:$P7,Q3:Q7)</f>
        <v>1.9054510670621916E-3</v>
      </c>
      <c r="AG3" s="30">
        <f t="shared" si="2"/>
        <v>-3.740665241191321E-3</v>
      </c>
      <c r="AH3" s="31">
        <f t="shared" si="2"/>
        <v>2.2579214090150401E-3</v>
      </c>
      <c r="AI3" s="25">
        <f t="shared" si="2"/>
        <v>3.1709365714569504E-3</v>
      </c>
      <c r="AJ3" s="30">
        <f t="shared" si="2"/>
        <v>3.3330062751002476E-3</v>
      </c>
      <c r="AK3" s="30">
        <f t="shared" si="2"/>
        <v>5.4999950884304649E-3</v>
      </c>
      <c r="AL3" s="39"/>
      <c r="AM3" s="35"/>
      <c r="AN3" s="34"/>
      <c r="AO3" s="35"/>
      <c r="AP3" s="35"/>
      <c r="AQ3" s="34"/>
      <c r="AR3" s="30">
        <f t="shared" ref="AR3:AW3" si="3">bdrate($D3:$D6,E3:E6,$P3:$P6,Q3:Q6)</f>
        <v>1.4511416293085944E-3</v>
      </c>
      <c r="AS3" s="30">
        <f t="shared" si="3"/>
        <v>-3.0958083929428781E-3</v>
      </c>
      <c r="AT3" s="31">
        <f t="shared" si="3"/>
        <v>6.2068384671776222E-4</v>
      </c>
      <c r="AU3" s="25">
        <f t="shared" si="3"/>
        <v>3.1672872929620066E-3</v>
      </c>
      <c r="AV3" s="30">
        <f t="shared" si="3"/>
        <v>5.3946401392834797E-3</v>
      </c>
      <c r="AW3" s="31">
        <f t="shared" si="3"/>
        <v>4.8843420896054202E-3</v>
      </c>
      <c r="AX3" s="10"/>
      <c r="AY3" s="10"/>
      <c r="AZ3" s="10"/>
      <c r="BA3" s="10">
        <f>V3/J3</f>
        <v>1.0000181892583284</v>
      </c>
      <c r="BB3" s="10">
        <f t="shared" ref="BB3:BB6" si="4">X3/L3</f>
        <v>0.96054750402576494</v>
      </c>
      <c r="BC3" s="10">
        <f>Z3/N3</f>
        <v>1.2856429867137322</v>
      </c>
      <c r="BD3" s="1">
        <f>IF((((AF3&lt;0)*AND(AL4&lt;0)*AND(AR3&lt;0))),1,0)</f>
        <v>0</v>
      </c>
    </row>
    <row r="4" spans="1:56" ht="15.75" thickBot="1" x14ac:dyDescent="0.25">
      <c r="A4" s="13" t="s">
        <v>19</v>
      </c>
      <c r="C4" s="43">
        <v>27</v>
      </c>
      <c r="D4" s="55">
        <v>8912.9699999999993</v>
      </c>
      <c r="E4" s="55">
        <v>40.548000000000002</v>
      </c>
      <c r="F4" s="55">
        <v>41.638399999999997</v>
      </c>
      <c r="G4" s="55">
        <v>41.7958</v>
      </c>
      <c r="H4" s="55">
        <v>0.99178750000000004</v>
      </c>
      <c r="I4" s="55">
        <v>0.99628289999999997</v>
      </c>
      <c r="J4" s="55">
        <v>0.99012350000000005</v>
      </c>
      <c r="K4" s="55">
        <v>1403.4059999999999</v>
      </c>
      <c r="L4" s="55">
        <v>0.88800000000000001</v>
      </c>
      <c r="M4" s="15" t="e">
        <f>#REF!</f>
        <v>#REF!</v>
      </c>
      <c r="N4" s="16">
        <f t="shared" si="0"/>
        <v>0.38983499999999999</v>
      </c>
      <c r="P4" s="60">
        <v>8907.2099999999991</v>
      </c>
      <c r="Q4" s="60">
        <v>40.543599999999998</v>
      </c>
      <c r="R4" s="60">
        <v>41.6402</v>
      </c>
      <c r="S4" s="60">
        <v>41.790100000000002</v>
      </c>
      <c r="T4" s="60">
        <v>0.99176850000000005</v>
      </c>
      <c r="U4" s="60">
        <v>0.99624550000000001</v>
      </c>
      <c r="V4" s="60">
        <v>0.99011709999999997</v>
      </c>
      <c r="W4" s="60">
        <v>2933.7359999999999</v>
      </c>
      <c r="X4" s="60">
        <v>0.94</v>
      </c>
      <c r="Y4" s="15" t="e">
        <f>#REF!</f>
        <v>#REF!</v>
      </c>
      <c r="Z4" s="16">
        <f t="shared" ref="Z4:Z67" si="5">W4/3600</f>
        <v>0.81492666666666658</v>
      </c>
      <c r="AA4" s="10">
        <f t="shared" ref="AA4:AA67" si="6">W4/K4</f>
        <v>2.0904399724669838</v>
      </c>
      <c r="AB4" s="15">
        <f t="shared" si="1"/>
        <v>1.0585585585585584</v>
      </c>
      <c r="AC4" s="15" t="e">
        <f t="shared" si="1"/>
        <v>#REF!</v>
      </c>
      <c r="AD4" s="16">
        <f t="shared" ref="AD4:AD67" si="7">ABS(P4-D4)/D4</f>
        <v>6.4624923005465284E-4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2.9080443317477389E-3</v>
      </c>
      <c r="AM4" s="21">
        <f>bdrate($D4:$D7,F4:F7,$P4:$P7,R4:R7)</f>
        <v>-6.5605416427185759E-3</v>
      </c>
      <c r="AN4" s="36">
        <f t="shared" ref="AN4" si="8">bdrate($D4:$D7,G4:G7,$P4:$P7,S4:S7)</f>
        <v>2.4753138750051029E-3</v>
      </c>
      <c r="AO4" s="26">
        <f>bdrate($D4:$D7,H4:H7,$P4:$P7,T4:T7)</f>
        <v>3.3351927606715126E-3</v>
      </c>
      <c r="AP4" s="21">
        <f>bdrate($D4:$D7,I4:I7,$P4:$P7,U4:U7)</f>
        <v>2.6888188820342052E-3</v>
      </c>
      <c r="AQ4" s="36">
        <f>bdrate($D4:$D7,J4:J7,$P4:$P7,V4:V7)</f>
        <v>6.8733843552115648E-3</v>
      </c>
      <c r="AR4" s="21"/>
      <c r="AS4" s="21"/>
      <c r="AT4" s="36"/>
      <c r="AU4" s="26"/>
      <c r="AV4" s="21"/>
      <c r="AW4" s="36"/>
      <c r="AX4" s="15">
        <f>V4/J4</f>
        <v>0.99999353615988296</v>
      </c>
      <c r="AY4" s="15">
        <f t="shared" ref="AY4:AY7" si="9">X4/L4</f>
        <v>1.0585585585585584</v>
      </c>
      <c r="AZ4" s="15">
        <f t="shared" ref="AZ4:AZ67" si="10">Z4/N4</f>
        <v>2.0904399724669838</v>
      </c>
      <c r="BA4" s="15">
        <f>V4/J4</f>
        <v>0.99999353615988296</v>
      </c>
      <c r="BB4" s="15">
        <f t="shared" si="4"/>
        <v>1.0585585585585584</v>
      </c>
      <c r="BC4" s="15">
        <f t="shared" ref="BC4:BC66" si="11">Z4/N4</f>
        <v>2.0904399724669838</v>
      </c>
      <c r="BD4" s="1">
        <f t="shared" ref="BD4:BD67" si="12">IF((((AF4&lt;0)*AND(AL5&lt;0)*AND(AR4&lt;0))),1,0)</f>
        <v>0</v>
      </c>
    </row>
    <row r="5" spans="1:56" ht="15.75" thickBot="1" x14ac:dyDescent="0.25">
      <c r="A5" s="13"/>
      <c r="B5" s="13"/>
      <c r="C5" s="43">
        <v>32</v>
      </c>
      <c r="D5" s="55">
        <v>3204.96</v>
      </c>
      <c r="E5" s="55">
        <v>37.942300000000003</v>
      </c>
      <c r="F5" s="55">
        <v>38.435200000000002</v>
      </c>
      <c r="G5" s="55">
        <v>40.023400000000002</v>
      </c>
      <c r="H5" s="55">
        <v>0.98378010000000005</v>
      </c>
      <c r="I5" s="55">
        <v>0.99220940000000002</v>
      </c>
      <c r="J5" s="55">
        <v>0.98425879999999999</v>
      </c>
      <c r="K5" s="55">
        <v>663.32399999999996</v>
      </c>
      <c r="L5" s="55">
        <v>0.63800000000000001</v>
      </c>
      <c r="M5" s="15" t="e">
        <f>#REF!</f>
        <v>#REF!</v>
      </c>
      <c r="N5" s="16">
        <f t="shared" si="0"/>
        <v>0.18425666666666665</v>
      </c>
      <c r="P5" s="60">
        <v>3203.61</v>
      </c>
      <c r="Q5" s="60">
        <v>37.9345</v>
      </c>
      <c r="R5" s="60">
        <v>38.458100000000002</v>
      </c>
      <c r="S5" s="60">
        <v>40.027999999999999</v>
      </c>
      <c r="T5" s="60">
        <v>0.98373900000000003</v>
      </c>
      <c r="U5" s="60">
        <v>0.99218799999999996</v>
      </c>
      <c r="V5" s="60">
        <v>0.98419239999999997</v>
      </c>
      <c r="W5" s="60">
        <v>2018.163</v>
      </c>
      <c r="X5" s="60">
        <v>0.74399999999999999</v>
      </c>
      <c r="Y5" s="15" t="e">
        <f>#REF!</f>
        <v>#REF!</v>
      </c>
      <c r="Z5" s="16">
        <f t="shared" si="5"/>
        <v>0.56060083333333333</v>
      </c>
      <c r="AA5" s="10">
        <f t="shared" si="6"/>
        <v>3.0424995929590972</v>
      </c>
      <c r="AB5" s="15">
        <f t="shared" si="1"/>
        <v>1.1661442006269591</v>
      </c>
      <c r="AC5" s="15" t="e">
        <f t="shared" si="1"/>
        <v>#REF!</v>
      </c>
      <c r="AD5" s="16">
        <f t="shared" si="7"/>
        <v>4.2122210573608066E-4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>
        <f>V5/J5</f>
        <v>0.99993253806823978</v>
      </c>
      <c r="AY5" s="15">
        <f t="shared" si="9"/>
        <v>1.1661442006269591</v>
      </c>
      <c r="AZ5" s="15">
        <f t="shared" si="10"/>
        <v>3.0424995929590972</v>
      </c>
      <c r="BA5" s="15">
        <f>V5/J5</f>
        <v>0.99993253806823978</v>
      </c>
      <c r="BB5" s="15">
        <f t="shared" si="4"/>
        <v>1.1661442006269591</v>
      </c>
      <c r="BC5" s="15">
        <f t="shared" si="11"/>
        <v>3.0424995929590972</v>
      </c>
      <c r="BD5" s="1">
        <f t="shared" si="12"/>
        <v>0</v>
      </c>
    </row>
    <row r="6" spans="1:56" ht="15.75" thickBot="1" x14ac:dyDescent="0.25">
      <c r="A6" s="13"/>
      <c r="B6" s="13"/>
      <c r="C6" s="43">
        <v>37</v>
      </c>
      <c r="D6" s="55">
        <v>1668.39</v>
      </c>
      <c r="E6" s="55">
        <v>36.4086</v>
      </c>
      <c r="F6" s="55">
        <v>36.528700000000001</v>
      </c>
      <c r="G6" s="55">
        <v>38.287399999999998</v>
      </c>
      <c r="H6" s="55">
        <v>0.97274179999999999</v>
      </c>
      <c r="I6" s="55">
        <v>0.98665700000000001</v>
      </c>
      <c r="J6" s="55">
        <v>0.97564910000000005</v>
      </c>
      <c r="K6" s="55">
        <v>334.32900000000001</v>
      </c>
      <c r="L6" s="55">
        <v>0.56200000000000006</v>
      </c>
      <c r="M6" s="15" t="e">
        <f>#REF!</f>
        <v>#REF!</v>
      </c>
      <c r="N6" s="16">
        <f t="shared" si="0"/>
        <v>9.2869166666666669E-2</v>
      </c>
      <c r="P6" s="60">
        <v>1675.95</v>
      </c>
      <c r="Q6" s="60">
        <v>36.409100000000002</v>
      </c>
      <c r="R6" s="60">
        <v>36.562600000000003</v>
      </c>
      <c r="S6" s="60">
        <v>38.281100000000002</v>
      </c>
      <c r="T6" s="60">
        <v>0.97275800000000001</v>
      </c>
      <c r="U6" s="60">
        <v>0.9866665</v>
      </c>
      <c r="V6" s="60">
        <v>0.9755547</v>
      </c>
      <c r="W6" s="60">
        <v>1289.741</v>
      </c>
      <c r="X6" s="60">
        <v>2.125</v>
      </c>
      <c r="Y6" s="15" t="e">
        <f>#REF!</f>
        <v>#REF!</v>
      </c>
      <c r="Z6" s="16">
        <f t="shared" si="5"/>
        <v>0.35826138888888887</v>
      </c>
      <c r="AA6" s="10">
        <f t="shared" si="6"/>
        <v>3.8577000499507967</v>
      </c>
      <c r="AB6" s="15">
        <f t="shared" si="1"/>
        <v>3.7811387900355866</v>
      </c>
      <c r="AC6" s="15" t="e">
        <f t="shared" si="1"/>
        <v>#REF!</v>
      </c>
      <c r="AD6" s="16">
        <f t="shared" si="7"/>
        <v>4.5313146206821817E-3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>
        <f>V6/J6</f>
        <v>0.99990324390193153</v>
      </c>
      <c r="AY6" s="15">
        <f t="shared" si="9"/>
        <v>3.7811387900355866</v>
      </c>
      <c r="AZ6" s="15">
        <f t="shared" si="10"/>
        <v>3.8577000499507967</v>
      </c>
      <c r="BA6" s="15">
        <f>V6/J6</f>
        <v>0.99990324390193153</v>
      </c>
      <c r="BB6" s="15">
        <f t="shared" si="4"/>
        <v>3.7811387900355866</v>
      </c>
      <c r="BC6" s="15">
        <f t="shared" si="11"/>
        <v>3.8577000499507967</v>
      </c>
      <c r="BD6" s="1">
        <f t="shared" si="12"/>
        <v>0</v>
      </c>
    </row>
    <row r="7" spans="1:56" ht="15.75" thickBot="1" x14ac:dyDescent="0.25">
      <c r="A7" s="13"/>
      <c r="B7" s="17"/>
      <c r="C7" s="44">
        <v>42</v>
      </c>
      <c r="D7" s="55">
        <v>894.09</v>
      </c>
      <c r="E7" s="55">
        <v>34.755000000000003</v>
      </c>
      <c r="F7" s="55">
        <v>34.719799999999999</v>
      </c>
      <c r="G7" s="55">
        <v>36.784799999999997</v>
      </c>
      <c r="H7" s="55">
        <v>0.95664990000000005</v>
      </c>
      <c r="I7" s="55">
        <v>0.97702540000000004</v>
      </c>
      <c r="J7" s="55">
        <v>0.96380010000000005</v>
      </c>
      <c r="K7" s="55">
        <v>172.547</v>
      </c>
      <c r="L7" s="55">
        <v>0.48899999999999999</v>
      </c>
      <c r="M7" s="19" t="e">
        <f>#REF!</f>
        <v>#REF!</v>
      </c>
      <c r="N7" s="20">
        <f t="shared" si="0"/>
        <v>4.7929722222222221E-2</v>
      </c>
      <c r="P7" s="60">
        <v>893.79</v>
      </c>
      <c r="Q7" s="60">
        <v>34.745699999999999</v>
      </c>
      <c r="R7" s="60">
        <v>34.741900000000001</v>
      </c>
      <c r="S7" s="60">
        <v>36.771700000000003</v>
      </c>
      <c r="T7" s="60">
        <v>0.95654749999999999</v>
      </c>
      <c r="U7" s="60">
        <v>0.97711579999999998</v>
      </c>
      <c r="V7" s="60">
        <v>0.96382270000000003</v>
      </c>
      <c r="W7" s="60">
        <v>794.91399999999999</v>
      </c>
      <c r="X7" s="60">
        <v>0.52900000000000003</v>
      </c>
      <c r="Y7" s="19" t="e">
        <f>#REF!</f>
        <v>#REF!</v>
      </c>
      <c r="Z7" s="20">
        <f t="shared" si="5"/>
        <v>0.22080944444444445</v>
      </c>
      <c r="AA7" s="10">
        <f t="shared" si="6"/>
        <v>4.606941876706057</v>
      </c>
      <c r="AB7" s="15">
        <f t="shared" si="1"/>
        <v>1.081799591002045</v>
      </c>
      <c r="AC7" s="15" t="e">
        <f t="shared" si="1"/>
        <v>#REF!</v>
      </c>
      <c r="AD7" s="20">
        <f t="shared" si="7"/>
        <v>3.3553669093723028E-4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>
        <f>V7/J7</f>
        <v>1.0000234488458759</v>
      </c>
      <c r="AY7" s="15">
        <f t="shared" si="9"/>
        <v>1.081799591002045</v>
      </c>
      <c r="AZ7" s="15">
        <f t="shared" si="10"/>
        <v>4.606941876706057</v>
      </c>
      <c r="BA7" s="15"/>
      <c r="BB7" s="15"/>
      <c r="BC7" s="15"/>
      <c r="BD7" s="1">
        <f t="shared" si="12"/>
        <v>0</v>
      </c>
    </row>
    <row r="8" spans="1:56" ht="15.75" thickBot="1" x14ac:dyDescent="0.25">
      <c r="A8" s="13"/>
      <c r="B8" s="8" t="s">
        <v>43</v>
      </c>
      <c r="C8" s="39">
        <v>22</v>
      </c>
      <c r="D8" s="55">
        <v>6077.1</v>
      </c>
      <c r="E8" s="55">
        <v>46.3005</v>
      </c>
      <c r="F8" s="55">
        <v>51.364199999999997</v>
      </c>
      <c r="G8" s="55">
        <v>52.964300000000001</v>
      </c>
      <c r="H8" s="55">
        <v>0.99583060000000001</v>
      </c>
      <c r="I8" s="55">
        <v>0.9974307</v>
      </c>
      <c r="J8" s="55">
        <v>0.99811950000000005</v>
      </c>
      <c r="K8" s="55">
        <v>752.64300000000003</v>
      </c>
      <c r="L8" s="55">
        <v>0.61699999999999999</v>
      </c>
      <c r="M8" s="10" t="e">
        <f>#REF!</f>
        <v>#REF!</v>
      </c>
      <c r="N8" s="11">
        <f t="shared" si="0"/>
        <v>0.20906750000000002</v>
      </c>
      <c r="P8" s="60">
        <v>6107.4</v>
      </c>
      <c r="Q8" s="60">
        <v>46.307499999999997</v>
      </c>
      <c r="R8" s="60">
        <v>51.354199999999999</v>
      </c>
      <c r="S8" s="60">
        <v>52.997</v>
      </c>
      <c r="T8" s="60">
        <v>0.99584059999999996</v>
      </c>
      <c r="U8" s="60">
        <v>0.9974229</v>
      </c>
      <c r="V8" s="60">
        <v>0.99813059999999998</v>
      </c>
      <c r="W8" s="60">
        <v>2633.375</v>
      </c>
      <c r="X8" s="60">
        <v>0.63600000000000001</v>
      </c>
      <c r="Y8" s="10" t="e">
        <f>#REF!</f>
        <v>#REF!</v>
      </c>
      <c r="Z8" s="11">
        <f t="shared" si="5"/>
        <v>0.73149305555555555</v>
      </c>
      <c r="AA8" s="10">
        <f t="shared" si="6"/>
        <v>3.4988367659036221</v>
      </c>
      <c r="AB8" s="15">
        <f t="shared" si="1"/>
        <v>1.0307941653160455</v>
      </c>
      <c r="AC8" s="15" t="e">
        <f t="shared" si="1"/>
        <v>#REF!</v>
      </c>
      <c r="AD8" s="11">
        <f t="shared" si="7"/>
        <v>4.9859307893566455E-3</v>
      </c>
      <c r="AE8" s="12"/>
      <c r="AF8" s="25">
        <f t="shared" ref="AF8:AK8" si="13">bdRateExtend($D8:$D12,E8:E12,$P8:$P12,Q8:Q12)</f>
        <v>-1.2538263399652916E-4</v>
      </c>
      <c r="AG8" s="30">
        <f t="shared" si="13"/>
        <v>-6.7178632906483848E-4</v>
      </c>
      <c r="AH8" s="31">
        <f t="shared" si="13"/>
        <v>7.5109212281381232E-3</v>
      </c>
      <c r="AI8" s="25">
        <f t="shared" si="13"/>
        <v>7.4270071485682543E-4</v>
      </c>
      <c r="AJ8" s="30">
        <f t="shared" si="13"/>
        <v>-2.4583862147615765E-3</v>
      </c>
      <c r="AK8" s="30">
        <f t="shared" si="13"/>
        <v>1.0920737669672498E-2</v>
      </c>
      <c r="AL8" s="45"/>
      <c r="AM8" s="46"/>
      <c r="AN8" s="47"/>
      <c r="AO8" s="46"/>
      <c r="AP8" s="46"/>
      <c r="AQ8" s="47"/>
      <c r="AR8" s="30">
        <f t="shared" ref="AR8:AW8" si="14">bdrate($D8:$D11,E8:E11,$P8:$P11,Q8:Q11)</f>
        <v>-2.3928568907511938E-3</v>
      </c>
      <c r="AS8" s="30">
        <f t="shared" si="14"/>
        <v>-1.4998856800501059E-3</v>
      </c>
      <c r="AT8" s="31">
        <f t="shared" si="14"/>
        <v>6.4646175630336256E-3</v>
      </c>
      <c r="AU8" s="25">
        <f t="shared" si="14"/>
        <v>-3.1173720407309258E-3</v>
      </c>
      <c r="AV8" s="30">
        <f t="shared" si="14"/>
        <v>-6.0289280266511147E-3</v>
      </c>
      <c r="AW8" s="31">
        <f t="shared" si="14"/>
        <v>9.0652895076190898E-3</v>
      </c>
      <c r="AX8" s="15"/>
      <c r="AY8" s="15"/>
      <c r="AZ8" s="15"/>
      <c r="BA8" s="15">
        <f>V8/J8</f>
        <v>1.0000111209128766</v>
      </c>
      <c r="BB8" s="15">
        <f t="shared" ref="BB8:BB11" si="15">X8/L8</f>
        <v>1.0307941653160455</v>
      </c>
      <c r="BC8" s="15">
        <f t="shared" si="11"/>
        <v>3.4988367659036221</v>
      </c>
      <c r="BD8" s="1">
        <f t="shared" si="12"/>
        <v>0</v>
      </c>
    </row>
    <row r="9" spans="1:56" ht="15.75" thickBot="1" x14ac:dyDescent="0.25">
      <c r="A9" s="13"/>
      <c r="B9" s="13"/>
      <c r="C9" s="43">
        <v>27</v>
      </c>
      <c r="D9" s="55">
        <v>2767.2</v>
      </c>
      <c r="E9" s="55">
        <v>45.479399999999998</v>
      </c>
      <c r="F9" s="55">
        <v>49.7545</v>
      </c>
      <c r="G9" s="55">
        <v>50.906700000000001</v>
      </c>
      <c r="H9" s="55">
        <v>0.99426800000000004</v>
      </c>
      <c r="I9" s="55">
        <v>0.99595049999999996</v>
      </c>
      <c r="J9" s="55">
        <v>0.99686160000000001</v>
      </c>
      <c r="K9" s="55">
        <v>189.50200000000001</v>
      </c>
      <c r="L9" s="55">
        <v>0.499</v>
      </c>
      <c r="M9" s="15" t="e">
        <f>#REF!</f>
        <v>#REF!</v>
      </c>
      <c r="N9" s="16">
        <f t="shared" si="0"/>
        <v>5.2639444444444447E-2</v>
      </c>
      <c r="P9" s="60">
        <v>2767.44</v>
      </c>
      <c r="Q9" s="60">
        <v>45.4833</v>
      </c>
      <c r="R9" s="60">
        <v>49.758800000000001</v>
      </c>
      <c r="S9" s="60">
        <v>50.883099999999999</v>
      </c>
      <c r="T9" s="60">
        <v>0.99427019999999999</v>
      </c>
      <c r="U9" s="60">
        <v>0.99595520000000004</v>
      </c>
      <c r="V9" s="60">
        <v>0.9968397</v>
      </c>
      <c r="W9" s="60">
        <v>1107.567</v>
      </c>
      <c r="X9" s="60">
        <v>0.54</v>
      </c>
      <c r="Y9" s="15" t="e">
        <f>#REF!</f>
        <v>#REF!</v>
      </c>
      <c r="Z9" s="16">
        <f t="shared" si="5"/>
        <v>0.30765750000000003</v>
      </c>
      <c r="AA9" s="10">
        <f t="shared" si="6"/>
        <v>5.8446190541524627</v>
      </c>
      <c r="AB9" s="15">
        <f t="shared" si="1"/>
        <v>1.0821643286573146</v>
      </c>
      <c r="AC9" s="15" t="e">
        <f t="shared" si="1"/>
        <v>#REF!</v>
      </c>
      <c r="AD9" s="16">
        <f t="shared" si="7"/>
        <v>8.673026886391894E-5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4.0504671531516045E-4</v>
      </c>
      <c r="AM9" s="21">
        <f>bdrate($D9:$D12,F9:F12,$P9:$P12,R9:R12)</f>
        <v>-2.6757508720104406E-3</v>
      </c>
      <c r="AN9" s="36">
        <f t="shared" ref="AN9" si="16">bdrate($D9:$D12,G9:G12,$P9:$P12,S9:S12)</f>
        <v>1.0712653026563546E-2</v>
      </c>
      <c r="AO9" s="26">
        <f>bdrate($D9:$D12,H9:H12,$P9:$P12,T9:T12)</f>
        <v>8.3057939704911377E-4</v>
      </c>
      <c r="AP9" s="21">
        <f>bdrate($D9:$D12,I9:I12,$P9:$P12,U9:U12)</f>
        <v>-4.1200152074650775E-3</v>
      </c>
      <c r="AQ9" s="36">
        <f>bdrate($D9:$D12,J9:J12,$P9:$P12,V9:V12)</f>
        <v>1.234120385551063E-2</v>
      </c>
      <c r="AR9" s="21"/>
      <c r="AS9" s="21"/>
      <c r="AT9" s="36"/>
      <c r="AU9" s="26"/>
      <c r="AV9" s="21"/>
      <c r="AW9" s="36"/>
      <c r="AX9" s="15">
        <f>V9/J9</f>
        <v>0.99997803105265559</v>
      </c>
      <c r="AY9" s="15">
        <f t="shared" ref="AY9:AY12" si="17">X9/L9</f>
        <v>1.0821643286573146</v>
      </c>
      <c r="AZ9" s="15">
        <f t="shared" si="10"/>
        <v>5.8446190541524627</v>
      </c>
      <c r="BA9" s="15">
        <f>V9/J9</f>
        <v>0.99997803105265559</v>
      </c>
      <c r="BB9" s="15">
        <f t="shared" si="15"/>
        <v>1.0821643286573146</v>
      </c>
      <c r="BC9" s="15">
        <f t="shared" si="11"/>
        <v>5.8446190541524627</v>
      </c>
      <c r="BD9" s="1">
        <f t="shared" si="12"/>
        <v>0</v>
      </c>
    </row>
    <row r="10" spans="1:56" ht="15.75" thickBot="1" x14ac:dyDescent="0.25">
      <c r="A10" s="13"/>
      <c r="B10" s="13"/>
      <c r="C10" s="43">
        <v>32</v>
      </c>
      <c r="D10" s="55">
        <v>1745.58</v>
      </c>
      <c r="E10" s="55">
        <v>44.677799999999998</v>
      </c>
      <c r="F10" s="55">
        <v>47.941600000000001</v>
      </c>
      <c r="G10" s="55">
        <v>48.672800000000002</v>
      </c>
      <c r="H10" s="55">
        <v>0.99269099999999999</v>
      </c>
      <c r="I10" s="55">
        <v>0.99357300000000004</v>
      </c>
      <c r="J10" s="55">
        <v>0.99470760000000003</v>
      </c>
      <c r="K10" s="55">
        <v>92.569000000000003</v>
      </c>
      <c r="L10" s="55">
        <v>0.45600000000000002</v>
      </c>
      <c r="M10" s="15" t="e">
        <f>#REF!</f>
        <v>#REF!</v>
      </c>
      <c r="N10" s="16">
        <f t="shared" si="0"/>
        <v>2.5713611111111111E-2</v>
      </c>
      <c r="P10" s="60">
        <v>1733.46</v>
      </c>
      <c r="Q10" s="60">
        <v>44.671900000000001</v>
      </c>
      <c r="R10" s="60">
        <v>47.944400000000002</v>
      </c>
      <c r="S10" s="60">
        <v>48.582799999999999</v>
      </c>
      <c r="T10" s="60">
        <v>0.99269249999999998</v>
      </c>
      <c r="U10" s="60">
        <v>0.99361299999999997</v>
      </c>
      <c r="V10" s="60">
        <v>0.9945891</v>
      </c>
      <c r="W10" s="60">
        <v>635.41099999999994</v>
      </c>
      <c r="X10" s="60">
        <v>0.48799999999999999</v>
      </c>
      <c r="Y10" s="15" t="e">
        <f>#REF!</f>
        <v>#REF!</v>
      </c>
      <c r="Z10" s="16">
        <f t="shared" si="5"/>
        <v>0.17650305555555554</v>
      </c>
      <c r="AA10" s="10">
        <f t="shared" si="6"/>
        <v>6.864187795050178</v>
      </c>
      <c r="AB10" s="15">
        <f t="shared" si="1"/>
        <v>1.0701754385964912</v>
      </c>
      <c r="AC10" s="15" t="e">
        <f t="shared" si="1"/>
        <v>#REF!</v>
      </c>
      <c r="AD10" s="16">
        <f t="shared" si="7"/>
        <v>6.943250953837631E-3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>
        <f>V10/J10</f>
        <v>0.99988086951381494</v>
      </c>
      <c r="AY10" s="15">
        <f t="shared" si="17"/>
        <v>1.0701754385964912</v>
      </c>
      <c r="AZ10" s="15">
        <f t="shared" si="10"/>
        <v>6.864187795050178</v>
      </c>
      <c r="BA10" s="15">
        <f>V10/J10</f>
        <v>0.99988086951381494</v>
      </c>
      <c r="BB10" s="15">
        <f t="shared" si="15"/>
        <v>1.0701754385964912</v>
      </c>
      <c r="BC10" s="15">
        <f t="shared" si="11"/>
        <v>6.864187795050178</v>
      </c>
      <c r="BD10" s="1">
        <f t="shared" si="12"/>
        <v>0</v>
      </c>
    </row>
    <row r="11" spans="1:56" ht="15.75" thickBot="1" x14ac:dyDescent="0.25">
      <c r="A11" s="13"/>
      <c r="B11" s="13"/>
      <c r="C11" s="43">
        <v>37</v>
      </c>
      <c r="D11" s="55">
        <v>1133.46</v>
      </c>
      <c r="E11" s="55">
        <v>43.3611</v>
      </c>
      <c r="F11" s="55">
        <v>46.642899999999997</v>
      </c>
      <c r="G11" s="55">
        <v>46.775199999999998</v>
      </c>
      <c r="H11" s="55">
        <v>0.98976090000000005</v>
      </c>
      <c r="I11" s="55">
        <v>0.99134829999999996</v>
      </c>
      <c r="J11" s="55">
        <v>0.99177300000000002</v>
      </c>
      <c r="K11" s="55">
        <v>60.47</v>
      </c>
      <c r="L11" s="55">
        <v>0.41799999999999998</v>
      </c>
      <c r="M11" s="15" t="e">
        <f>#REF!</f>
        <v>#REF!</v>
      </c>
      <c r="N11" s="16">
        <f t="shared" si="0"/>
        <v>1.679722222222222E-2</v>
      </c>
      <c r="P11" s="60">
        <v>1132.44</v>
      </c>
      <c r="Q11" s="60">
        <v>43.339799999999997</v>
      </c>
      <c r="R11" s="60">
        <v>46.626199999999997</v>
      </c>
      <c r="S11" s="60">
        <v>46.741500000000002</v>
      </c>
      <c r="T11" s="60">
        <v>0.98970789999999997</v>
      </c>
      <c r="U11" s="60">
        <v>0.99134449999999996</v>
      </c>
      <c r="V11" s="60">
        <v>0.9917454</v>
      </c>
      <c r="W11" s="60">
        <v>437.57299999999998</v>
      </c>
      <c r="X11" s="60">
        <v>0.432</v>
      </c>
      <c r="Y11" s="15" t="e">
        <f>#REF!</f>
        <v>#REF!</v>
      </c>
      <c r="Z11" s="16">
        <f t="shared" si="5"/>
        <v>0.12154805555555555</v>
      </c>
      <c r="AA11" s="10">
        <f t="shared" si="6"/>
        <v>7.2361997684802377</v>
      </c>
      <c r="AB11" s="15">
        <f t="shared" si="1"/>
        <v>1.0334928229665072</v>
      </c>
      <c r="AC11" s="15" t="e">
        <f t="shared" si="1"/>
        <v>#REF!</v>
      </c>
      <c r="AD11" s="16">
        <f t="shared" si="7"/>
        <v>8.9989942300564799E-4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>
        <f>V11/J11</f>
        <v>0.99997217105123848</v>
      </c>
      <c r="AY11" s="15">
        <f t="shared" si="17"/>
        <v>1.0334928229665072</v>
      </c>
      <c r="AZ11" s="15">
        <f t="shared" si="10"/>
        <v>7.2361997684802386</v>
      </c>
      <c r="BA11" s="15">
        <f>V11/J11</f>
        <v>0.99997217105123848</v>
      </c>
      <c r="BB11" s="15">
        <f t="shared" si="15"/>
        <v>1.0334928229665072</v>
      </c>
      <c r="BC11" s="15">
        <f t="shared" si="11"/>
        <v>7.2361997684802386</v>
      </c>
      <c r="BD11" s="1">
        <f t="shared" si="12"/>
        <v>0</v>
      </c>
    </row>
    <row r="12" spans="1:56" ht="15.75" thickBot="1" x14ac:dyDescent="0.25">
      <c r="A12" s="13"/>
      <c r="B12" s="17"/>
      <c r="C12" s="44">
        <v>42</v>
      </c>
      <c r="D12" s="55">
        <v>746.46</v>
      </c>
      <c r="E12" s="55">
        <v>41.422600000000003</v>
      </c>
      <c r="F12" s="55">
        <v>45.116100000000003</v>
      </c>
      <c r="G12" s="55">
        <v>45.127600000000001</v>
      </c>
      <c r="H12" s="55">
        <v>0.98438689999999995</v>
      </c>
      <c r="I12" s="55">
        <v>0.98819069999999998</v>
      </c>
      <c r="J12" s="55">
        <v>0.9884579</v>
      </c>
      <c r="K12" s="55">
        <v>50.423999999999999</v>
      </c>
      <c r="L12" s="55">
        <v>0.40400000000000003</v>
      </c>
      <c r="M12" s="19" t="e">
        <f>#REF!</f>
        <v>#REF!</v>
      </c>
      <c r="N12" s="20">
        <f t="shared" si="0"/>
        <v>1.4006666666666667E-2</v>
      </c>
      <c r="P12" s="60">
        <v>742.8</v>
      </c>
      <c r="Q12" s="60">
        <v>41.419499999999999</v>
      </c>
      <c r="R12" s="60">
        <v>45.123800000000003</v>
      </c>
      <c r="S12" s="60">
        <v>45.020800000000001</v>
      </c>
      <c r="T12" s="60">
        <v>0.98434730000000004</v>
      </c>
      <c r="U12" s="60">
        <v>0.98809930000000001</v>
      </c>
      <c r="V12" s="60">
        <v>0.98798980000000003</v>
      </c>
      <c r="W12" s="60">
        <v>370.464</v>
      </c>
      <c r="X12" s="60">
        <v>0.40200000000000002</v>
      </c>
      <c r="Y12" s="19" t="e">
        <f>#REF!</f>
        <v>#REF!</v>
      </c>
      <c r="Z12" s="20">
        <f t="shared" si="5"/>
        <v>0.10290666666666666</v>
      </c>
      <c r="AA12" s="10">
        <f t="shared" si="6"/>
        <v>7.3469776297001426</v>
      </c>
      <c r="AB12" s="15">
        <f t="shared" si="1"/>
        <v>0.99504950495049505</v>
      </c>
      <c r="AC12" s="15" t="e">
        <f t="shared" si="1"/>
        <v>#REF!</v>
      </c>
      <c r="AD12" s="20">
        <f t="shared" si="7"/>
        <v>4.903142834177426E-3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>
        <f>V12/J12</f>
        <v>0.99952643405450048</v>
      </c>
      <c r="AY12" s="15">
        <f t="shared" si="17"/>
        <v>0.99504950495049505</v>
      </c>
      <c r="AZ12" s="15">
        <f t="shared" si="10"/>
        <v>7.3469776297001417</v>
      </c>
      <c r="BA12" s="15"/>
      <c r="BB12" s="15"/>
      <c r="BC12" s="15"/>
      <c r="BD12" s="1">
        <f t="shared" si="12"/>
        <v>0</v>
      </c>
    </row>
    <row r="13" spans="1:56" ht="15.75" thickBot="1" x14ac:dyDescent="0.25">
      <c r="A13" s="13"/>
      <c r="B13" s="8" t="s">
        <v>42</v>
      </c>
      <c r="C13" s="39">
        <v>22</v>
      </c>
      <c r="D13" s="55">
        <v>18477.84</v>
      </c>
      <c r="E13" s="55">
        <v>42.121000000000002</v>
      </c>
      <c r="F13" s="55">
        <v>49.873600000000003</v>
      </c>
      <c r="G13" s="55">
        <v>49.089700000000001</v>
      </c>
      <c r="H13" s="55">
        <v>0.99275349999999996</v>
      </c>
      <c r="I13" s="55">
        <v>0.9967201</v>
      </c>
      <c r="J13" s="55">
        <v>0.99663270000000004</v>
      </c>
      <c r="K13" s="55">
        <v>1754.43</v>
      </c>
      <c r="L13" s="55">
        <v>0.82199999999999995</v>
      </c>
      <c r="M13" s="10" t="e">
        <f>#REF!</f>
        <v>#REF!</v>
      </c>
      <c r="N13" s="11">
        <f t="shared" si="0"/>
        <v>0.48734166666666667</v>
      </c>
      <c r="P13" s="60">
        <v>18472.5</v>
      </c>
      <c r="Q13" s="60">
        <v>42.1205</v>
      </c>
      <c r="R13" s="60">
        <v>49.875999999999998</v>
      </c>
      <c r="S13" s="60">
        <v>49.091200000000001</v>
      </c>
      <c r="T13" s="60">
        <v>0.99274459999999998</v>
      </c>
      <c r="U13" s="60">
        <v>0.99672070000000001</v>
      </c>
      <c r="V13" s="60">
        <v>0.9966372</v>
      </c>
      <c r="W13" s="60">
        <v>4415.8860000000004</v>
      </c>
      <c r="X13" s="60">
        <v>0.82</v>
      </c>
      <c r="Y13" s="10" t="e">
        <f>#REF!</f>
        <v>#REF!</v>
      </c>
      <c r="Z13" s="11">
        <f t="shared" si="5"/>
        <v>1.2266350000000001</v>
      </c>
      <c r="AA13" s="10">
        <f t="shared" si="6"/>
        <v>2.5169918435047283</v>
      </c>
      <c r="AB13" s="15">
        <f t="shared" si="1"/>
        <v>0.9975669099756691</v>
      </c>
      <c r="AC13" s="15" t="e">
        <f t="shared" si="1"/>
        <v>#REF!</v>
      </c>
      <c r="AD13" s="11">
        <f t="shared" si="7"/>
        <v>2.889948175760882E-4</v>
      </c>
      <c r="AE13" s="12"/>
      <c r="AF13" s="25">
        <f>bdRateExtend($D13:$D17,E13:E17,$P13:$P17,Q13:Q17)</f>
        <v>6.5571930711150195E-4</v>
      </c>
      <c r="AG13" s="30">
        <f t="shared" ref="AG13:AK13" si="18">bdRateExtend($D13:$D17,F13:F17,$P13:$P17,R13:R17)</f>
        <v>-7.7279837365356041E-3</v>
      </c>
      <c r="AH13" s="31">
        <f t="shared" si="18"/>
        <v>1.5225621794967559E-3</v>
      </c>
      <c r="AI13" s="25">
        <f t="shared" si="18"/>
        <v>3.2994607492420336E-4</v>
      </c>
      <c r="AJ13" s="30">
        <f t="shared" si="18"/>
        <v>-1.1127064868566738E-2</v>
      </c>
      <c r="AK13" s="30">
        <f t="shared" si="18"/>
        <v>5.3338390162702698E-3</v>
      </c>
      <c r="AL13" s="26"/>
      <c r="AM13" s="21"/>
      <c r="AN13" s="36"/>
      <c r="AO13" s="21"/>
      <c r="AP13" s="21"/>
      <c r="AQ13" s="36"/>
      <c r="AR13" s="30">
        <f t="shared" ref="AR13:AW13" si="19">bdrate($D13:$D16,E13:E16,$P13:$P16,Q13:Q16)</f>
        <v>-3.9821003278128764E-4</v>
      </c>
      <c r="AS13" s="30">
        <f t="shared" si="19"/>
        <v>-2.7277186316942981E-4</v>
      </c>
      <c r="AT13" s="31">
        <f t="shared" si="19"/>
        <v>3.1206972922712684E-3</v>
      </c>
      <c r="AU13" s="25">
        <f t="shared" si="19"/>
        <v>-1.3402923676086864E-4</v>
      </c>
      <c r="AV13" s="30">
        <f t="shared" si="19"/>
        <v>-2.2180710970469697E-3</v>
      </c>
      <c r="AW13" s="31">
        <f t="shared" si="19"/>
        <v>5.5360566969824276E-3</v>
      </c>
      <c r="AX13" s="15"/>
      <c r="AY13" s="15"/>
      <c r="AZ13" s="15"/>
      <c r="BA13" s="15">
        <f>V13/J13</f>
        <v>1.0000045152040467</v>
      </c>
      <c r="BB13" s="15">
        <f t="shared" ref="BB13:BB16" si="20">X13/L13</f>
        <v>0.9975669099756691</v>
      </c>
      <c r="BC13" s="15">
        <f t="shared" si="11"/>
        <v>2.5169918435047283</v>
      </c>
      <c r="BD13" s="1">
        <f t="shared" si="12"/>
        <v>0</v>
      </c>
    </row>
    <row r="14" spans="1:56" ht="15.75" thickBot="1" x14ac:dyDescent="0.25">
      <c r="A14" s="13"/>
      <c r="B14" s="13"/>
      <c r="C14" s="43">
        <v>27</v>
      </c>
      <c r="D14" s="55">
        <v>4394.28</v>
      </c>
      <c r="E14" s="55">
        <v>40.295900000000003</v>
      </c>
      <c r="F14" s="55">
        <v>48.6511</v>
      </c>
      <c r="G14" s="55">
        <v>47.040100000000002</v>
      </c>
      <c r="H14" s="55">
        <v>0.98553880000000005</v>
      </c>
      <c r="I14" s="55">
        <v>0.99538000000000004</v>
      </c>
      <c r="J14" s="55">
        <v>0.99416550000000004</v>
      </c>
      <c r="K14" s="55">
        <v>441.41</v>
      </c>
      <c r="L14" s="55">
        <v>0.57299999999999995</v>
      </c>
      <c r="M14" s="15" t="e">
        <f>#REF!</f>
        <v>#REF!</v>
      </c>
      <c r="N14" s="16">
        <f t="shared" si="0"/>
        <v>0.1226138888888889</v>
      </c>
      <c r="P14" s="60">
        <v>4395.72</v>
      </c>
      <c r="Q14" s="60">
        <v>40.2973</v>
      </c>
      <c r="R14" s="60">
        <v>48.649299999999997</v>
      </c>
      <c r="S14" s="60">
        <v>47.038200000000003</v>
      </c>
      <c r="T14" s="60">
        <v>0.98554359999999996</v>
      </c>
      <c r="U14" s="60">
        <v>0.99538740000000003</v>
      </c>
      <c r="V14" s="60">
        <v>0.99417420000000001</v>
      </c>
      <c r="W14" s="60">
        <v>2070.904</v>
      </c>
      <c r="X14" s="60">
        <v>0.60199999999999998</v>
      </c>
      <c r="Y14" s="15" t="e">
        <f>#REF!</f>
        <v>#REF!</v>
      </c>
      <c r="Z14" s="16">
        <f t="shared" si="5"/>
        <v>0.57525111111111116</v>
      </c>
      <c r="AA14" s="10">
        <f t="shared" si="6"/>
        <v>4.6915656645748847</v>
      </c>
      <c r="AB14" s="15">
        <f t="shared" si="1"/>
        <v>1.0506108202443281</v>
      </c>
      <c r="AC14" s="15" t="e">
        <f t="shared" si="1"/>
        <v>#REF!</v>
      </c>
      <c r="AD14" s="16">
        <f t="shared" si="7"/>
        <v>3.2769873562916096E-4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8.7357470251103742E-4</v>
      </c>
      <c r="AM14" s="21">
        <f>bdrate($D14:$D17,F14:F17,$P14:$P17,R14:R17)</f>
        <v>-9.1807409760849001E-3</v>
      </c>
      <c r="AN14" s="36">
        <f t="shared" ref="AN14" si="21">bdrate($D14:$D17,G14:G17,$P14:$P17,S14:S17)</f>
        <v>2.8653407922676344E-3</v>
      </c>
      <c r="AO14" s="26">
        <f>bdrate($D14:$D17,H14:H17,$P14:$P17,T14:T17)</f>
        <v>1.7239256758405652E-4</v>
      </c>
      <c r="AP14" s="21">
        <f>bdrate($D14:$D17,I14:I17,$P14:$P17,U14:U17)</f>
        <v>-1.2034861228749527E-2</v>
      </c>
      <c r="AQ14" s="36">
        <f>bdrate($D14:$D17,J14:J17,$P14:$P17,V14:V17)</f>
        <v>7.7732351138906086E-3</v>
      </c>
      <c r="AR14" s="21"/>
      <c r="AS14" s="21"/>
      <c r="AT14" s="36"/>
      <c r="AU14" s="26"/>
      <c r="AV14" s="21"/>
      <c r="AW14" s="36"/>
      <c r="AX14" s="15">
        <f>V14/J14</f>
        <v>1.0000087510580482</v>
      </c>
      <c r="AY14" s="15">
        <f t="shared" ref="AY14:AY17" si="22">X14/L14</f>
        <v>1.0506108202443281</v>
      </c>
      <c r="AZ14" s="15">
        <f t="shared" si="10"/>
        <v>4.6915656645748847</v>
      </c>
      <c r="BA14" s="15">
        <f>V14/J14</f>
        <v>1.0000087510580482</v>
      </c>
      <c r="BB14" s="15">
        <f t="shared" si="20"/>
        <v>1.0506108202443281</v>
      </c>
      <c r="BC14" s="15">
        <f t="shared" si="11"/>
        <v>4.6915656645748847</v>
      </c>
      <c r="BD14" s="1">
        <f t="shared" si="12"/>
        <v>0</v>
      </c>
    </row>
    <row r="15" spans="1:56" ht="15.75" thickBot="1" x14ac:dyDescent="0.25">
      <c r="A15" s="13"/>
      <c r="B15" s="13"/>
      <c r="C15" s="43">
        <v>32</v>
      </c>
      <c r="D15" s="55">
        <v>2465.52</v>
      </c>
      <c r="E15" s="55">
        <v>39.443199999999997</v>
      </c>
      <c r="F15" s="55">
        <v>47.345599999999997</v>
      </c>
      <c r="G15" s="55">
        <v>45.226100000000002</v>
      </c>
      <c r="H15" s="55">
        <v>0.98058149999999999</v>
      </c>
      <c r="I15" s="55">
        <v>0.99369430000000003</v>
      </c>
      <c r="J15" s="55">
        <v>0.99087340000000002</v>
      </c>
      <c r="K15" s="55">
        <v>198.179</v>
      </c>
      <c r="L15" s="55">
        <v>0.51200000000000001</v>
      </c>
      <c r="M15" s="15" t="e">
        <f>#REF!</f>
        <v>#REF!</v>
      </c>
      <c r="N15" s="16">
        <f t="shared" si="0"/>
        <v>5.5049722222222222E-2</v>
      </c>
      <c r="P15" s="60">
        <v>2467.44</v>
      </c>
      <c r="Q15" s="60">
        <v>39.448599999999999</v>
      </c>
      <c r="R15" s="60">
        <v>47.331299999999999</v>
      </c>
      <c r="S15" s="60">
        <v>45.203299999999999</v>
      </c>
      <c r="T15" s="60">
        <v>0.98061129999999996</v>
      </c>
      <c r="U15" s="60">
        <v>0.99367709999999998</v>
      </c>
      <c r="V15" s="60">
        <v>0.99079569999999995</v>
      </c>
      <c r="W15" s="60">
        <v>1194.175</v>
      </c>
      <c r="X15" s="60">
        <v>0.51900000000000002</v>
      </c>
      <c r="Y15" s="15" t="e">
        <f>#REF!</f>
        <v>#REF!</v>
      </c>
      <c r="Z15" s="16">
        <f t="shared" si="5"/>
        <v>0.33171527777777776</v>
      </c>
      <c r="AA15" s="10">
        <f t="shared" si="6"/>
        <v>6.0257393568440651</v>
      </c>
      <c r="AB15" s="15">
        <f t="shared" si="1"/>
        <v>1.013671875</v>
      </c>
      <c r="AC15" s="15" t="e">
        <f t="shared" si="1"/>
        <v>#REF!</v>
      </c>
      <c r="AD15" s="16">
        <f t="shared" si="7"/>
        <v>7.7874038742337223E-4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>
        <f>V15/J15</f>
        <v>0.99992158433156031</v>
      </c>
      <c r="AY15" s="15">
        <f t="shared" si="22"/>
        <v>1.013671875</v>
      </c>
      <c r="AZ15" s="15">
        <f t="shared" si="10"/>
        <v>6.0257393568440651</v>
      </c>
      <c r="BA15" s="15">
        <f>V15/J15</f>
        <v>0.99992158433156031</v>
      </c>
      <c r="BB15" s="15">
        <f t="shared" si="20"/>
        <v>1.013671875</v>
      </c>
      <c r="BC15" s="15">
        <f t="shared" si="11"/>
        <v>6.0257393568440651</v>
      </c>
      <c r="BD15" s="1">
        <f t="shared" si="12"/>
        <v>0</v>
      </c>
    </row>
    <row r="16" spans="1:56" ht="15.75" thickBot="1" x14ac:dyDescent="0.25">
      <c r="A16" s="13"/>
      <c r="B16" s="13"/>
      <c r="C16" s="43">
        <v>37</v>
      </c>
      <c r="D16" s="55">
        <v>1441.8</v>
      </c>
      <c r="E16" s="55">
        <v>38.221299999999999</v>
      </c>
      <c r="F16" s="55">
        <v>46.073300000000003</v>
      </c>
      <c r="G16" s="55">
        <v>43.719799999999999</v>
      </c>
      <c r="H16" s="55">
        <v>0.97243780000000002</v>
      </c>
      <c r="I16" s="55">
        <v>0.99153460000000004</v>
      </c>
      <c r="J16" s="55">
        <v>0.98708399999999996</v>
      </c>
      <c r="K16" s="55">
        <v>91.03</v>
      </c>
      <c r="L16" s="55">
        <v>0.443</v>
      </c>
      <c r="M16" s="15" t="e">
        <f>#REF!</f>
        <v>#REF!</v>
      </c>
      <c r="N16" s="16">
        <f t="shared" si="0"/>
        <v>2.528611111111111E-2</v>
      </c>
      <c r="P16" s="60">
        <v>1443.48</v>
      </c>
      <c r="Q16" s="60">
        <v>38.215400000000002</v>
      </c>
      <c r="R16" s="60">
        <v>46.136499999999998</v>
      </c>
      <c r="S16" s="60">
        <v>43.718600000000002</v>
      </c>
      <c r="T16" s="60">
        <v>0.97239779999999998</v>
      </c>
      <c r="U16" s="60">
        <v>0.99164459999999999</v>
      </c>
      <c r="V16" s="60">
        <v>0.98703529999999995</v>
      </c>
      <c r="W16" s="60">
        <v>656.78599999999994</v>
      </c>
      <c r="X16" s="60">
        <v>0.44800000000000001</v>
      </c>
      <c r="Y16" s="15" t="e">
        <f>#REF!</f>
        <v>#REF!</v>
      </c>
      <c r="Z16" s="16">
        <f t="shared" si="5"/>
        <v>0.18244055555555555</v>
      </c>
      <c r="AA16" s="10">
        <f t="shared" si="6"/>
        <v>7.2150499835219151</v>
      </c>
      <c r="AB16" s="15">
        <f t="shared" si="1"/>
        <v>1.0112866817155757</v>
      </c>
      <c r="AC16" s="15" t="e">
        <f t="shared" si="1"/>
        <v>#REF!</v>
      </c>
      <c r="AD16" s="16">
        <f t="shared" si="7"/>
        <v>1.1652101539742432E-3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>
        <f>V16/J16</f>
        <v>0.99995066276021083</v>
      </c>
      <c r="AY16" s="15">
        <f t="shared" si="22"/>
        <v>1.0112866817155757</v>
      </c>
      <c r="AZ16" s="15">
        <f t="shared" si="10"/>
        <v>7.215049983521916</v>
      </c>
      <c r="BA16" s="15">
        <f>V16/J16</f>
        <v>0.99995066276021083</v>
      </c>
      <c r="BB16" s="15">
        <f t="shared" si="20"/>
        <v>1.0112866817155757</v>
      </c>
      <c r="BC16" s="15">
        <f t="shared" si="11"/>
        <v>7.215049983521916</v>
      </c>
      <c r="BD16" s="1">
        <f t="shared" si="12"/>
        <v>0</v>
      </c>
    </row>
    <row r="17" spans="1:56" ht="15.75" thickBot="1" x14ac:dyDescent="0.25">
      <c r="A17" s="13"/>
      <c r="B17" s="17"/>
      <c r="C17" s="44">
        <v>42</v>
      </c>
      <c r="D17" s="55">
        <v>862.44</v>
      </c>
      <c r="E17" s="55">
        <v>36.512599999999999</v>
      </c>
      <c r="F17" s="55">
        <v>44.745100000000001</v>
      </c>
      <c r="G17" s="55">
        <v>42.074599999999997</v>
      </c>
      <c r="H17" s="55">
        <v>0.95879760000000003</v>
      </c>
      <c r="I17" s="55">
        <v>0.98871189999999998</v>
      </c>
      <c r="J17" s="55">
        <v>0.98157879999999997</v>
      </c>
      <c r="K17" s="55">
        <v>57.863</v>
      </c>
      <c r="L17" s="55">
        <v>0.42099999999999999</v>
      </c>
      <c r="M17" s="19" t="e">
        <f>#REF!</f>
        <v>#REF!</v>
      </c>
      <c r="N17" s="20">
        <f t="shared" si="0"/>
        <v>1.6073055555555556E-2</v>
      </c>
      <c r="P17" s="60">
        <v>865.2</v>
      </c>
      <c r="Q17" s="60">
        <v>36.527799999999999</v>
      </c>
      <c r="R17" s="60">
        <v>44.813400000000001</v>
      </c>
      <c r="S17" s="60">
        <v>42.1175</v>
      </c>
      <c r="T17" s="60">
        <v>0.95914200000000005</v>
      </c>
      <c r="U17" s="60">
        <v>0.98886660000000004</v>
      </c>
      <c r="V17" s="60">
        <v>0.98154010000000003</v>
      </c>
      <c r="W17" s="60">
        <v>442.14699999999999</v>
      </c>
      <c r="X17" s="60">
        <v>0.45200000000000001</v>
      </c>
      <c r="Y17" s="19" t="e">
        <f>#REF!</f>
        <v>#REF!</v>
      </c>
      <c r="Z17" s="20">
        <f t="shared" si="5"/>
        <v>0.12281861111111111</v>
      </c>
      <c r="AA17" s="10">
        <f t="shared" si="6"/>
        <v>7.6412733525741841</v>
      </c>
      <c r="AB17" s="15">
        <f t="shared" si="1"/>
        <v>1.0736342042755345</v>
      </c>
      <c r="AC17" s="15" t="e">
        <f t="shared" si="1"/>
        <v>#REF!</v>
      </c>
      <c r="AD17" s="20">
        <f t="shared" si="7"/>
        <v>3.2002226241825411E-3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>
        <f>V17/J17</f>
        <v>0.99996057372062241</v>
      </c>
      <c r="AY17" s="15">
        <f t="shared" si="22"/>
        <v>1.0736342042755345</v>
      </c>
      <c r="AZ17" s="15">
        <f t="shared" si="10"/>
        <v>7.6412733525741841</v>
      </c>
      <c r="BA17" s="15"/>
      <c r="BB17" s="15"/>
      <c r="BC17" s="15"/>
      <c r="BD17" s="1">
        <f t="shared" si="12"/>
        <v>0</v>
      </c>
    </row>
    <row r="18" spans="1:56" ht="15.75" thickBot="1" x14ac:dyDescent="0.25">
      <c r="A18" s="48" t="s">
        <v>41</v>
      </c>
      <c r="B18" s="8" t="s">
        <v>52</v>
      </c>
      <c r="C18" s="39">
        <v>22</v>
      </c>
      <c r="D18" s="55">
        <v>34412.22</v>
      </c>
      <c r="E18" s="55">
        <v>42.8277</v>
      </c>
      <c r="F18" s="55">
        <v>42.610999999999997</v>
      </c>
      <c r="G18" s="55">
        <v>44.400799999999997</v>
      </c>
      <c r="H18" s="55">
        <v>0.99569779999999997</v>
      </c>
      <c r="I18" s="55">
        <v>0.99042649999999999</v>
      </c>
      <c r="J18" s="55">
        <v>0.99387320000000001</v>
      </c>
      <c r="K18" s="55">
        <v>3209.2579999999998</v>
      </c>
      <c r="L18" s="55">
        <v>1.0640000000000001</v>
      </c>
      <c r="M18" s="10" t="e">
        <f>#REF!</f>
        <v>#REF!</v>
      </c>
      <c r="N18" s="11">
        <f t="shared" si="0"/>
        <v>0.89146055555555548</v>
      </c>
      <c r="P18" s="60">
        <v>34435.800000000003</v>
      </c>
      <c r="Q18" s="60">
        <v>42.834099999999999</v>
      </c>
      <c r="R18" s="60">
        <v>42.599200000000003</v>
      </c>
      <c r="S18" s="60">
        <v>44.385399999999997</v>
      </c>
      <c r="T18" s="60">
        <v>0.99570150000000002</v>
      </c>
      <c r="U18" s="60">
        <v>0.99036639999999998</v>
      </c>
      <c r="V18" s="60">
        <v>0.99385029999999996</v>
      </c>
      <c r="W18" s="60">
        <v>4271.51</v>
      </c>
      <c r="X18" s="60">
        <v>1.3360000000000001</v>
      </c>
      <c r="Y18" s="10" t="e">
        <f>#REF!</f>
        <v>#REF!</v>
      </c>
      <c r="Z18" s="11">
        <f t="shared" si="5"/>
        <v>1.1865305555555556</v>
      </c>
      <c r="AA18" s="10">
        <f t="shared" si="6"/>
        <v>1.3309961368017156</v>
      </c>
      <c r="AB18" s="10">
        <f t="shared" si="1"/>
        <v>1.255639097744361</v>
      </c>
      <c r="AC18" s="10" t="e">
        <f t="shared" si="1"/>
        <v>#REF!</v>
      </c>
      <c r="AD18" s="11">
        <f t="shared" si="7"/>
        <v>6.8522170322059272E-4</v>
      </c>
      <c r="AE18" s="40"/>
      <c r="AF18" s="25">
        <f t="shared" ref="AF18:AK18" si="23">bdRateExtend($D18:$D22,E18:E22,$P18:$P22,Q18:Q22)</f>
        <v>-8.2026761807585391E-4</v>
      </c>
      <c r="AG18" s="30">
        <f t="shared" si="23"/>
        <v>7.2229293791337135E-3</v>
      </c>
      <c r="AH18" s="31">
        <f t="shared" si="23"/>
        <v>1.7392312288944112E-4</v>
      </c>
      <c r="AI18" s="25">
        <f t="shared" si="23"/>
        <v>7.4942179237824647E-4</v>
      </c>
      <c r="AJ18" s="30">
        <f t="shared" si="23"/>
        <v>1.2680082833250728E-2</v>
      </c>
      <c r="AK18" s="30">
        <f t="shared" si="23"/>
        <v>-3.4016758579350492E-3</v>
      </c>
      <c r="AL18" s="45"/>
      <c r="AM18" s="46"/>
      <c r="AN18" s="47"/>
      <c r="AO18" s="46"/>
      <c r="AP18" s="46"/>
      <c r="AQ18" s="47"/>
      <c r="AR18" s="30">
        <f t="shared" ref="AR18:AW18" si="24">bdrate($D18:$D21,E18:E21,$P18:$P21,Q18:Q21)</f>
        <v>-4.3599443972497376E-4</v>
      </c>
      <c r="AS18" s="30">
        <f t="shared" si="24"/>
        <v>8.1127265596006026E-3</v>
      </c>
      <c r="AT18" s="31">
        <f t="shared" si="24"/>
        <v>4.5788142107310303E-3</v>
      </c>
      <c r="AU18" s="25">
        <f t="shared" si="24"/>
        <v>9.938282241133134E-4</v>
      </c>
      <c r="AV18" s="30">
        <f t="shared" si="24"/>
        <v>1.1561266822949445E-2</v>
      </c>
      <c r="AW18" s="31">
        <f t="shared" si="24"/>
        <v>1.6877303501741103E-3</v>
      </c>
      <c r="AX18" s="10"/>
      <c r="AY18" s="10"/>
      <c r="AZ18" s="10"/>
      <c r="BA18" s="10">
        <f>V18/J18</f>
        <v>0.99997695883136795</v>
      </c>
      <c r="BB18" s="10">
        <f t="shared" ref="BB18:BB21" si="25">X18/L18</f>
        <v>1.255639097744361</v>
      </c>
      <c r="BC18" s="10">
        <f t="shared" si="11"/>
        <v>1.3309961368017158</v>
      </c>
      <c r="BD18" s="1">
        <f t="shared" si="12"/>
        <v>1</v>
      </c>
    </row>
    <row r="19" spans="1:56" ht="15.75" thickBot="1" x14ac:dyDescent="0.25">
      <c r="A19" s="13" t="s">
        <v>19</v>
      </c>
      <c r="B19" s="13"/>
      <c r="C19" s="43">
        <v>27</v>
      </c>
      <c r="D19" s="55">
        <v>9928.32</v>
      </c>
      <c r="E19" s="55">
        <v>39.909399999999998</v>
      </c>
      <c r="F19" s="55">
        <v>41.413899999999998</v>
      </c>
      <c r="G19" s="55">
        <v>42.632899999999999</v>
      </c>
      <c r="H19" s="55">
        <v>0.99168999999999996</v>
      </c>
      <c r="I19" s="55">
        <v>0.98554569999999997</v>
      </c>
      <c r="J19" s="55">
        <v>0.99023099999999997</v>
      </c>
      <c r="K19" s="55">
        <v>1068.8209999999999</v>
      </c>
      <c r="L19" s="55">
        <v>0.75700000000000001</v>
      </c>
      <c r="M19" s="15" t="e">
        <f>#REF!</f>
        <v>#REF!</v>
      </c>
      <c r="N19" s="16">
        <f t="shared" si="0"/>
        <v>0.29689472222222218</v>
      </c>
      <c r="P19" s="60">
        <v>9910.44</v>
      </c>
      <c r="Q19" s="60">
        <v>39.906599999999997</v>
      </c>
      <c r="R19" s="60">
        <v>41.404899999999998</v>
      </c>
      <c r="S19" s="60">
        <v>42.618899999999996</v>
      </c>
      <c r="T19" s="60">
        <v>0.99168480000000003</v>
      </c>
      <c r="U19" s="60">
        <v>0.98546339999999999</v>
      </c>
      <c r="V19" s="60">
        <v>0.99020209999999997</v>
      </c>
      <c r="W19" s="60">
        <v>2589.6219999999998</v>
      </c>
      <c r="X19" s="60">
        <v>0.82399999999999995</v>
      </c>
      <c r="Y19" s="15" t="e">
        <f>#REF!</f>
        <v>#REF!</v>
      </c>
      <c r="Z19" s="16">
        <f t="shared" si="5"/>
        <v>0.71933944444444442</v>
      </c>
      <c r="AA19" s="10">
        <f t="shared" si="6"/>
        <v>2.4228771702651799</v>
      </c>
      <c r="AB19" s="15">
        <f t="shared" ref="AB19:AC32" si="26">X19/L19</f>
        <v>1.0885072655217964</v>
      </c>
      <c r="AC19" s="15" t="e">
        <f t="shared" si="26"/>
        <v>#REF!</v>
      </c>
      <c r="AD19" s="16">
        <f t="shared" si="7"/>
        <v>1.800908915103381E-3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-2.8554569428995702E-4</v>
      </c>
      <c r="AM19" s="21">
        <f>bdrate($D19:$D22,F19:F22,$P19:$P22,R19:R22)</f>
        <v>6.5678746785184927E-3</v>
      </c>
      <c r="AN19" s="36">
        <f t="shared" ref="AN19" si="27">bdrate($D19:$D22,G19:G22,$P19:$P22,S19:S22)</f>
        <v>-2.8741693464621187E-3</v>
      </c>
      <c r="AO19" s="26">
        <f>bdrate($D19:$D22,H19:H22,$P19:$P22,T19:T22)</f>
        <v>1.0102573046262275E-3</v>
      </c>
      <c r="AP19" s="21">
        <f>bdrate($D19:$D22,I19:I22,$P19:$P22,U19:U22)</f>
        <v>1.1142558338967934E-2</v>
      </c>
      <c r="AQ19" s="36">
        <f>bdrate($D19:$D22,J19:J22,$P19:$P22,V19:V22)</f>
        <v>-5.3726628704012791E-3</v>
      </c>
      <c r="AR19" s="21"/>
      <c r="AS19" s="21"/>
      <c r="AT19" s="36"/>
      <c r="AU19" s="26"/>
      <c r="AV19" s="21"/>
      <c r="AW19" s="36"/>
      <c r="AX19" s="15">
        <f>V19/J19</f>
        <v>0.99997081489066697</v>
      </c>
      <c r="AY19" s="15">
        <f t="shared" ref="AY19:AY22" si="28">X19/L19</f>
        <v>1.0885072655217964</v>
      </c>
      <c r="AZ19" s="15">
        <f t="shared" si="10"/>
        <v>2.4228771702651803</v>
      </c>
      <c r="BA19" s="15">
        <f>V19/J19</f>
        <v>0.99997081489066697</v>
      </c>
      <c r="BB19" s="15">
        <f t="shared" si="25"/>
        <v>1.0885072655217964</v>
      </c>
      <c r="BC19" s="15">
        <f t="shared" si="11"/>
        <v>2.4228771702651803</v>
      </c>
      <c r="BD19" s="1">
        <f t="shared" si="12"/>
        <v>0</v>
      </c>
    </row>
    <row r="20" spans="1:56" ht="15.75" thickBot="1" x14ac:dyDescent="0.25">
      <c r="A20" s="13"/>
      <c r="B20" s="13"/>
      <c r="C20" s="43">
        <v>32</v>
      </c>
      <c r="D20" s="55">
        <v>5696.28</v>
      </c>
      <c r="E20" s="55">
        <v>38.506799999999998</v>
      </c>
      <c r="F20" s="55">
        <v>40.508899999999997</v>
      </c>
      <c r="G20" s="55">
        <v>40.927799999999998</v>
      </c>
      <c r="H20" s="55">
        <v>0.98731120000000006</v>
      </c>
      <c r="I20" s="55">
        <v>0.98115649999999999</v>
      </c>
      <c r="J20" s="55">
        <v>0.98504670000000005</v>
      </c>
      <c r="K20" s="55">
        <v>495.911</v>
      </c>
      <c r="L20" s="55">
        <v>0.68400000000000005</v>
      </c>
      <c r="M20" s="15" t="e">
        <f>#REF!</f>
        <v>#REF!</v>
      </c>
      <c r="N20" s="16">
        <f t="shared" si="0"/>
        <v>0.13775305555555556</v>
      </c>
      <c r="P20" s="60">
        <v>5707.08</v>
      </c>
      <c r="Q20" s="60">
        <v>38.507599999999996</v>
      </c>
      <c r="R20" s="60">
        <v>40.497300000000003</v>
      </c>
      <c r="S20" s="60">
        <v>40.916899999999998</v>
      </c>
      <c r="T20" s="60">
        <v>0.98730819999999997</v>
      </c>
      <c r="U20" s="60">
        <v>0.98111380000000004</v>
      </c>
      <c r="V20" s="60">
        <v>0.98504639999999999</v>
      </c>
      <c r="W20" s="60">
        <v>1838.796</v>
      </c>
      <c r="X20" s="60">
        <v>0.72199999999999998</v>
      </c>
      <c r="Y20" s="15" t="e">
        <f>#REF!</f>
        <v>#REF!</v>
      </c>
      <c r="Z20" s="16">
        <f t="shared" si="5"/>
        <v>0.51077666666666666</v>
      </c>
      <c r="AA20" s="10">
        <f t="shared" si="6"/>
        <v>3.7079153315816749</v>
      </c>
      <c r="AB20" s="15">
        <f t="shared" si="26"/>
        <v>1.0555555555555554</v>
      </c>
      <c r="AC20" s="15" t="e">
        <f t="shared" si="26"/>
        <v>#REF!</v>
      </c>
      <c r="AD20" s="16">
        <f t="shared" si="7"/>
        <v>1.8959742147507115E-3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>
        <f>V20/J20</f>
        <v>0.99999969544591127</v>
      </c>
      <c r="AY20" s="15">
        <f t="shared" si="28"/>
        <v>1.0555555555555554</v>
      </c>
      <c r="AZ20" s="15">
        <f t="shared" si="10"/>
        <v>3.7079153315816749</v>
      </c>
      <c r="BA20" s="15">
        <f>V20/J20</f>
        <v>0.99999969544591127</v>
      </c>
      <c r="BB20" s="15">
        <f t="shared" si="25"/>
        <v>1.0555555555555554</v>
      </c>
      <c r="BC20" s="15">
        <f t="shared" si="11"/>
        <v>3.7079153315816749</v>
      </c>
      <c r="BD20" s="1">
        <f t="shared" si="12"/>
        <v>0</v>
      </c>
    </row>
    <row r="21" spans="1:56" ht="15.75" thickBot="1" x14ac:dyDescent="0.25">
      <c r="A21" s="13"/>
      <c r="B21" s="13"/>
      <c r="C21" s="43">
        <v>37</v>
      </c>
      <c r="D21" s="55">
        <v>3363.3</v>
      </c>
      <c r="E21" s="55">
        <v>36.596800000000002</v>
      </c>
      <c r="F21" s="55">
        <v>39.623199999999997</v>
      </c>
      <c r="G21" s="55">
        <v>39.297499999999999</v>
      </c>
      <c r="H21" s="55">
        <v>0.97869510000000004</v>
      </c>
      <c r="I21" s="55">
        <v>0.97604349999999995</v>
      </c>
      <c r="J21" s="55">
        <v>0.97774609999999995</v>
      </c>
      <c r="K21" s="55">
        <v>265.726</v>
      </c>
      <c r="L21" s="55">
        <v>0.55700000000000005</v>
      </c>
      <c r="M21" s="15" t="e">
        <f>#REF!</f>
        <v>#REF!</v>
      </c>
      <c r="N21" s="16">
        <f t="shared" si="0"/>
        <v>7.3812777777777783E-2</v>
      </c>
      <c r="P21" s="60">
        <v>3355.14</v>
      </c>
      <c r="Q21" s="60">
        <v>36.590200000000003</v>
      </c>
      <c r="R21" s="60">
        <v>39.607900000000001</v>
      </c>
      <c r="S21" s="60">
        <v>39.320999999999998</v>
      </c>
      <c r="T21" s="60">
        <v>0.97859439999999998</v>
      </c>
      <c r="U21" s="60">
        <v>0.97587760000000001</v>
      </c>
      <c r="V21" s="60">
        <v>0.97783169999999997</v>
      </c>
      <c r="W21" s="60">
        <v>1212.9290000000001</v>
      </c>
      <c r="X21" s="60">
        <v>0.56699999999999995</v>
      </c>
      <c r="Y21" s="15" t="e">
        <f>#REF!</f>
        <v>#REF!</v>
      </c>
      <c r="Z21" s="16">
        <f t="shared" si="5"/>
        <v>0.33692472222222225</v>
      </c>
      <c r="AA21" s="10">
        <f t="shared" si="6"/>
        <v>4.5645853247329962</v>
      </c>
      <c r="AB21" s="15">
        <f t="shared" si="26"/>
        <v>1.0179533213644523</v>
      </c>
      <c r="AC21" s="15" t="e">
        <f t="shared" si="26"/>
        <v>#REF!</v>
      </c>
      <c r="AD21" s="16">
        <f t="shared" si="7"/>
        <v>2.4261885648025178E-3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>
        <f>V21/J21</f>
        <v>1.0000875482909111</v>
      </c>
      <c r="AY21" s="15">
        <f t="shared" si="28"/>
        <v>1.0179533213644523</v>
      </c>
      <c r="AZ21" s="15">
        <f t="shared" si="10"/>
        <v>4.5645853247329962</v>
      </c>
      <c r="BA21" s="15">
        <f>V21/J21</f>
        <v>1.0000875482909111</v>
      </c>
      <c r="BB21" s="15">
        <f t="shared" si="25"/>
        <v>1.0179533213644523</v>
      </c>
      <c r="BC21" s="15">
        <f t="shared" si="11"/>
        <v>4.5645853247329962</v>
      </c>
      <c r="BD21" s="1">
        <f t="shared" si="12"/>
        <v>0</v>
      </c>
    </row>
    <row r="22" spans="1:56" ht="15.75" thickBot="1" x14ac:dyDescent="0.25">
      <c r="A22" s="13"/>
      <c r="B22" s="17"/>
      <c r="C22" s="44">
        <v>42</v>
      </c>
      <c r="D22" s="55">
        <v>1951.08</v>
      </c>
      <c r="E22" s="55">
        <v>34.232100000000003</v>
      </c>
      <c r="F22" s="55">
        <v>38.627600000000001</v>
      </c>
      <c r="G22" s="55">
        <v>37.869500000000002</v>
      </c>
      <c r="H22" s="55">
        <v>0.96199009999999996</v>
      </c>
      <c r="I22" s="55">
        <v>0.96905439999999998</v>
      </c>
      <c r="J22" s="55">
        <v>0.96943509999999999</v>
      </c>
      <c r="K22" s="55">
        <v>144.05799999999999</v>
      </c>
      <c r="L22" s="55">
        <v>0.51</v>
      </c>
      <c r="M22" s="19" t="e">
        <f>#REF!</f>
        <v>#REF!</v>
      </c>
      <c r="N22" s="20">
        <f t="shared" si="0"/>
        <v>4.0016111111111106E-2</v>
      </c>
      <c r="P22" s="60">
        <v>1948.86</v>
      </c>
      <c r="Q22" s="60">
        <v>34.237699999999997</v>
      </c>
      <c r="R22" s="60">
        <v>38.619100000000003</v>
      </c>
      <c r="S22" s="60">
        <v>37.9054</v>
      </c>
      <c r="T22" s="60">
        <v>0.96207690000000001</v>
      </c>
      <c r="U22" s="60">
        <v>0.96879850000000001</v>
      </c>
      <c r="V22" s="60">
        <v>0.96967689999999995</v>
      </c>
      <c r="W22" s="60">
        <v>758.81399999999996</v>
      </c>
      <c r="X22" s="60">
        <v>0.50600000000000001</v>
      </c>
      <c r="Y22" s="19" t="e">
        <f>#REF!</f>
        <v>#REF!</v>
      </c>
      <c r="Z22" s="20">
        <f t="shared" si="5"/>
        <v>0.21078166666666664</v>
      </c>
      <c r="AA22" s="10">
        <f t="shared" si="6"/>
        <v>5.2674200669174915</v>
      </c>
      <c r="AB22" s="15">
        <f t="shared" si="26"/>
        <v>0.99215686274509807</v>
      </c>
      <c r="AC22" s="15" t="e">
        <f t="shared" si="26"/>
        <v>#REF!</v>
      </c>
      <c r="AD22" s="20">
        <f t="shared" si="7"/>
        <v>1.1378313549418925E-3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>
        <f>V22/J22</f>
        <v>1.0002494236076247</v>
      </c>
      <c r="AY22" s="15">
        <f t="shared" si="28"/>
        <v>0.99215686274509807</v>
      </c>
      <c r="AZ22" s="15">
        <f t="shared" si="10"/>
        <v>5.2674200669174915</v>
      </c>
      <c r="BA22" s="15"/>
      <c r="BB22" s="15"/>
      <c r="BC22" s="15"/>
      <c r="BD22" s="1">
        <f t="shared" si="12"/>
        <v>0</v>
      </c>
    </row>
    <row r="23" spans="1:56" ht="15.75" thickBot="1" x14ac:dyDescent="0.25">
      <c r="A23" s="13"/>
      <c r="B23" s="13" t="s">
        <v>44</v>
      </c>
      <c r="C23" s="39">
        <v>22</v>
      </c>
      <c r="D23" s="55">
        <v>60065.82</v>
      </c>
      <c r="E23" s="55">
        <v>41.7348</v>
      </c>
      <c r="F23" s="55">
        <v>46.245399999999997</v>
      </c>
      <c r="G23" s="55">
        <v>44.120199999999997</v>
      </c>
      <c r="H23" s="55">
        <v>0.99448029999999998</v>
      </c>
      <c r="I23" s="55">
        <v>0.99403859999999999</v>
      </c>
      <c r="J23" s="55">
        <v>0.99154799999999998</v>
      </c>
      <c r="K23" s="55">
        <v>3026.5169999999998</v>
      </c>
      <c r="L23" s="55">
        <v>1.4510000000000001</v>
      </c>
      <c r="M23" s="10" t="e">
        <f>#REF!</f>
        <v>#REF!</v>
      </c>
      <c r="N23" s="11">
        <f t="shared" si="0"/>
        <v>0.84069916666666666</v>
      </c>
      <c r="P23" s="60">
        <v>60024.06</v>
      </c>
      <c r="Q23" s="60">
        <v>41.730200000000004</v>
      </c>
      <c r="R23" s="60">
        <v>46.223399999999998</v>
      </c>
      <c r="S23" s="60">
        <v>44.116599999999998</v>
      </c>
      <c r="T23" s="60">
        <v>0.99446670000000004</v>
      </c>
      <c r="U23" s="60">
        <v>0.99398969999999998</v>
      </c>
      <c r="V23" s="60">
        <v>0.99154469999999995</v>
      </c>
      <c r="W23" s="60">
        <v>5769.4560000000001</v>
      </c>
      <c r="X23" s="60">
        <v>1.4750000000000001</v>
      </c>
      <c r="Y23" s="10" t="e">
        <f>#REF!</f>
        <v>#REF!</v>
      </c>
      <c r="Z23" s="11">
        <f t="shared" si="5"/>
        <v>1.6026266666666666</v>
      </c>
      <c r="AA23" s="10">
        <f t="shared" si="6"/>
        <v>1.9063021948992853</v>
      </c>
      <c r="AB23" s="15">
        <f t="shared" si="26"/>
        <v>1.0165403170227429</v>
      </c>
      <c r="AC23" s="15" t="e">
        <f t="shared" si="26"/>
        <v>#REF!</v>
      </c>
      <c r="AD23" s="11">
        <f t="shared" si="7"/>
        <v>6.9523732465488753E-4</v>
      </c>
      <c r="AE23" s="12"/>
      <c r="AF23" s="25">
        <f t="shared" ref="AF23:AK23" si="29">bdRateExtend($D23:$D27,E23:E27,$P23:$P27,Q23:Q27)</f>
        <v>-1.2502662432393175E-3</v>
      </c>
      <c r="AG23" s="30">
        <f t="shared" si="29"/>
        <v>1.9267783772254132E-2</v>
      </c>
      <c r="AH23" s="31">
        <f t="shared" si="29"/>
        <v>-3.5400003484324927E-3</v>
      </c>
      <c r="AI23" s="25">
        <f t="shared" si="29"/>
        <v>9.4574126104918221E-5</v>
      </c>
      <c r="AJ23" s="30">
        <f t="shared" si="29"/>
        <v>2.203819795810058E-2</v>
      </c>
      <c r="AK23" s="30">
        <f t="shared" si="29"/>
        <v>1.9306970525678757E-4</v>
      </c>
      <c r="AL23" s="26"/>
      <c r="AM23" s="21"/>
      <c r="AN23" s="36"/>
      <c r="AO23" s="21"/>
      <c r="AP23" s="21"/>
      <c r="AQ23" s="36"/>
      <c r="AR23" s="30">
        <f t="shared" ref="AR23:AW23" si="30">bdrate($D23:$D26,E23:E26,$P23:$P26,Q23:Q26)</f>
        <v>-6.9721450033333188E-4</v>
      </c>
      <c r="AS23" s="30">
        <f t="shared" si="30"/>
        <v>2.4888160435222462E-2</v>
      </c>
      <c r="AT23" s="31">
        <f t="shared" si="30"/>
        <v>-5.7228887149339824E-3</v>
      </c>
      <c r="AU23" s="25">
        <f t="shared" si="30"/>
        <v>2.4805745077460806E-4</v>
      </c>
      <c r="AV23" s="30">
        <f t="shared" si="30"/>
        <v>2.6141806549402569E-2</v>
      </c>
      <c r="AW23" s="31">
        <f t="shared" si="30"/>
        <v>-4.0888143957522605E-3</v>
      </c>
      <c r="AX23" s="15"/>
      <c r="AY23" s="15"/>
      <c r="AZ23" s="15"/>
      <c r="BA23" s="15">
        <f>V23/J23</f>
        <v>0.99999667187065067</v>
      </c>
      <c r="BB23" s="15">
        <f t="shared" ref="BB23:BB26" si="31">X23/L23</f>
        <v>1.0165403170227429</v>
      </c>
      <c r="BC23" s="15">
        <f t="shared" si="11"/>
        <v>1.9063021948992851</v>
      </c>
      <c r="BD23" s="1">
        <f t="shared" si="12"/>
        <v>1</v>
      </c>
    </row>
    <row r="24" spans="1:56" ht="15.75" thickBot="1" x14ac:dyDescent="0.25">
      <c r="A24" s="13"/>
      <c r="B24" s="13"/>
      <c r="C24" s="43">
        <v>27</v>
      </c>
      <c r="D24" s="55">
        <v>9989.4</v>
      </c>
      <c r="E24" s="55">
        <v>37.578899999999997</v>
      </c>
      <c r="F24" s="55">
        <v>44.9617</v>
      </c>
      <c r="G24" s="55">
        <v>42.521900000000002</v>
      </c>
      <c r="H24" s="55">
        <v>0.98421170000000002</v>
      </c>
      <c r="I24" s="55">
        <v>0.99083600000000005</v>
      </c>
      <c r="J24" s="55">
        <v>0.98616649999999995</v>
      </c>
      <c r="K24" s="55">
        <v>1170.952</v>
      </c>
      <c r="L24" s="55">
        <v>0.76500000000000001</v>
      </c>
      <c r="M24" s="15" t="e">
        <f>#REF!</f>
        <v>#REF!</v>
      </c>
      <c r="N24" s="16">
        <f t="shared" si="0"/>
        <v>0.32526444444444447</v>
      </c>
      <c r="P24" s="60">
        <v>9973.32</v>
      </c>
      <c r="Q24" s="60">
        <v>37.576799999999999</v>
      </c>
      <c r="R24" s="60">
        <v>44.923099999999998</v>
      </c>
      <c r="S24" s="60">
        <v>42.521500000000003</v>
      </c>
      <c r="T24" s="60">
        <v>0.98419769999999995</v>
      </c>
      <c r="U24" s="60">
        <v>0.99074359999999995</v>
      </c>
      <c r="V24" s="60">
        <v>0.986128</v>
      </c>
      <c r="W24" s="60">
        <v>3545.1210000000001</v>
      </c>
      <c r="X24" s="60">
        <v>0.81100000000000005</v>
      </c>
      <c r="Y24" s="15" t="e">
        <f>#REF!</f>
        <v>#REF!</v>
      </c>
      <c r="Z24" s="16">
        <f t="shared" si="5"/>
        <v>0.98475583333333339</v>
      </c>
      <c r="AA24" s="10">
        <f t="shared" si="6"/>
        <v>3.0275545026610828</v>
      </c>
      <c r="AB24" s="15">
        <f t="shared" si="26"/>
        <v>1.0601307189542484</v>
      </c>
      <c r="AC24" s="15" t="e">
        <f t="shared" si="26"/>
        <v>#REF!</v>
      </c>
      <c r="AD24" s="16">
        <f t="shared" si="7"/>
        <v>1.6097062886659787E-3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-8.579268968070819E-4</v>
      </c>
      <c r="AM24" s="21">
        <f>bdrate($D24:$D27,F24:F27,$P24:$P27,R24:R27)</f>
        <v>1.1112485268789385E-2</v>
      </c>
      <c r="AN24" s="36">
        <f t="shared" ref="AN24" si="32">bdrate($D24:$D27,G24:G27,$P24:$P27,S24:S27)</f>
        <v>-6.9724176424927897E-3</v>
      </c>
      <c r="AO24" s="26">
        <f>bdrate($D24:$D27,H24:H27,$P24:$P27,T24:T27)</f>
        <v>-1.165911391004526E-4</v>
      </c>
      <c r="AP24" s="21">
        <f>bdrate($D24:$D27,I24:I27,$P24:$P27,U24:U27)</f>
        <v>1.8868573673299416E-2</v>
      </c>
      <c r="AQ24" s="36">
        <f>bdrate($D24:$D27,J24:J27,$P24:$P27,V24:V27)</f>
        <v>-1.5180149028497514E-3</v>
      </c>
      <c r="AR24" s="21"/>
      <c r="AS24" s="21"/>
      <c r="AT24" s="36"/>
      <c r="AU24" s="26"/>
      <c r="AV24" s="21"/>
      <c r="AW24" s="36"/>
      <c r="AX24" s="15">
        <f>V24/J24</f>
        <v>0.99996095993932066</v>
      </c>
      <c r="AY24" s="15">
        <f t="shared" ref="AY24:AY27" si="33">X24/L24</f>
        <v>1.0601307189542484</v>
      </c>
      <c r="AZ24" s="15">
        <f t="shared" si="10"/>
        <v>3.0275545026610824</v>
      </c>
      <c r="BA24" s="15">
        <f>V24/J24</f>
        <v>0.99996095993932066</v>
      </c>
      <c r="BB24" s="15">
        <f t="shared" si="31"/>
        <v>1.0601307189542484</v>
      </c>
      <c r="BC24" s="15">
        <f t="shared" si="11"/>
        <v>3.0275545026610824</v>
      </c>
      <c r="BD24" s="1">
        <f t="shared" si="12"/>
        <v>0</v>
      </c>
    </row>
    <row r="25" spans="1:56" ht="15.75" thickBot="1" x14ac:dyDescent="0.25">
      <c r="A25" s="13"/>
      <c r="B25" s="13"/>
      <c r="C25" s="43">
        <v>32</v>
      </c>
      <c r="D25" s="55">
        <v>5387.22</v>
      </c>
      <c r="E25" s="55">
        <v>36.593600000000002</v>
      </c>
      <c r="F25" s="55">
        <v>43.7592</v>
      </c>
      <c r="G25" s="55">
        <v>41.345399999999998</v>
      </c>
      <c r="H25" s="55">
        <v>0.97899999999999998</v>
      </c>
      <c r="I25" s="55">
        <v>0.98698660000000005</v>
      </c>
      <c r="J25" s="55">
        <v>0.98056270000000001</v>
      </c>
      <c r="K25" s="55">
        <v>541.38499999999999</v>
      </c>
      <c r="L25" s="55">
        <v>0.64</v>
      </c>
      <c r="M25" s="15" t="e">
        <f>#REF!</f>
        <v>#REF!</v>
      </c>
      <c r="N25" s="16">
        <f t="shared" si="0"/>
        <v>0.15038472222222221</v>
      </c>
      <c r="P25" s="60">
        <v>5396.34</v>
      </c>
      <c r="Q25" s="60">
        <v>36.591200000000001</v>
      </c>
      <c r="R25" s="60">
        <v>43.727499999999999</v>
      </c>
      <c r="S25" s="60">
        <v>41.385199999999998</v>
      </c>
      <c r="T25" s="60">
        <v>0.97900560000000003</v>
      </c>
      <c r="U25" s="60">
        <v>0.98682800000000004</v>
      </c>
      <c r="V25" s="60">
        <v>0.98069430000000002</v>
      </c>
      <c r="W25" s="60">
        <v>2291.8939999999998</v>
      </c>
      <c r="X25" s="60">
        <v>0.66300000000000003</v>
      </c>
      <c r="Y25" s="15" t="e">
        <f>#REF!</f>
        <v>#REF!</v>
      </c>
      <c r="Z25" s="16">
        <f t="shared" si="5"/>
        <v>0.63663722222222219</v>
      </c>
      <c r="AA25" s="10">
        <f t="shared" si="6"/>
        <v>4.2333902860256565</v>
      </c>
      <c r="AB25" s="15">
        <f t="shared" si="26"/>
        <v>1.0359375</v>
      </c>
      <c r="AC25" s="15" t="e">
        <f t="shared" si="26"/>
        <v>#REF!</v>
      </c>
      <c r="AD25" s="16">
        <f t="shared" si="7"/>
        <v>1.6928954080211854E-3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>
        <f>V25/J25</f>
        <v>1.0001342086538678</v>
      </c>
      <c r="AY25" s="15">
        <f t="shared" si="33"/>
        <v>1.0359375</v>
      </c>
      <c r="AZ25" s="15">
        <f t="shared" si="10"/>
        <v>4.2333902860256565</v>
      </c>
      <c r="BA25" s="15">
        <f>V25/J25</f>
        <v>1.0001342086538678</v>
      </c>
      <c r="BB25" s="15">
        <f t="shared" si="31"/>
        <v>1.0359375</v>
      </c>
      <c r="BC25" s="15">
        <f t="shared" si="11"/>
        <v>4.2333902860256565</v>
      </c>
      <c r="BD25" s="1">
        <f t="shared" si="12"/>
        <v>0</v>
      </c>
    </row>
    <row r="26" spans="1:56" ht="15.75" thickBot="1" x14ac:dyDescent="0.25">
      <c r="A26" s="13"/>
      <c r="B26" s="13"/>
      <c r="C26" s="43">
        <v>37</v>
      </c>
      <c r="D26" s="55">
        <v>3002.88</v>
      </c>
      <c r="E26" s="55">
        <v>35.159999999999997</v>
      </c>
      <c r="F26" s="55">
        <v>42.619900000000001</v>
      </c>
      <c r="G26" s="55">
        <v>39.697800000000001</v>
      </c>
      <c r="H26" s="55">
        <v>0.96927790000000003</v>
      </c>
      <c r="I26" s="55">
        <v>0.98220399999999997</v>
      </c>
      <c r="J26" s="55">
        <v>0.96976039999999997</v>
      </c>
      <c r="K26" s="55">
        <v>270.83999999999997</v>
      </c>
      <c r="L26" s="55">
        <v>0.52900000000000003</v>
      </c>
      <c r="M26" s="15" t="e">
        <f>#REF!</f>
        <v>#REF!</v>
      </c>
      <c r="N26" s="16">
        <f t="shared" si="0"/>
        <v>7.5233333333333333E-2</v>
      </c>
      <c r="P26" s="60">
        <v>2987.34</v>
      </c>
      <c r="Q26" s="60">
        <v>35.157899999999998</v>
      </c>
      <c r="R26" s="60">
        <v>42.599800000000002</v>
      </c>
      <c r="S26" s="60">
        <v>39.685299999999998</v>
      </c>
      <c r="T26" s="60">
        <v>0.96923139999999997</v>
      </c>
      <c r="U26" s="60">
        <v>0.98194300000000001</v>
      </c>
      <c r="V26" s="60">
        <v>0.96976399999999996</v>
      </c>
      <c r="W26" s="60">
        <v>1435.1980000000001</v>
      </c>
      <c r="X26" s="60">
        <v>0.57199999999999995</v>
      </c>
      <c r="Y26" s="15" t="e">
        <f>#REF!</f>
        <v>#REF!</v>
      </c>
      <c r="Z26" s="16">
        <f t="shared" si="5"/>
        <v>0.39866611111111111</v>
      </c>
      <c r="AA26" s="10">
        <f t="shared" si="6"/>
        <v>5.29906217693103</v>
      </c>
      <c r="AB26" s="15">
        <f t="shared" si="26"/>
        <v>1.0812854442344044</v>
      </c>
      <c r="AC26" s="15" t="e">
        <f t="shared" si="26"/>
        <v>#REF!</v>
      </c>
      <c r="AD26" s="16">
        <f t="shared" si="7"/>
        <v>5.1750319693094505E-3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>
        <f>V26/J26</f>
        <v>1.0000037122571719</v>
      </c>
      <c r="AY26" s="15">
        <f t="shared" si="33"/>
        <v>1.0812854442344044</v>
      </c>
      <c r="AZ26" s="15">
        <f t="shared" si="10"/>
        <v>5.2990621769310291</v>
      </c>
      <c r="BA26" s="15">
        <f>V26/J26</f>
        <v>1.0000037122571719</v>
      </c>
      <c r="BB26" s="15">
        <f t="shared" si="31"/>
        <v>1.0812854442344044</v>
      </c>
      <c r="BC26" s="15">
        <f t="shared" si="11"/>
        <v>5.2990621769310291</v>
      </c>
      <c r="BD26" s="1">
        <f t="shared" si="12"/>
        <v>0</v>
      </c>
    </row>
    <row r="27" spans="1:56" ht="15.75" thickBot="1" x14ac:dyDescent="0.25">
      <c r="A27" s="13"/>
      <c r="B27" s="17"/>
      <c r="C27" s="44">
        <v>42</v>
      </c>
      <c r="D27" s="55">
        <v>1608</v>
      </c>
      <c r="E27" s="55">
        <v>33.255299999999998</v>
      </c>
      <c r="F27" s="55">
        <v>41.583399999999997</v>
      </c>
      <c r="G27" s="55">
        <v>38.837299999999999</v>
      </c>
      <c r="H27" s="55">
        <v>0.95043560000000005</v>
      </c>
      <c r="I27" s="55">
        <v>0.97720079999999998</v>
      </c>
      <c r="J27" s="55">
        <v>0.96220300000000003</v>
      </c>
      <c r="K27" s="55">
        <v>123.259</v>
      </c>
      <c r="L27" s="55">
        <v>0.46700000000000003</v>
      </c>
      <c r="M27" s="19" t="e">
        <f>#REF!</f>
        <v>#REF!</v>
      </c>
      <c r="N27" s="20">
        <f t="shared" si="0"/>
        <v>3.4238611111111109E-2</v>
      </c>
      <c r="P27" s="60">
        <v>1612.32</v>
      </c>
      <c r="Q27" s="60">
        <v>33.255499999999998</v>
      </c>
      <c r="R27" s="60">
        <v>41.597200000000001</v>
      </c>
      <c r="S27" s="60">
        <v>38.8523</v>
      </c>
      <c r="T27" s="60">
        <v>0.9502659</v>
      </c>
      <c r="U27" s="60">
        <v>0.9773558</v>
      </c>
      <c r="V27" s="60">
        <v>0.96187060000000002</v>
      </c>
      <c r="W27" s="60">
        <v>800.94299999999998</v>
      </c>
      <c r="X27" s="60">
        <v>0.504</v>
      </c>
      <c r="Y27" s="19" t="e">
        <f>#REF!</f>
        <v>#REF!</v>
      </c>
      <c r="Z27" s="20">
        <f t="shared" si="5"/>
        <v>0.22248416666666665</v>
      </c>
      <c r="AA27" s="10">
        <f t="shared" si="6"/>
        <v>6.4980488240209642</v>
      </c>
      <c r="AB27" s="15">
        <f t="shared" si="26"/>
        <v>1.0792291220556745</v>
      </c>
      <c r="AC27" s="15" t="e">
        <f t="shared" si="26"/>
        <v>#REF!</v>
      </c>
      <c r="AD27" s="20">
        <f t="shared" si="7"/>
        <v>2.6865671641790648E-3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>
        <f>V27/J27</f>
        <v>0.99965454275241294</v>
      </c>
      <c r="AY27" s="15">
        <f t="shared" si="33"/>
        <v>1.0792291220556745</v>
      </c>
      <c r="AZ27" s="15">
        <f t="shared" si="10"/>
        <v>6.4980488240209642</v>
      </c>
      <c r="BA27" s="15"/>
      <c r="BB27" s="15"/>
      <c r="BC27" s="15"/>
      <c r="BD27" s="1">
        <f t="shared" si="12"/>
        <v>0</v>
      </c>
    </row>
    <row r="28" spans="1:56" ht="15.75" thickBot="1" x14ac:dyDescent="0.25">
      <c r="A28" s="13"/>
      <c r="B28" s="13" t="s">
        <v>45</v>
      </c>
      <c r="C28" s="39">
        <v>22</v>
      </c>
      <c r="D28" s="55">
        <v>48051.4</v>
      </c>
      <c r="E28" s="55">
        <v>47.258000000000003</v>
      </c>
      <c r="F28" s="55">
        <v>40.761600000000001</v>
      </c>
      <c r="G28" s="55">
        <v>41.324800000000003</v>
      </c>
      <c r="H28" s="55">
        <v>0.99746360000000001</v>
      </c>
      <c r="I28" s="55">
        <v>0.99217290000000002</v>
      </c>
      <c r="J28" s="55">
        <v>0.9910911</v>
      </c>
      <c r="K28" s="55">
        <v>1837.3530000000001</v>
      </c>
      <c r="L28" s="55">
        <v>1.1240000000000001</v>
      </c>
      <c r="M28" s="10" t="e">
        <f>#REF!</f>
        <v>#REF!</v>
      </c>
      <c r="N28" s="11">
        <f t="shared" si="0"/>
        <v>0.51037583333333336</v>
      </c>
      <c r="P28" s="60">
        <v>48086.75</v>
      </c>
      <c r="Q28" s="60">
        <v>47.269100000000002</v>
      </c>
      <c r="R28" s="60">
        <v>40.769599999999997</v>
      </c>
      <c r="S28" s="60">
        <v>41.324599999999997</v>
      </c>
      <c r="T28" s="60">
        <v>0.99746699999999999</v>
      </c>
      <c r="U28" s="60">
        <v>0.99221139999999997</v>
      </c>
      <c r="V28" s="60">
        <v>0.99112719999999999</v>
      </c>
      <c r="W28" s="60">
        <v>4130.0379999999996</v>
      </c>
      <c r="X28" s="60">
        <v>1.1499999999999999</v>
      </c>
      <c r="Y28" s="10" t="e">
        <f>#REF!</f>
        <v>#REF!</v>
      </c>
      <c r="Z28" s="11">
        <f t="shared" si="5"/>
        <v>1.1472327777777775</v>
      </c>
      <c r="AA28" s="10">
        <f t="shared" si="6"/>
        <v>2.2478195534554324</v>
      </c>
      <c r="AB28" s="15">
        <f t="shared" si="26"/>
        <v>1.0231316725978645</v>
      </c>
      <c r="AC28" s="15" t="e">
        <f t="shared" si="26"/>
        <v>#REF!</v>
      </c>
      <c r="AD28" s="11">
        <f t="shared" si="7"/>
        <v>7.3567055278303116E-4</v>
      </c>
      <c r="AE28" s="12"/>
      <c r="AF28" s="25">
        <f t="shared" ref="AF28:AK28" si="34">bdRateExtend($D28:$D32,E28:E32,$P28:$P32,Q28:Q32)</f>
        <v>-2.4441535588848318E-4</v>
      </c>
      <c r="AG28" s="30">
        <f t="shared" si="34"/>
        <v>5.2096005372925802E-5</v>
      </c>
      <c r="AH28" s="31">
        <f t="shared" si="34"/>
        <v>1.47153201916006E-3</v>
      </c>
      <c r="AI28" s="25">
        <f>bdRateExtend($D28:$D32,H28:H32,$P28:$P32,T28:T32)</f>
        <v>-6.8901172620383644E-4</v>
      </c>
      <c r="AJ28" s="30">
        <f t="shared" si="34"/>
        <v>-2.086033831753098E-3</v>
      </c>
      <c r="AK28" s="30">
        <f t="shared" si="34"/>
        <v>6.0889629749052432E-3</v>
      </c>
      <c r="AL28" s="45"/>
      <c r="AM28" s="46"/>
      <c r="AN28" s="47"/>
      <c r="AO28" s="46"/>
      <c r="AP28" s="46"/>
      <c r="AQ28" s="47"/>
      <c r="AR28" s="30">
        <f t="shared" ref="AR28:AW28" si="35">bdrate($D28:$D31,E28:E31,$P28:$P31,Q28:Q31)</f>
        <v>-1.4587929717047032E-4</v>
      </c>
      <c r="AS28" s="30">
        <f t="shared" si="35"/>
        <v>1.3644856192018828E-4</v>
      </c>
      <c r="AT28" s="31">
        <f t="shared" si="35"/>
        <v>1.2261199191796468E-3</v>
      </c>
      <c r="AU28" s="25">
        <f t="shared" si="35"/>
        <v>-2.3341170350055229E-4</v>
      </c>
      <c r="AV28" s="30">
        <f t="shared" si="35"/>
        <v>-2.7980703707655152E-3</v>
      </c>
      <c r="AW28" s="31">
        <f t="shared" si="35"/>
        <v>4.7926204769974667E-3</v>
      </c>
      <c r="AX28" s="15"/>
      <c r="AY28" s="15"/>
      <c r="AZ28" s="15"/>
      <c r="BA28" s="15">
        <f>V28/J28</f>
        <v>1.0000364245022482</v>
      </c>
      <c r="BB28" s="15">
        <f t="shared" ref="BB28:BB31" si="36">X28/L28</f>
        <v>1.0231316725978645</v>
      </c>
      <c r="BC28" s="15">
        <f t="shared" si="11"/>
        <v>2.2478195534554324</v>
      </c>
      <c r="BD28" s="1">
        <f t="shared" si="12"/>
        <v>1</v>
      </c>
    </row>
    <row r="29" spans="1:56" ht="15.75" thickBot="1" x14ac:dyDescent="0.25">
      <c r="A29" s="13"/>
      <c r="B29" s="13"/>
      <c r="C29" s="43">
        <v>27</v>
      </c>
      <c r="D29" s="55">
        <v>26154.799999999999</v>
      </c>
      <c r="E29" s="55">
        <v>43.455100000000002</v>
      </c>
      <c r="F29" s="55">
        <v>36.7104</v>
      </c>
      <c r="G29" s="55">
        <v>37.781500000000001</v>
      </c>
      <c r="H29" s="55">
        <v>0.993668</v>
      </c>
      <c r="I29" s="55">
        <v>0.98099899999999995</v>
      </c>
      <c r="J29" s="55">
        <v>0.97997040000000002</v>
      </c>
      <c r="K29" s="55">
        <v>1307.0920000000001</v>
      </c>
      <c r="L29" s="55">
        <v>0.999</v>
      </c>
      <c r="M29" s="15" t="e">
        <f>#REF!</f>
        <v>#REF!</v>
      </c>
      <c r="N29" s="16">
        <f t="shared" si="0"/>
        <v>0.36308111111111113</v>
      </c>
      <c r="P29" s="60">
        <v>26146.95</v>
      </c>
      <c r="Q29" s="60">
        <v>43.450099999999999</v>
      </c>
      <c r="R29" s="60">
        <v>36.703099999999999</v>
      </c>
      <c r="S29" s="60">
        <v>37.769399999999997</v>
      </c>
      <c r="T29" s="60">
        <v>0.99366200000000005</v>
      </c>
      <c r="U29" s="60">
        <v>0.98102540000000005</v>
      </c>
      <c r="V29" s="60">
        <v>0.9799059</v>
      </c>
      <c r="W29" s="60">
        <v>3431.7849999999999</v>
      </c>
      <c r="X29" s="60">
        <v>1.012</v>
      </c>
      <c r="Y29" s="15" t="e">
        <f>#REF!</f>
        <v>#REF!</v>
      </c>
      <c r="Z29" s="16">
        <f t="shared" si="5"/>
        <v>0.95327361111111109</v>
      </c>
      <c r="AA29" s="10">
        <f t="shared" si="6"/>
        <v>2.6255114406637019</v>
      </c>
      <c r="AB29" s="15">
        <f t="shared" si="26"/>
        <v>1.0130130130130131</v>
      </c>
      <c r="AC29" s="15" t="e">
        <f t="shared" si="26"/>
        <v>#REF!</v>
      </c>
      <c r="AD29" s="16">
        <f t="shared" si="7"/>
        <v>3.0013611268289356E-4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-3.3230313817200763E-4</v>
      </c>
      <c r="AM29" s="21">
        <f>bdrate($D29:$D32,F29:F32,$P29:$P32,R29:R32)</f>
        <v>-5.6999429363491227E-4</v>
      </c>
      <c r="AN29" s="36">
        <f t="shared" ref="AN29" si="37">bdrate($D29:$D32,G29:G32,$P29:$P32,S29:S32)</f>
        <v>9.0202327605659605E-4</v>
      </c>
      <c r="AO29" s="26">
        <f>bdrate($D29:$D32,H29:H32,$P29:$P32,T29:T32)</f>
        <v>-7.6265268132846842E-4</v>
      </c>
      <c r="AP29" s="21">
        <f>bdrate($D29:$D32,I29:I32,$P29:$P32,U29:U32)</f>
        <v>-2.2127981849803247E-3</v>
      </c>
      <c r="AQ29" s="36">
        <f>bdrate($D29:$D32,J29:J32,$P29:$P32,V29:V32)</f>
        <v>7.1096353858763894E-3</v>
      </c>
      <c r="AR29" s="21"/>
      <c r="AS29" s="21"/>
      <c r="AT29" s="36"/>
      <c r="AU29" s="26"/>
      <c r="AV29" s="21"/>
      <c r="AW29" s="36"/>
      <c r="AX29" s="15">
        <f>V29/J29</f>
        <v>0.99993418168548764</v>
      </c>
      <c r="AY29" s="15">
        <f t="shared" ref="AY29:AY32" si="38">X29/L29</f>
        <v>1.0130130130130131</v>
      </c>
      <c r="AZ29" s="15">
        <f t="shared" si="10"/>
        <v>2.6255114406637019</v>
      </c>
      <c r="BA29" s="15">
        <f>V29/J29</f>
        <v>0.99993418168548764</v>
      </c>
      <c r="BB29" s="15">
        <f t="shared" si="36"/>
        <v>1.0130130130130131</v>
      </c>
      <c r="BC29" s="15">
        <f t="shared" si="11"/>
        <v>2.6255114406637019</v>
      </c>
      <c r="BD29" s="1">
        <f t="shared" si="12"/>
        <v>0</v>
      </c>
    </row>
    <row r="30" spans="1:56" ht="15.75" thickBot="1" x14ac:dyDescent="0.25">
      <c r="A30" s="13"/>
      <c r="B30" s="13"/>
      <c r="C30" s="43">
        <v>32</v>
      </c>
      <c r="D30" s="55">
        <v>13873.05</v>
      </c>
      <c r="E30" s="55">
        <v>39.771500000000003</v>
      </c>
      <c r="F30" s="55">
        <v>33.796300000000002</v>
      </c>
      <c r="G30" s="55">
        <v>35.299199999999999</v>
      </c>
      <c r="H30" s="55">
        <v>0.98488059999999999</v>
      </c>
      <c r="I30" s="55">
        <v>0.96511959999999997</v>
      </c>
      <c r="J30" s="55">
        <v>0.96295260000000005</v>
      </c>
      <c r="K30" s="55">
        <v>907.17700000000002</v>
      </c>
      <c r="L30" s="55">
        <v>0.872</v>
      </c>
      <c r="M30" s="15" t="e">
        <f>#REF!</f>
        <v>#REF!</v>
      </c>
      <c r="N30" s="16">
        <f t="shared" si="0"/>
        <v>0.25199361111111113</v>
      </c>
      <c r="P30" s="60">
        <v>13879.05</v>
      </c>
      <c r="Q30" s="60">
        <v>39.7744</v>
      </c>
      <c r="R30" s="60">
        <v>33.802599999999998</v>
      </c>
      <c r="S30" s="60">
        <v>35.302900000000001</v>
      </c>
      <c r="T30" s="60">
        <v>0.98488520000000002</v>
      </c>
      <c r="U30" s="60">
        <v>0.9652345</v>
      </c>
      <c r="V30" s="60">
        <v>0.9627675</v>
      </c>
      <c r="W30" s="60">
        <v>2788.5940000000001</v>
      </c>
      <c r="X30" s="60">
        <v>0.81100000000000005</v>
      </c>
      <c r="Y30" s="15" t="e">
        <f>#REF!</f>
        <v>#REF!</v>
      </c>
      <c r="Z30" s="16">
        <f t="shared" si="5"/>
        <v>0.77460944444444446</v>
      </c>
      <c r="AA30" s="10">
        <f t="shared" si="6"/>
        <v>3.0739249341638955</v>
      </c>
      <c r="AB30" s="15">
        <f t="shared" si="26"/>
        <v>0.93004587155963314</v>
      </c>
      <c r="AC30" s="15" t="e">
        <f t="shared" si="26"/>
        <v>#REF!</v>
      </c>
      <c r="AD30" s="16">
        <f t="shared" si="7"/>
        <v>4.324932152626856E-4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>
        <f>V30/J30</f>
        <v>0.99980777870063386</v>
      </c>
      <c r="AY30" s="15">
        <f t="shared" si="38"/>
        <v>0.93004587155963314</v>
      </c>
      <c r="AZ30" s="15">
        <f t="shared" si="10"/>
        <v>3.073924934163895</v>
      </c>
      <c r="BA30" s="15">
        <f>V30/J30</f>
        <v>0.99980777870063386</v>
      </c>
      <c r="BB30" s="15">
        <f t="shared" si="36"/>
        <v>0.93004587155963314</v>
      </c>
      <c r="BC30" s="15">
        <f t="shared" si="11"/>
        <v>3.073924934163895</v>
      </c>
      <c r="BD30" s="1">
        <f t="shared" si="12"/>
        <v>0</v>
      </c>
    </row>
    <row r="31" spans="1:56" ht="15.75" thickBot="1" x14ac:dyDescent="0.25">
      <c r="A31" s="13"/>
      <c r="B31" s="13"/>
      <c r="C31" s="43">
        <v>37</v>
      </c>
      <c r="D31" s="55">
        <v>7454.15</v>
      </c>
      <c r="E31" s="55">
        <v>36.262999999999998</v>
      </c>
      <c r="F31" s="55">
        <v>31.7028</v>
      </c>
      <c r="G31" s="55">
        <v>33.405500000000004</v>
      </c>
      <c r="H31" s="55">
        <v>0.96621210000000002</v>
      </c>
      <c r="I31" s="55">
        <v>0.93891820000000004</v>
      </c>
      <c r="J31" s="55">
        <v>0.94061439999999996</v>
      </c>
      <c r="K31" s="55">
        <v>576.43200000000002</v>
      </c>
      <c r="L31" s="55">
        <v>0.755</v>
      </c>
      <c r="M31" s="15" t="e">
        <f>#REF!</f>
        <v>#REF!</v>
      </c>
      <c r="N31" s="16">
        <f t="shared" si="0"/>
        <v>0.16012000000000001</v>
      </c>
      <c r="P31" s="60">
        <v>7448.35</v>
      </c>
      <c r="Q31" s="60">
        <v>36.268000000000001</v>
      </c>
      <c r="R31" s="60">
        <v>31.700600000000001</v>
      </c>
      <c r="S31" s="60">
        <v>33.397500000000001</v>
      </c>
      <c r="T31" s="60">
        <v>0.96626800000000002</v>
      </c>
      <c r="U31" s="60">
        <v>0.93907759999999996</v>
      </c>
      <c r="V31" s="60">
        <v>0.94030670000000005</v>
      </c>
      <c r="W31" s="60">
        <v>1922.336</v>
      </c>
      <c r="X31" s="60">
        <v>0.66800000000000004</v>
      </c>
      <c r="Y31" s="15" t="e">
        <f>#REF!</f>
        <v>#REF!</v>
      </c>
      <c r="Z31" s="16">
        <f t="shared" si="5"/>
        <v>0.53398222222222225</v>
      </c>
      <c r="AA31" s="10">
        <f t="shared" si="6"/>
        <v>3.3348877230965663</v>
      </c>
      <c r="AB31" s="15">
        <f t="shared" si="26"/>
        <v>0.8847682119205299</v>
      </c>
      <c r="AC31" s="15" t="e">
        <f t="shared" si="26"/>
        <v>#REF!</v>
      </c>
      <c r="AD31" s="16">
        <f t="shared" si="7"/>
        <v>7.7809005721635237E-4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>
        <f>V31/J31</f>
        <v>0.99967287338998856</v>
      </c>
      <c r="AY31" s="15">
        <f t="shared" si="38"/>
        <v>0.8847682119205299</v>
      </c>
      <c r="AZ31" s="15">
        <f t="shared" si="10"/>
        <v>3.3348877230965663</v>
      </c>
      <c r="BA31" s="15">
        <f>V31/J31</f>
        <v>0.99967287338998856</v>
      </c>
      <c r="BB31" s="15">
        <f t="shared" si="36"/>
        <v>0.8847682119205299</v>
      </c>
      <c r="BC31" s="15">
        <f t="shared" si="11"/>
        <v>3.3348877230965663</v>
      </c>
      <c r="BD31" s="1">
        <f t="shared" si="12"/>
        <v>0</v>
      </c>
    </row>
    <row r="32" spans="1:56" ht="15.75" thickBot="1" x14ac:dyDescent="0.25">
      <c r="A32" s="13"/>
      <c r="B32" s="17"/>
      <c r="C32" s="44">
        <v>42</v>
      </c>
      <c r="D32" s="55">
        <v>3685.35</v>
      </c>
      <c r="E32" s="55">
        <v>33.1509</v>
      </c>
      <c r="F32" s="55">
        <v>30.258099999999999</v>
      </c>
      <c r="G32" s="55">
        <v>32.2667</v>
      </c>
      <c r="H32" s="55">
        <v>0.93639269999999997</v>
      </c>
      <c r="I32" s="55">
        <v>0.91253759999999995</v>
      </c>
      <c r="J32" s="55">
        <v>0.91952009999999995</v>
      </c>
      <c r="K32" s="55">
        <v>319.39400000000001</v>
      </c>
      <c r="L32" s="55">
        <v>0.56599999999999995</v>
      </c>
      <c r="M32" s="19" t="e">
        <f>#REF!</f>
        <v>#REF!</v>
      </c>
      <c r="N32" s="20">
        <f t="shared" si="0"/>
        <v>8.8720555555555553E-2</v>
      </c>
      <c r="P32" s="60">
        <v>3688.6</v>
      </c>
      <c r="Q32" s="60">
        <v>33.145699999999998</v>
      </c>
      <c r="R32" s="60">
        <v>30.263999999999999</v>
      </c>
      <c r="S32" s="60">
        <v>32.267400000000002</v>
      </c>
      <c r="T32" s="60">
        <v>0.93631359999999997</v>
      </c>
      <c r="U32" s="60">
        <v>0.91231839999999997</v>
      </c>
      <c r="V32" s="60">
        <v>0.91929590000000005</v>
      </c>
      <c r="W32" s="60">
        <v>1299.5609999999999</v>
      </c>
      <c r="X32" s="60">
        <v>0.57899999999999996</v>
      </c>
      <c r="Y32" s="19" t="e">
        <f>#REF!</f>
        <v>#REF!</v>
      </c>
      <c r="Z32" s="20">
        <f t="shared" si="5"/>
        <v>0.36098916666666664</v>
      </c>
      <c r="AA32" s="10">
        <f t="shared" si="6"/>
        <v>4.0688334783997195</v>
      </c>
      <c r="AB32" s="15">
        <f t="shared" si="26"/>
        <v>1.0229681978798586</v>
      </c>
      <c r="AC32" s="15" t="e">
        <f t="shared" si="26"/>
        <v>#REF!</v>
      </c>
      <c r="AD32" s="20">
        <f t="shared" si="7"/>
        <v>8.8187010731680842E-4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>
        <f>V32/J32</f>
        <v>0.99975617716241338</v>
      </c>
      <c r="AY32" s="15">
        <f t="shared" si="38"/>
        <v>1.0229681978798586</v>
      </c>
      <c r="AZ32" s="15">
        <f t="shared" si="10"/>
        <v>4.0688334783997195</v>
      </c>
      <c r="BA32" s="15"/>
      <c r="BB32" s="15"/>
      <c r="BC32" s="15"/>
      <c r="BD32" s="1">
        <f t="shared" si="12"/>
        <v>0</v>
      </c>
    </row>
    <row r="33" spans="1:56" ht="15.75" thickBot="1" x14ac:dyDescent="0.25">
      <c r="A33" s="48" t="s">
        <v>1</v>
      </c>
      <c r="B33" s="8" t="s">
        <v>3</v>
      </c>
      <c r="C33" s="39">
        <v>22</v>
      </c>
      <c r="D33" s="55">
        <v>6245.8</v>
      </c>
      <c r="E33" s="55">
        <v>41.873100000000001</v>
      </c>
      <c r="F33" s="55">
        <v>45.771799999999999</v>
      </c>
      <c r="G33" s="55">
        <v>47.801900000000003</v>
      </c>
      <c r="H33" s="55">
        <v>0.99408819999999998</v>
      </c>
      <c r="I33" s="55">
        <v>0.99565170000000003</v>
      </c>
      <c r="J33" s="55">
        <v>0.997255</v>
      </c>
      <c r="K33" s="55">
        <v>1034.3779999999999</v>
      </c>
      <c r="L33" s="55">
        <v>0.312</v>
      </c>
      <c r="M33" s="10" t="e">
        <f>#REF!</f>
        <v>#REF!</v>
      </c>
      <c r="N33" s="11">
        <f t="shared" si="0"/>
        <v>0.28732722222222218</v>
      </c>
      <c r="P33" s="60">
        <v>6241.4</v>
      </c>
      <c r="Q33" s="60">
        <v>41.872999999999998</v>
      </c>
      <c r="R33" s="60">
        <v>45.786799999999999</v>
      </c>
      <c r="S33" s="60">
        <v>47.826599999999999</v>
      </c>
      <c r="T33" s="60">
        <v>0.99409270000000005</v>
      </c>
      <c r="U33" s="60">
        <v>0.99567410000000001</v>
      </c>
      <c r="V33" s="60">
        <v>0.99727860000000002</v>
      </c>
      <c r="W33" s="60">
        <v>1976.56</v>
      </c>
      <c r="X33" s="60">
        <v>0.33400000000000002</v>
      </c>
      <c r="Y33" s="10" t="e">
        <f>#REF!</f>
        <v>#REF!</v>
      </c>
      <c r="Z33" s="11">
        <f t="shared" si="5"/>
        <v>0.54904444444444445</v>
      </c>
      <c r="AA33" s="10">
        <f t="shared" si="6"/>
        <v>1.9108681739170787</v>
      </c>
      <c r="AB33" s="10">
        <f>X33/L33</f>
        <v>1.0705128205128205</v>
      </c>
      <c r="AC33" s="10" t="e">
        <f>Y33/M33</f>
        <v>#REF!</v>
      </c>
      <c r="AD33" s="11">
        <f t="shared" si="7"/>
        <v>7.0447340612900602E-4</v>
      </c>
      <c r="AE33" s="40"/>
      <c r="AF33" s="25">
        <f t="shared" ref="AF33:AK33" si="39">bdRateExtend($D33:$D37,E33:E37,$P33:$P37,Q33:Q37)</f>
        <v>1.829056026940723E-4</v>
      </c>
      <c r="AG33" s="30">
        <f t="shared" si="39"/>
        <v>-3.6311071993577748E-3</v>
      </c>
      <c r="AH33" s="31">
        <f t="shared" si="39"/>
        <v>1.1433644226848561E-2</v>
      </c>
      <c r="AI33" s="25">
        <f t="shared" si="39"/>
        <v>-5.1359561419261901E-4</v>
      </c>
      <c r="AJ33" s="30">
        <f t="shared" si="39"/>
        <v>-1.0943791514270718E-3</v>
      </c>
      <c r="AK33" s="30">
        <f t="shared" si="39"/>
        <v>2.4749390622746725E-2</v>
      </c>
      <c r="AL33" s="26"/>
      <c r="AM33" s="21"/>
      <c r="AN33" s="36"/>
      <c r="AO33" s="21"/>
      <c r="AP33" s="21"/>
      <c r="AQ33" s="36"/>
      <c r="AR33" s="30">
        <f t="shared" ref="AR33:AW33" si="40">bdrate($D33:$D36,E33:E36,$P33:$P36,Q33:Q36)</f>
        <v>-6.3308116274196635E-5</v>
      </c>
      <c r="AS33" s="30">
        <f t="shared" si="40"/>
        <v>9.4584862204238895E-4</v>
      </c>
      <c r="AT33" s="31">
        <f t="shared" si="40"/>
        <v>6.3670387165317699E-3</v>
      </c>
      <c r="AU33" s="25">
        <f t="shared" si="40"/>
        <v>3.8877812679927182E-4</v>
      </c>
      <c r="AV33" s="30">
        <f t="shared" si="40"/>
        <v>8.969788498384812E-3</v>
      </c>
      <c r="AW33" s="31">
        <f t="shared" si="40"/>
        <v>1.0006784988540574E-2</v>
      </c>
      <c r="AX33" s="10"/>
      <c r="AY33" s="10"/>
      <c r="AZ33" s="10"/>
      <c r="BA33" s="10">
        <f>V33/J33</f>
        <v>1.000023664960316</v>
      </c>
      <c r="BB33" s="10">
        <f t="shared" ref="BB33:BB36" si="41">X33/L33</f>
        <v>1.0705128205128205</v>
      </c>
      <c r="BC33" s="10">
        <f t="shared" si="11"/>
        <v>1.910868173917079</v>
      </c>
      <c r="BD33" s="1">
        <f t="shared" si="12"/>
        <v>0</v>
      </c>
    </row>
    <row r="34" spans="1:56" ht="15.75" thickBot="1" x14ac:dyDescent="0.25">
      <c r="A34" s="13" t="s">
        <v>20</v>
      </c>
      <c r="C34" s="43">
        <v>27</v>
      </c>
      <c r="D34" s="55">
        <v>2406.0500000000002</v>
      </c>
      <c r="E34" s="55">
        <v>39.974400000000003</v>
      </c>
      <c r="F34" s="55">
        <v>44.491300000000003</v>
      </c>
      <c r="G34" s="55">
        <v>45.711199999999998</v>
      </c>
      <c r="H34" s="55">
        <v>0.99043020000000004</v>
      </c>
      <c r="I34" s="55">
        <v>0.99301569999999995</v>
      </c>
      <c r="J34" s="55">
        <v>0.99501629999999996</v>
      </c>
      <c r="K34" s="55">
        <v>426.53500000000003</v>
      </c>
      <c r="L34" s="55">
        <v>0.25600000000000001</v>
      </c>
      <c r="M34" s="15" t="e">
        <f>#REF!</f>
        <v>#REF!</v>
      </c>
      <c r="N34" s="16">
        <f t="shared" si="0"/>
        <v>0.11848194444444445</v>
      </c>
      <c r="P34" s="60">
        <v>2394.5500000000002</v>
      </c>
      <c r="Q34" s="60">
        <v>39.9649</v>
      </c>
      <c r="R34" s="60">
        <v>44.479199999999999</v>
      </c>
      <c r="S34" s="60">
        <v>45.701500000000003</v>
      </c>
      <c r="T34" s="60">
        <v>0.99039929999999998</v>
      </c>
      <c r="U34" s="60">
        <v>0.99297259999999998</v>
      </c>
      <c r="V34" s="60">
        <v>0.99502900000000005</v>
      </c>
      <c r="W34" s="60">
        <v>1246.319</v>
      </c>
      <c r="X34" s="60">
        <v>0.25900000000000001</v>
      </c>
      <c r="Y34" s="15" t="e">
        <f>#REF!</f>
        <v>#REF!</v>
      </c>
      <c r="Z34" s="16">
        <f t="shared" si="5"/>
        <v>0.34619972222222223</v>
      </c>
      <c r="AA34" s="10">
        <f t="shared" si="6"/>
        <v>2.9219618554163196</v>
      </c>
      <c r="AB34" s="15">
        <f t="shared" ref="AB34:AC57" si="42">X34/L34</f>
        <v>1.01171875</v>
      </c>
      <c r="AC34" s="15" t="e">
        <f t="shared" si="42"/>
        <v>#REF!</v>
      </c>
      <c r="AD34" s="16">
        <f t="shared" si="7"/>
        <v>4.7796180461752661E-3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3.1330992482248021E-4</v>
      </c>
      <c r="AM34" s="21">
        <f>bdrate($D34:$D37,F34:F37,$P34:$P37,R34:R37)</f>
        <v>-2.980134199979334E-3</v>
      </c>
      <c r="AN34" s="36">
        <f t="shared" ref="AN34" si="43">bdrate($D34:$D37,G34:G37,$P34:$P37,S34:S37)</f>
        <v>1.8692165259569959E-2</v>
      </c>
      <c r="AO34" s="26">
        <f>bdrate($D34:$D37,H34:H37,$P34:$P37,T34:T37)</f>
        <v>-6.4858788573141091E-4</v>
      </c>
      <c r="AP34" s="21">
        <f>bdrate($D34:$D37,I34:I37,$P34:$P37,U34:U37)</f>
        <v>-4.5892670604141816E-4</v>
      </c>
      <c r="AQ34" s="36">
        <f>bdrate($D34:$D37,J34:J37,$P34:$P37,V34:V37)</f>
        <v>3.1110429434904274E-2</v>
      </c>
      <c r="AR34" s="21"/>
      <c r="AS34" s="21"/>
      <c r="AT34" s="36"/>
      <c r="AU34" s="26"/>
      <c r="AV34" s="21"/>
      <c r="AW34" s="36"/>
      <c r="AX34" s="15">
        <f>V34/J34</f>
        <v>1.0000127636100034</v>
      </c>
      <c r="AY34" s="15">
        <f t="shared" ref="AY34:AY37" si="44">X34/L34</f>
        <v>1.01171875</v>
      </c>
      <c r="AZ34" s="15">
        <f t="shared" si="10"/>
        <v>2.92196185541632</v>
      </c>
      <c r="BA34" s="15">
        <f>V34/J34</f>
        <v>1.0000127636100034</v>
      </c>
      <c r="BB34" s="15">
        <f t="shared" si="41"/>
        <v>1.01171875</v>
      </c>
      <c r="BC34" s="15">
        <f t="shared" si="11"/>
        <v>2.92196185541632</v>
      </c>
      <c r="BD34" s="1">
        <f t="shared" si="12"/>
        <v>0</v>
      </c>
    </row>
    <row r="35" spans="1:56" ht="15.75" thickBot="1" x14ac:dyDescent="0.25">
      <c r="A35" s="13"/>
      <c r="B35" s="13"/>
      <c r="C35" s="43">
        <v>32</v>
      </c>
      <c r="D35" s="55">
        <v>1217.95</v>
      </c>
      <c r="E35" s="55">
        <v>38.596299999999999</v>
      </c>
      <c r="F35" s="55">
        <v>43.113399999999999</v>
      </c>
      <c r="G35" s="55">
        <v>43.573</v>
      </c>
      <c r="H35" s="55">
        <v>0.9851143</v>
      </c>
      <c r="I35" s="55">
        <v>0.98915620000000004</v>
      </c>
      <c r="J35" s="55">
        <v>0.99137580000000003</v>
      </c>
      <c r="K35" s="55">
        <v>226.98</v>
      </c>
      <c r="L35" s="55">
        <v>0.223</v>
      </c>
      <c r="M35" s="15" t="e">
        <f>#REF!</f>
        <v>#REF!</v>
      </c>
      <c r="N35" s="16">
        <f t="shared" si="0"/>
        <v>6.3049999999999995E-2</v>
      </c>
      <c r="P35" s="60">
        <v>1221.55</v>
      </c>
      <c r="Q35" s="60">
        <v>38.605200000000004</v>
      </c>
      <c r="R35" s="60">
        <v>43.100299999999997</v>
      </c>
      <c r="S35" s="60">
        <v>43.536499999999997</v>
      </c>
      <c r="T35" s="60">
        <v>0.98514639999999998</v>
      </c>
      <c r="U35" s="60">
        <v>0.98901510000000004</v>
      </c>
      <c r="V35" s="60">
        <v>0.99130569999999996</v>
      </c>
      <c r="W35" s="60">
        <v>883.44899999999996</v>
      </c>
      <c r="X35" s="60">
        <v>0.23400000000000001</v>
      </c>
      <c r="Y35" s="15" t="e">
        <f>#REF!</f>
        <v>#REF!</v>
      </c>
      <c r="Z35" s="16">
        <f t="shared" si="5"/>
        <v>0.2454025</v>
      </c>
      <c r="AA35" s="10">
        <f t="shared" si="6"/>
        <v>3.8921887390959555</v>
      </c>
      <c r="AB35" s="15">
        <f t="shared" si="42"/>
        <v>1.0493273542600898</v>
      </c>
      <c r="AC35" s="15" t="e">
        <f t="shared" si="42"/>
        <v>#REF!</v>
      </c>
      <c r="AD35" s="16">
        <f t="shared" si="7"/>
        <v>2.9557863623300702E-3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>
        <f>V35/J35</f>
        <v>0.99992929018440835</v>
      </c>
      <c r="AY35" s="15">
        <f t="shared" si="44"/>
        <v>1.0493273542600898</v>
      </c>
      <c r="AZ35" s="15">
        <f t="shared" si="10"/>
        <v>3.892188739095956</v>
      </c>
      <c r="BA35" s="15">
        <f>V35/J35</f>
        <v>0.99992929018440835</v>
      </c>
      <c r="BB35" s="15">
        <f t="shared" si="41"/>
        <v>1.0493273542600898</v>
      </c>
      <c r="BC35" s="15">
        <f t="shared" si="11"/>
        <v>3.892188739095956</v>
      </c>
      <c r="BD35" s="1">
        <f t="shared" si="12"/>
        <v>0</v>
      </c>
    </row>
    <row r="36" spans="1:56" ht="15.75" thickBot="1" x14ac:dyDescent="0.25">
      <c r="A36" s="13"/>
      <c r="B36" s="13"/>
      <c r="C36" s="43">
        <v>37</v>
      </c>
      <c r="D36" s="55">
        <v>690.95</v>
      </c>
      <c r="E36" s="55">
        <v>37.0154</v>
      </c>
      <c r="F36" s="55">
        <v>41.824100000000001</v>
      </c>
      <c r="G36" s="55">
        <v>41.897199999999998</v>
      </c>
      <c r="H36" s="55">
        <v>0.97539719999999996</v>
      </c>
      <c r="I36" s="55">
        <v>0.98449209999999998</v>
      </c>
      <c r="J36" s="55">
        <v>0.98750660000000001</v>
      </c>
      <c r="K36" s="55">
        <v>109.65300000000001</v>
      </c>
      <c r="L36" s="55">
        <v>0.19400000000000001</v>
      </c>
      <c r="M36" s="15" t="e">
        <f>#REF!</f>
        <v>#REF!</v>
      </c>
      <c r="N36" s="16">
        <f t="shared" si="0"/>
        <v>3.0459166666666669E-2</v>
      </c>
      <c r="P36" s="60">
        <v>692.5</v>
      </c>
      <c r="Q36" s="60">
        <v>37.014600000000002</v>
      </c>
      <c r="R36" s="60">
        <v>41.864699999999999</v>
      </c>
      <c r="S36" s="60">
        <v>41.795699999999997</v>
      </c>
      <c r="T36" s="60">
        <v>0.97542470000000003</v>
      </c>
      <c r="U36" s="60">
        <v>0.98469890000000004</v>
      </c>
      <c r="V36" s="60">
        <v>0.98710819999999999</v>
      </c>
      <c r="W36" s="60">
        <v>521.05700000000002</v>
      </c>
      <c r="X36" s="60">
        <v>0.434</v>
      </c>
      <c r="Y36" s="15" t="e">
        <f>#REF!</f>
        <v>#REF!</v>
      </c>
      <c r="Z36" s="16">
        <f t="shared" si="5"/>
        <v>0.14473805555555555</v>
      </c>
      <c r="AA36" s="10">
        <f t="shared" si="6"/>
        <v>4.7518718138126639</v>
      </c>
      <c r="AB36" s="15">
        <f t="shared" si="42"/>
        <v>2.2371134020618557</v>
      </c>
      <c r="AC36" s="15" t="e">
        <f t="shared" si="42"/>
        <v>#REF!</v>
      </c>
      <c r="AD36" s="16">
        <f t="shared" si="7"/>
        <v>2.2432882263549525E-3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>
        <f>V36/J36</f>
        <v>0.99959655965843675</v>
      </c>
      <c r="AY36" s="15">
        <f t="shared" si="44"/>
        <v>2.2371134020618557</v>
      </c>
      <c r="AZ36" s="15">
        <f t="shared" si="10"/>
        <v>4.751871813812663</v>
      </c>
      <c r="BA36" s="15">
        <f>V36/J36</f>
        <v>0.99959655965843675</v>
      </c>
      <c r="BB36" s="15">
        <f t="shared" si="41"/>
        <v>2.2371134020618557</v>
      </c>
      <c r="BC36" s="15">
        <f t="shared" si="11"/>
        <v>4.751871813812663</v>
      </c>
      <c r="BD36" s="1">
        <f t="shared" si="12"/>
        <v>0</v>
      </c>
    </row>
    <row r="37" spans="1:56" ht="15.75" thickBot="1" x14ac:dyDescent="0.25">
      <c r="A37" s="13"/>
      <c r="B37" s="17"/>
      <c r="C37" s="44">
        <v>42</v>
      </c>
      <c r="D37" s="55">
        <v>392.7</v>
      </c>
      <c r="E37" s="55">
        <v>35.052100000000003</v>
      </c>
      <c r="F37" s="55">
        <v>40.542999999999999</v>
      </c>
      <c r="G37" s="55">
        <v>40.207999999999998</v>
      </c>
      <c r="H37" s="55">
        <v>0.95775180000000004</v>
      </c>
      <c r="I37" s="55">
        <v>0.97814809999999996</v>
      </c>
      <c r="J37" s="55">
        <v>0.98149529999999996</v>
      </c>
      <c r="K37" s="55">
        <v>54.526000000000003</v>
      </c>
      <c r="L37" s="55">
        <v>0.17499999999999999</v>
      </c>
      <c r="M37" s="19" t="e">
        <f>#REF!</f>
        <v>#REF!</v>
      </c>
      <c r="N37" s="20">
        <f t="shared" si="0"/>
        <v>1.5146111111111112E-2</v>
      </c>
      <c r="P37" s="60">
        <v>389.1</v>
      </c>
      <c r="Q37" s="60">
        <v>35.030500000000004</v>
      </c>
      <c r="R37" s="60">
        <v>40.539200000000001</v>
      </c>
      <c r="S37" s="60">
        <v>40.162100000000002</v>
      </c>
      <c r="T37" s="60">
        <v>0.95755310000000005</v>
      </c>
      <c r="U37" s="60">
        <v>0.97787279999999999</v>
      </c>
      <c r="V37" s="60">
        <v>0.98096110000000003</v>
      </c>
      <c r="W37" s="60">
        <v>311.85199999999998</v>
      </c>
      <c r="X37" s="60">
        <v>0.17799999999999999</v>
      </c>
      <c r="Y37" s="19" t="e">
        <f>#REF!</f>
        <v>#REF!</v>
      </c>
      <c r="Z37" s="20">
        <f t="shared" si="5"/>
        <v>8.6625555555555553E-2</v>
      </c>
      <c r="AA37" s="10">
        <f t="shared" si="6"/>
        <v>5.7193265598063299</v>
      </c>
      <c r="AB37" s="15">
        <f t="shared" si="42"/>
        <v>1.0171428571428571</v>
      </c>
      <c r="AC37" s="15" t="e">
        <f t="shared" si="42"/>
        <v>#REF!</v>
      </c>
      <c r="AD37" s="20">
        <f t="shared" si="7"/>
        <v>9.1673032849502577E-3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>
        <f>V37/J37</f>
        <v>0.99945572841765018</v>
      </c>
      <c r="AY37" s="15">
        <f t="shared" si="44"/>
        <v>1.0171428571428571</v>
      </c>
      <c r="AZ37" s="15">
        <f t="shared" si="10"/>
        <v>5.7193265598063308</v>
      </c>
      <c r="BA37" s="15"/>
      <c r="BB37" s="15"/>
      <c r="BC37" s="15"/>
      <c r="BD37" s="1">
        <f t="shared" si="12"/>
        <v>0</v>
      </c>
    </row>
    <row r="38" spans="1:56" ht="15.75" thickBot="1" x14ac:dyDescent="0.25">
      <c r="A38" s="13"/>
      <c r="B38" s="8" t="s">
        <v>4</v>
      </c>
      <c r="C38" s="39">
        <v>22</v>
      </c>
      <c r="D38" s="55">
        <v>21640.32</v>
      </c>
      <c r="E38" s="55">
        <v>43.419800000000002</v>
      </c>
      <c r="F38" s="55">
        <v>43.3459</v>
      </c>
      <c r="G38" s="55">
        <v>45.120100000000001</v>
      </c>
      <c r="H38" s="55">
        <v>0.99740549999999994</v>
      </c>
      <c r="I38" s="55">
        <v>0.99340539999999999</v>
      </c>
      <c r="J38" s="55">
        <v>0.9947587</v>
      </c>
      <c r="K38" s="55">
        <v>701.721</v>
      </c>
      <c r="L38" s="55">
        <v>0.46800000000000003</v>
      </c>
      <c r="M38" s="10" t="e">
        <f>#REF!</f>
        <v>#REF!</v>
      </c>
      <c r="N38" s="11">
        <f t="shared" si="0"/>
        <v>0.1949225</v>
      </c>
      <c r="P38" s="60">
        <v>21632.04</v>
      </c>
      <c r="Q38" s="60">
        <v>43.420299999999997</v>
      </c>
      <c r="R38" s="60">
        <v>43.3399</v>
      </c>
      <c r="S38" s="60">
        <v>45.101999999999997</v>
      </c>
      <c r="T38" s="60">
        <v>0.99740280000000003</v>
      </c>
      <c r="U38" s="60">
        <v>0.99342010000000003</v>
      </c>
      <c r="V38" s="60">
        <v>0.99473089999999997</v>
      </c>
      <c r="W38" s="60">
        <v>1207.2550000000001</v>
      </c>
      <c r="X38" s="60">
        <v>0.45300000000000001</v>
      </c>
      <c r="Y38" s="10" t="e">
        <f>#REF!</f>
        <v>#REF!</v>
      </c>
      <c r="Z38" s="11">
        <f t="shared" si="5"/>
        <v>0.33534861111111114</v>
      </c>
      <c r="AA38" s="10">
        <f t="shared" si="6"/>
        <v>1.7204202239921567</v>
      </c>
      <c r="AB38" s="15">
        <f t="shared" si="42"/>
        <v>0.96794871794871795</v>
      </c>
      <c r="AC38" s="15" t="e">
        <f t="shared" si="42"/>
        <v>#REF!</v>
      </c>
      <c r="AD38" s="11">
        <f t="shared" si="7"/>
        <v>3.8261911099275964E-4</v>
      </c>
      <c r="AE38" s="12"/>
      <c r="AF38" s="25">
        <f t="shared" ref="AF38:AK38" si="45">bdRateExtend($D38:$D42,E38:E42,$P38:$P42,Q38:Q42)</f>
        <v>1.914709548014315E-4</v>
      </c>
      <c r="AG38" s="30">
        <f>bdRateExtend($D38:$D42,F38:F42,$P38:$P42,R38:R42)</f>
        <v>-3.5611284196457316E-3</v>
      </c>
      <c r="AH38" s="31">
        <f t="shared" si="45"/>
        <v>1.4548794756592542E-3</v>
      </c>
      <c r="AI38" s="25">
        <f t="shared" si="45"/>
        <v>1.6257057347990322E-3</v>
      </c>
      <c r="AJ38" s="30">
        <f t="shared" si="45"/>
        <v>-4.8397490426536072E-3</v>
      </c>
      <c r="AK38" s="30">
        <f t="shared" si="45"/>
        <v>8.2825779255701892E-3</v>
      </c>
      <c r="AL38" s="45"/>
      <c r="AM38" s="46"/>
      <c r="AN38" s="47"/>
      <c r="AO38" s="46"/>
      <c r="AP38" s="46"/>
      <c r="AQ38" s="47"/>
      <c r="AR38" s="30">
        <f t="shared" ref="AR38:AW38" si="46">bdrate($D38:$D41,E38:E41,$P38:$P41,Q38:Q41)</f>
        <v>3.6184320177823359E-4</v>
      </c>
      <c r="AS38" s="30">
        <f t="shared" si="46"/>
        <v>5.7080424826971843E-4</v>
      </c>
      <c r="AT38" s="31">
        <f t="shared" si="46"/>
        <v>4.9257514972458338E-3</v>
      </c>
      <c r="AU38" s="25">
        <f t="shared" si="46"/>
        <v>-1.3394763133178778E-3</v>
      </c>
      <c r="AV38" s="30">
        <f t="shared" si="46"/>
        <v>2.6251044377070265E-3</v>
      </c>
      <c r="AW38" s="31">
        <f t="shared" si="46"/>
        <v>1.2463984131222183E-2</v>
      </c>
      <c r="AX38" s="15"/>
      <c r="AY38" s="15"/>
      <c r="AZ38" s="15"/>
      <c r="BA38" s="15">
        <f>V38/J38</f>
        <v>0.99997205352413598</v>
      </c>
      <c r="BB38" s="15">
        <f t="shared" ref="BB38:BB41" si="47">X38/L38</f>
        <v>0.96794871794871795</v>
      </c>
      <c r="BC38" s="15">
        <f t="shared" si="11"/>
        <v>1.7204202239921567</v>
      </c>
      <c r="BD38" s="1">
        <f t="shared" si="12"/>
        <v>0</v>
      </c>
    </row>
    <row r="39" spans="1:56" ht="15.75" thickBot="1" x14ac:dyDescent="0.25">
      <c r="A39" s="13"/>
      <c r="C39" s="43">
        <v>27</v>
      </c>
      <c r="D39" s="55">
        <v>11146.44</v>
      </c>
      <c r="E39" s="55">
        <v>38.411799999999999</v>
      </c>
      <c r="F39" s="55">
        <v>41.185400000000001</v>
      </c>
      <c r="G39" s="55">
        <v>43.370100000000001</v>
      </c>
      <c r="H39" s="55">
        <v>0.99279689999999998</v>
      </c>
      <c r="I39" s="55">
        <v>0.98693070000000005</v>
      </c>
      <c r="J39" s="55">
        <v>0.9905986</v>
      </c>
      <c r="K39" s="55">
        <v>623.38099999999997</v>
      </c>
      <c r="L39" s="55">
        <v>0.38</v>
      </c>
      <c r="M39" s="15" t="e">
        <f>#REF!</f>
        <v>#REF!</v>
      </c>
      <c r="N39" s="16">
        <f t="shared" si="0"/>
        <v>0.17316138888888888</v>
      </c>
      <c r="P39" s="60">
        <v>11134.68</v>
      </c>
      <c r="Q39" s="60">
        <v>38.400799999999997</v>
      </c>
      <c r="R39" s="60">
        <v>41.163499999999999</v>
      </c>
      <c r="S39" s="60">
        <v>43.3474</v>
      </c>
      <c r="T39" s="60">
        <v>0.99279280000000003</v>
      </c>
      <c r="U39" s="60">
        <v>0.98684899999999998</v>
      </c>
      <c r="V39" s="60">
        <v>0.9904345</v>
      </c>
      <c r="W39" s="60">
        <v>1358.9480000000001</v>
      </c>
      <c r="X39" s="60">
        <v>0.4</v>
      </c>
      <c r="Y39" s="15" t="e">
        <f>#REF!</f>
        <v>#REF!</v>
      </c>
      <c r="Z39" s="16">
        <f t="shared" si="5"/>
        <v>0.37748555555555557</v>
      </c>
      <c r="AA39" s="10">
        <f t="shared" si="6"/>
        <v>2.1799637781709742</v>
      </c>
      <c r="AB39" s="15">
        <f t="shared" si="42"/>
        <v>1.0526315789473684</v>
      </c>
      <c r="AC39" s="15" t="e">
        <f t="shared" si="42"/>
        <v>#REF!</v>
      </c>
      <c r="AD39" s="16">
        <f t="shared" si="7"/>
        <v>1.0550453777170305E-3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9.2737823192967639E-5</v>
      </c>
      <c r="AM39" s="21">
        <f>bdrate($D39:$D42,F39:F42,$P39:$P42,R39:R42)</f>
        <v>-8.6296818361624172E-3</v>
      </c>
      <c r="AN39" s="36">
        <f t="shared" ref="AN39" si="48">bdrate($D39:$D42,G39:G42,$P39:$P42,S39:S42)</f>
        <v>-1.2290182250742632E-3</v>
      </c>
      <c r="AO39" s="26">
        <f>bdrate($D39:$D42,H39:H42,$P39:$P42,T39:T42)</f>
        <v>1.7835725440917827E-3</v>
      </c>
      <c r="AP39" s="21">
        <f>bdrate($D39:$D42,I39:I42,$P39:$P42,U39:U42)</f>
        <v>-6.1581339231226995E-3</v>
      </c>
      <c r="AQ39" s="36">
        <f>bdrate($D39:$D42,J39:J42,$P39:$P42,V39:V42)</f>
        <v>6.6407206453069634E-3</v>
      </c>
      <c r="AR39" s="21"/>
      <c r="AS39" s="21"/>
      <c r="AT39" s="36"/>
      <c r="AU39" s="26"/>
      <c r="AV39" s="21"/>
      <c r="AW39" s="36"/>
      <c r="AX39" s="15">
        <f>V39/J39</f>
        <v>0.99983434258841064</v>
      </c>
      <c r="AY39" s="15">
        <f t="shared" ref="AY39:AY42" si="49">X39/L39</f>
        <v>1.0526315789473684</v>
      </c>
      <c r="AZ39" s="15">
        <f t="shared" si="10"/>
        <v>2.1799637781709742</v>
      </c>
      <c r="BA39" s="15">
        <f>V39/J39</f>
        <v>0.99983434258841064</v>
      </c>
      <c r="BB39" s="15">
        <f t="shared" si="47"/>
        <v>1.0526315789473684</v>
      </c>
      <c r="BC39" s="15">
        <f t="shared" si="11"/>
        <v>2.1799637781709742</v>
      </c>
      <c r="BD39" s="1">
        <f t="shared" si="12"/>
        <v>0</v>
      </c>
    </row>
    <row r="40" spans="1:56" ht="15.75" thickBot="1" x14ac:dyDescent="0.25">
      <c r="A40" s="13"/>
      <c r="B40" s="13"/>
      <c r="C40" s="43">
        <v>32</v>
      </c>
      <c r="D40" s="55">
        <v>5961.9</v>
      </c>
      <c r="E40" s="55">
        <v>35.216500000000003</v>
      </c>
      <c r="F40" s="55">
        <v>39.502299999999998</v>
      </c>
      <c r="G40" s="55">
        <v>41.894399999999997</v>
      </c>
      <c r="H40" s="55">
        <v>0.98681350000000001</v>
      </c>
      <c r="I40" s="55">
        <v>0.97695270000000001</v>
      </c>
      <c r="J40" s="55">
        <v>0.98452399999999995</v>
      </c>
      <c r="K40" s="55">
        <v>412.25599999999997</v>
      </c>
      <c r="L40" s="55">
        <v>0.36299999999999999</v>
      </c>
      <c r="M40" s="15" t="e">
        <f>#REF!</f>
        <v>#REF!</v>
      </c>
      <c r="N40" s="16">
        <f t="shared" si="0"/>
        <v>0.11451555555555555</v>
      </c>
      <c r="P40" s="60">
        <v>5967.18</v>
      </c>
      <c r="Q40" s="60">
        <v>35.219799999999999</v>
      </c>
      <c r="R40" s="60">
        <v>39.515599999999999</v>
      </c>
      <c r="S40" s="60">
        <v>41.883499999999998</v>
      </c>
      <c r="T40" s="60">
        <v>0.98686960000000001</v>
      </c>
      <c r="U40" s="60">
        <v>0.97684740000000003</v>
      </c>
      <c r="V40" s="60">
        <v>0.98438040000000004</v>
      </c>
      <c r="W40" s="60">
        <v>1165.498</v>
      </c>
      <c r="X40" s="60">
        <v>0.35199999999999998</v>
      </c>
      <c r="Y40" s="15" t="e">
        <f>#REF!</f>
        <v>#REF!</v>
      </c>
      <c r="Z40" s="16">
        <f t="shared" si="5"/>
        <v>0.32374944444444448</v>
      </c>
      <c r="AA40" s="10">
        <f t="shared" si="6"/>
        <v>2.8271219824575025</v>
      </c>
      <c r="AB40" s="15">
        <f t="shared" si="42"/>
        <v>0.96969696969696972</v>
      </c>
      <c r="AC40" s="15" t="e">
        <f t="shared" si="42"/>
        <v>#REF!</v>
      </c>
      <c r="AD40" s="16">
        <f t="shared" si="7"/>
        <v>8.8562371056217907E-4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>
        <f>V40/J40</f>
        <v>0.99985414271262063</v>
      </c>
      <c r="AY40" s="15">
        <f t="shared" si="49"/>
        <v>0.96969696969696972</v>
      </c>
      <c r="AZ40" s="15">
        <f t="shared" si="10"/>
        <v>2.8271219824575025</v>
      </c>
      <c r="BA40" s="15">
        <f>V40/J40</f>
        <v>0.99985414271262063</v>
      </c>
      <c r="BB40" s="15">
        <f t="shared" si="47"/>
        <v>0.96969696969696972</v>
      </c>
      <c r="BC40" s="15">
        <f t="shared" si="11"/>
        <v>2.8271219824575025</v>
      </c>
      <c r="BD40" s="1">
        <f t="shared" si="12"/>
        <v>0</v>
      </c>
    </row>
    <row r="41" spans="1:56" ht="15.75" thickBot="1" x14ac:dyDescent="0.25">
      <c r="A41" s="13"/>
      <c r="B41" s="13"/>
      <c r="C41" s="43">
        <v>37</v>
      </c>
      <c r="D41" s="55">
        <v>3237.78</v>
      </c>
      <c r="E41" s="55">
        <v>32.332999999999998</v>
      </c>
      <c r="F41" s="55">
        <v>37.931199999999997</v>
      </c>
      <c r="G41" s="55">
        <v>40.298900000000003</v>
      </c>
      <c r="H41" s="55">
        <v>0.97572769999999998</v>
      </c>
      <c r="I41" s="55">
        <v>0.96423420000000004</v>
      </c>
      <c r="J41" s="55">
        <v>0.97644120000000001</v>
      </c>
      <c r="K41" s="55">
        <v>288.79500000000002</v>
      </c>
      <c r="L41" s="55">
        <v>0.28799999999999998</v>
      </c>
      <c r="M41" s="15" t="e">
        <f>#REF!</f>
        <v>#REF!</v>
      </c>
      <c r="N41" s="16">
        <f t="shared" si="0"/>
        <v>8.0220833333333338E-2</v>
      </c>
      <c r="P41" s="60">
        <v>3245.28</v>
      </c>
      <c r="Q41" s="60">
        <v>32.342599999999997</v>
      </c>
      <c r="R41" s="60">
        <v>37.962000000000003</v>
      </c>
      <c r="S41" s="60">
        <v>40.326799999999999</v>
      </c>
      <c r="T41" s="60">
        <v>0.97569779999999995</v>
      </c>
      <c r="U41" s="60">
        <v>0.96457729999999997</v>
      </c>
      <c r="V41" s="60">
        <v>0.97648559999999995</v>
      </c>
      <c r="W41" s="60">
        <v>915.26199999999994</v>
      </c>
      <c r="X41" s="60">
        <v>0.26700000000000002</v>
      </c>
      <c r="Y41" s="15" t="e">
        <f>#REF!</f>
        <v>#REF!</v>
      </c>
      <c r="Z41" s="16">
        <f t="shared" si="5"/>
        <v>0.25423944444444441</v>
      </c>
      <c r="AA41" s="10">
        <f t="shared" si="6"/>
        <v>3.169244619886078</v>
      </c>
      <c r="AB41" s="15">
        <f t="shared" si="42"/>
        <v>0.92708333333333348</v>
      </c>
      <c r="AC41" s="15" t="e">
        <f t="shared" si="42"/>
        <v>#REF!</v>
      </c>
      <c r="AD41" s="16">
        <f t="shared" si="7"/>
        <v>2.3164019791338509E-3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>
        <f>V41/J41</f>
        <v>1.0000454712480382</v>
      </c>
      <c r="AY41" s="15">
        <f t="shared" si="49"/>
        <v>0.92708333333333348</v>
      </c>
      <c r="AZ41" s="15">
        <f t="shared" si="10"/>
        <v>3.1692446198860775</v>
      </c>
      <c r="BA41" s="15">
        <f>V41/J41</f>
        <v>1.0000454712480382</v>
      </c>
      <c r="BB41" s="15">
        <f t="shared" si="47"/>
        <v>0.92708333333333348</v>
      </c>
      <c r="BC41" s="15">
        <f t="shared" si="11"/>
        <v>3.1692446198860775</v>
      </c>
      <c r="BD41" s="1">
        <f t="shared" si="12"/>
        <v>0</v>
      </c>
    </row>
    <row r="42" spans="1:56" ht="15.75" thickBot="1" x14ac:dyDescent="0.25">
      <c r="A42" s="13"/>
      <c r="B42" s="17"/>
      <c r="C42" s="44">
        <v>42</v>
      </c>
      <c r="D42" s="55">
        <v>1667.04</v>
      </c>
      <c r="E42" s="55">
        <v>29.448399999999999</v>
      </c>
      <c r="F42" s="55">
        <v>37.022199999999998</v>
      </c>
      <c r="G42" s="55">
        <v>39.545200000000001</v>
      </c>
      <c r="H42" s="55">
        <v>0.95368600000000003</v>
      </c>
      <c r="I42" s="55">
        <v>0.95199449999999997</v>
      </c>
      <c r="J42" s="55">
        <v>0.97042390000000001</v>
      </c>
      <c r="K42" s="55">
        <v>185.56899999999999</v>
      </c>
      <c r="L42" s="55">
        <v>0.22700000000000001</v>
      </c>
      <c r="M42" s="19" t="e">
        <f>#REF!</f>
        <v>#REF!</v>
      </c>
      <c r="N42" s="20">
        <f t="shared" si="0"/>
        <v>5.1546944444444444E-2</v>
      </c>
      <c r="P42" s="60">
        <v>1673.04</v>
      </c>
      <c r="Q42" s="60">
        <v>29.470199999999998</v>
      </c>
      <c r="R42" s="60">
        <v>37.081899999999997</v>
      </c>
      <c r="S42" s="60">
        <v>39.557000000000002</v>
      </c>
      <c r="T42" s="60">
        <v>0.95379919999999996</v>
      </c>
      <c r="U42" s="60">
        <v>0.95244530000000005</v>
      </c>
      <c r="V42" s="60">
        <v>0.97043979999999996</v>
      </c>
      <c r="W42" s="60">
        <v>694.16399999999999</v>
      </c>
      <c r="X42" s="60">
        <v>0.247</v>
      </c>
      <c r="Y42" s="19" t="e">
        <f>#REF!</f>
        <v>#REF!</v>
      </c>
      <c r="Z42" s="20">
        <f t="shared" si="5"/>
        <v>0.19282333333333332</v>
      </c>
      <c r="AA42" s="10">
        <f t="shared" si="6"/>
        <v>3.7407325577009094</v>
      </c>
      <c r="AB42" s="15">
        <f t="shared" si="42"/>
        <v>1.0881057268722467</v>
      </c>
      <c r="AC42" s="15" t="e">
        <f t="shared" si="42"/>
        <v>#REF!</v>
      </c>
      <c r="AD42" s="20">
        <f t="shared" si="7"/>
        <v>3.5991937805931471E-3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>
        <f>V42/J42</f>
        <v>1.0000163845923415</v>
      </c>
      <c r="AY42" s="15">
        <f t="shared" si="49"/>
        <v>1.0881057268722467</v>
      </c>
      <c r="AZ42" s="15">
        <f t="shared" si="10"/>
        <v>3.740732557700909</v>
      </c>
      <c r="BA42" s="15"/>
      <c r="BB42" s="15"/>
      <c r="BC42" s="15"/>
      <c r="BD42" s="1">
        <f t="shared" si="12"/>
        <v>0</v>
      </c>
    </row>
    <row r="43" spans="1:56" ht="15.75" thickBot="1" x14ac:dyDescent="0.25">
      <c r="A43" s="13"/>
      <c r="B43" s="8" t="s">
        <v>2</v>
      </c>
      <c r="C43" s="39">
        <v>22</v>
      </c>
      <c r="D43" s="55">
        <v>12716.7</v>
      </c>
      <c r="E43" s="55">
        <v>41.201599999999999</v>
      </c>
      <c r="F43" s="55">
        <v>41.544199999999996</v>
      </c>
      <c r="G43" s="55">
        <v>44.517800000000001</v>
      </c>
      <c r="H43" s="55">
        <v>0.99469059999999998</v>
      </c>
      <c r="I43" s="55">
        <v>0.99106269999999996</v>
      </c>
      <c r="J43" s="55">
        <v>0.99503889999999995</v>
      </c>
      <c r="K43" s="55">
        <v>750.48199999999997</v>
      </c>
      <c r="L43" s="55">
        <v>0.41899999999999998</v>
      </c>
      <c r="M43" s="10" t="e">
        <f>#REF!</f>
        <v>#REF!</v>
      </c>
      <c r="N43" s="11">
        <f t="shared" si="0"/>
        <v>0.20846722222222222</v>
      </c>
      <c r="P43" s="60">
        <v>12697.55</v>
      </c>
      <c r="Q43" s="60">
        <v>41.194099999999999</v>
      </c>
      <c r="R43" s="60">
        <v>41.540300000000002</v>
      </c>
      <c r="S43" s="60">
        <v>44.5458</v>
      </c>
      <c r="T43" s="60">
        <v>0.99468670000000003</v>
      </c>
      <c r="U43" s="60">
        <v>0.99103730000000001</v>
      </c>
      <c r="V43" s="60">
        <v>0.99509190000000003</v>
      </c>
      <c r="W43" s="60">
        <v>1753.827</v>
      </c>
      <c r="X43" s="60">
        <v>0.42699999999999999</v>
      </c>
      <c r="Y43" s="10" t="e">
        <f>#REF!</f>
        <v>#REF!</v>
      </c>
      <c r="Z43" s="11">
        <f t="shared" si="5"/>
        <v>0.48717416666666669</v>
      </c>
      <c r="AA43" s="10">
        <f t="shared" si="6"/>
        <v>2.33693413033224</v>
      </c>
      <c r="AB43" s="15">
        <f t="shared" si="42"/>
        <v>1.0190930787589498</v>
      </c>
      <c r="AC43" s="15" t="e">
        <f t="shared" si="42"/>
        <v>#REF!</v>
      </c>
      <c r="AD43" s="11">
        <f t="shared" si="7"/>
        <v>1.5058938246558819E-3</v>
      </c>
      <c r="AE43" s="12"/>
      <c r="AF43" s="25">
        <f t="shared" ref="AF43:AK43" si="50">bdRateExtend($D43:$D47,E43:E47,$P43:$P47,Q43:Q47)</f>
        <v>-6.0852898057150995E-4</v>
      </c>
      <c r="AG43" s="30">
        <f t="shared" si="50"/>
        <v>1.3632975288282445E-3</v>
      </c>
      <c r="AH43" s="31">
        <f t="shared" si="50"/>
        <v>1.0132812708352201E-3</v>
      </c>
      <c r="AI43" s="25">
        <f t="shared" si="50"/>
        <v>1.5978518940749087E-3</v>
      </c>
      <c r="AJ43" s="30">
        <f t="shared" si="50"/>
        <v>4.8525125530314295E-3</v>
      </c>
      <c r="AK43" s="30">
        <f t="shared" si="50"/>
        <v>2.9714021602349483E-3</v>
      </c>
      <c r="AL43" s="26"/>
      <c r="AM43" s="21"/>
      <c r="AN43" s="36"/>
      <c r="AO43" s="21"/>
      <c r="AP43" s="21"/>
      <c r="AQ43" s="36"/>
      <c r="AR43" s="30">
        <f t="shared" ref="AR43:AW43" si="51">bdrate($D43:$D46,E43:E46,$P43:$P46,Q43:Q46)</f>
        <v>-7.6278728279643992E-4</v>
      </c>
      <c r="AS43" s="30">
        <f t="shared" si="51"/>
        <v>-1.2407815487190943E-3</v>
      </c>
      <c r="AT43" s="31">
        <f t="shared" si="51"/>
        <v>-4.4294808748694958E-3</v>
      </c>
      <c r="AU43" s="25">
        <f t="shared" si="51"/>
        <v>3.1054977304423304E-4</v>
      </c>
      <c r="AV43" s="30">
        <f t="shared" si="51"/>
        <v>3.3106199595827057E-3</v>
      </c>
      <c r="AW43" s="31">
        <f t="shared" si="51"/>
        <v>7.9607737800018175E-3</v>
      </c>
      <c r="AX43" s="15"/>
      <c r="AY43" s="15"/>
      <c r="AZ43" s="15"/>
      <c r="BA43" s="15">
        <f>V43/J43</f>
        <v>1.0000532642492672</v>
      </c>
      <c r="BB43" s="15">
        <f t="shared" ref="BB43:BB46" si="52">X43/L43</f>
        <v>1.0190930787589498</v>
      </c>
      <c r="BC43" s="15">
        <f t="shared" si="11"/>
        <v>2.33693413033224</v>
      </c>
      <c r="BD43" s="1">
        <f t="shared" si="12"/>
        <v>1</v>
      </c>
    </row>
    <row r="44" spans="1:56" ht="15.75" thickBot="1" x14ac:dyDescent="0.25">
      <c r="A44" s="13"/>
      <c r="B44" s="13"/>
      <c r="C44" s="43">
        <v>27</v>
      </c>
      <c r="D44" s="55">
        <v>5492.15</v>
      </c>
      <c r="E44" s="55">
        <v>38.240900000000003</v>
      </c>
      <c r="F44" s="55">
        <v>39.528700000000001</v>
      </c>
      <c r="G44" s="55">
        <v>42.489100000000001</v>
      </c>
      <c r="H44" s="55">
        <v>0.9891993</v>
      </c>
      <c r="I44" s="55">
        <v>0.98274989999999995</v>
      </c>
      <c r="J44" s="55">
        <v>0.99094680000000002</v>
      </c>
      <c r="K44" s="55">
        <v>439.34300000000002</v>
      </c>
      <c r="L44" s="55">
        <v>0.34200000000000003</v>
      </c>
      <c r="M44" s="15" t="e">
        <f>#REF!</f>
        <v>#REF!</v>
      </c>
      <c r="N44" s="16">
        <f t="shared" si="0"/>
        <v>0.12203972222222223</v>
      </c>
      <c r="P44" s="60">
        <v>5483.8</v>
      </c>
      <c r="Q44" s="60">
        <v>38.237900000000003</v>
      </c>
      <c r="R44" s="60">
        <v>39.538899999999998</v>
      </c>
      <c r="S44" s="60">
        <v>42.511499999999998</v>
      </c>
      <c r="T44" s="60">
        <v>0.98920929999999996</v>
      </c>
      <c r="U44" s="60">
        <v>0.98276850000000004</v>
      </c>
      <c r="V44" s="60">
        <v>0.99091910000000005</v>
      </c>
      <c r="W44" s="60">
        <v>1296.5</v>
      </c>
      <c r="X44" s="60">
        <v>0.32100000000000001</v>
      </c>
      <c r="Y44" s="15" t="e">
        <f>#REF!</f>
        <v>#REF!</v>
      </c>
      <c r="Z44" s="16">
        <f t="shared" si="5"/>
        <v>0.3601388888888889</v>
      </c>
      <c r="AA44" s="10">
        <f t="shared" si="6"/>
        <v>2.9509972845817503</v>
      </c>
      <c r="AB44" s="15">
        <f t="shared" si="42"/>
        <v>0.9385964912280701</v>
      </c>
      <c r="AC44" s="15" t="e">
        <f t="shared" si="42"/>
        <v>#REF!</v>
      </c>
      <c r="AD44" s="16">
        <f t="shared" si="7"/>
        <v>1.52035177480576E-3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-9.5725501203136609E-4</v>
      </c>
      <c r="AM44" s="21">
        <f>bdrate($D44:$D47,F44:F47,$P44:$P47,R44:R47)</f>
        <v>5.8963937828433455E-3</v>
      </c>
      <c r="AN44" s="36">
        <f t="shared" ref="AN44" si="53">bdrate($D44:$D47,G44:G47,$P44:$P47,S44:S47)</f>
        <v>5.9578535636695129E-3</v>
      </c>
      <c r="AO44" s="26">
        <f>bdrate($D44:$D47,H44:H47,$P44:$P47,T44:T47)</f>
        <v>2.0060001084589718E-3</v>
      </c>
      <c r="AP44" s="21">
        <f>bdrate($D44:$D47,I44:I47,$P44:$P47,U44:U47)</f>
        <v>7.0648526176502191E-3</v>
      </c>
      <c r="AQ44" s="36">
        <f>bdrate($D44:$D47,J44:J47,$P44:$P47,V44:V47)</f>
        <v>4.3951749680377628E-3</v>
      </c>
      <c r="AR44" s="21"/>
      <c r="AS44" s="21"/>
      <c r="AT44" s="36"/>
      <c r="AU44" s="26"/>
      <c r="AV44" s="21"/>
      <c r="AW44" s="36"/>
      <c r="AX44" s="15">
        <f>V44/J44</f>
        <v>0.99997204693531483</v>
      </c>
      <c r="AY44" s="15">
        <f t="shared" ref="AY44:AY47" si="54">X44/L44</f>
        <v>0.9385964912280701</v>
      </c>
      <c r="AZ44" s="15">
        <f t="shared" si="10"/>
        <v>2.9509972845817503</v>
      </c>
      <c r="BA44" s="15">
        <f>V44/J44</f>
        <v>0.99997204693531483</v>
      </c>
      <c r="BB44" s="15">
        <f t="shared" si="52"/>
        <v>0.9385964912280701</v>
      </c>
      <c r="BC44" s="15">
        <f t="shared" si="11"/>
        <v>2.9509972845817503</v>
      </c>
      <c r="BD44" s="1">
        <f t="shared" si="12"/>
        <v>0</v>
      </c>
    </row>
    <row r="45" spans="1:56" ht="15.75" thickBot="1" x14ac:dyDescent="0.25">
      <c r="A45" s="13"/>
      <c r="B45" s="13"/>
      <c r="C45" s="43">
        <v>32</v>
      </c>
      <c r="D45" s="55">
        <v>2958.35</v>
      </c>
      <c r="E45" s="55">
        <v>36.103999999999999</v>
      </c>
      <c r="F45" s="55">
        <v>38.5002</v>
      </c>
      <c r="G45" s="55">
        <v>40.513800000000003</v>
      </c>
      <c r="H45" s="55">
        <v>0.98172150000000002</v>
      </c>
      <c r="I45" s="55">
        <v>0.97515479999999999</v>
      </c>
      <c r="J45" s="55">
        <v>0.98397769999999996</v>
      </c>
      <c r="K45" s="55">
        <v>278.74</v>
      </c>
      <c r="L45" s="55">
        <v>0.27300000000000002</v>
      </c>
      <c r="M45" s="15" t="e">
        <f>#REF!</f>
        <v>#REF!</v>
      </c>
      <c r="N45" s="16">
        <f t="shared" si="0"/>
        <v>7.7427777777777776E-2</v>
      </c>
      <c r="P45" s="60">
        <v>2963.7</v>
      </c>
      <c r="Q45" s="60">
        <v>36.119</v>
      </c>
      <c r="R45" s="60">
        <v>38.4998</v>
      </c>
      <c r="S45" s="60">
        <v>40.53</v>
      </c>
      <c r="T45" s="60">
        <v>0.9817536</v>
      </c>
      <c r="U45" s="60">
        <v>0.97508660000000003</v>
      </c>
      <c r="V45" s="60">
        <v>0.98381379999999996</v>
      </c>
      <c r="W45" s="60">
        <v>981.84900000000005</v>
      </c>
      <c r="X45" s="60">
        <v>0.27200000000000002</v>
      </c>
      <c r="Y45" s="15" t="e">
        <f>#REF!</f>
        <v>#REF!</v>
      </c>
      <c r="Z45" s="16">
        <f t="shared" si="5"/>
        <v>0.27273583333333334</v>
      </c>
      <c r="AA45" s="10">
        <f t="shared" si="6"/>
        <v>3.5224546172059985</v>
      </c>
      <c r="AB45" s="15">
        <f t="shared" si="42"/>
        <v>0.99633699633699635</v>
      </c>
      <c r="AC45" s="15" t="e">
        <f t="shared" si="42"/>
        <v>#REF!</v>
      </c>
      <c r="AD45" s="16">
        <f t="shared" si="7"/>
        <v>1.8084405158280492E-3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>
        <f>V45/J45</f>
        <v>0.99983343118446688</v>
      </c>
      <c r="AY45" s="15">
        <f t="shared" si="54"/>
        <v>0.99633699633699635</v>
      </c>
      <c r="AZ45" s="15">
        <f t="shared" si="10"/>
        <v>3.5224546172059985</v>
      </c>
      <c r="BA45" s="15">
        <f>V45/J45</f>
        <v>0.99983343118446688</v>
      </c>
      <c r="BB45" s="15">
        <f t="shared" si="52"/>
        <v>0.99633699633699635</v>
      </c>
      <c r="BC45" s="15">
        <f t="shared" si="11"/>
        <v>3.5224546172059985</v>
      </c>
      <c r="BD45" s="1">
        <f t="shared" si="12"/>
        <v>0</v>
      </c>
    </row>
    <row r="46" spans="1:56" ht="15.75" thickBot="1" x14ac:dyDescent="0.25">
      <c r="A46" s="13"/>
      <c r="B46" s="13"/>
      <c r="C46" s="43">
        <v>37</v>
      </c>
      <c r="D46" s="55">
        <v>1595.75</v>
      </c>
      <c r="E46" s="55">
        <v>33.746499999999997</v>
      </c>
      <c r="F46" s="55">
        <v>37.340600000000002</v>
      </c>
      <c r="G46" s="55">
        <v>38.670299999999997</v>
      </c>
      <c r="H46" s="55">
        <v>0.96631849999999997</v>
      </c>
      <c r="I46" s="55">
        <v>0.96486709999999998</v>
      </c>
      <c r="J46" s="55">
        <v>0.97454770000000002</v>
      </c>
      <c r="K46" s="55">
        <v>159.24600000000001</v>
      </c>
      <c r="L46" s="55">
        <v>0.24299999999999999</v>
      </c>
      <c r="M46" s="15" t="e">
        <f>#REF!</f>
        <v>#REF!</v>
      </c>
      <c r="N46" s="16">
        <f t="shared" si="0"/>
        <v>4.4235000000000003E-2</v>
      </c>
      <c r="P46" s="60">
        <v>1597.95</v>
      </c>
      <c r="Q46" s="60">
        <v>33.7468</v>
      </c>
      <c r="R46" s="60">
        <v>37.313200000000002</v>
      </c>
      <c r="S46" s="60">
        <v>38.614199999999997</v>
      </c>
      <c r="T46" s="60">
        <v>0.96616999999999997</v>
      </c>
      <c r="U46" s="60">
        <v>0.96469070000000001</v>
      </c>
      <c r="V46" s="60">
        <v>0.97443210000000002</v>
      </c>
      <c r="W46" s="60">
        <v>701.88699999999994</v>
      </c>
      <c r="X46" s="60">
        <v>0.23699999999999999</v>
      </c>
      <c r="Y46" s="15" t="e">
        <f>#REF!</f>
        <v>#REF!</v>
      </c>
      <c r="Z46" s="16">
        <f t="shared" si="5"/>
        <v>0.19496861111111111</v>
      </c>
      <c r="AA46" s="10">
        <f t="shared" si="6"/>
        <v>4.4075643972219076</v>
      </c>
      <c r="AB46" s="15">
        <f t="shared" si="42"/>
        <v>0.97530864197530864</v>
      </c>
      <c r="AC46" s="15" t="e">
        <f t="shared" si="42"/>
        <v>#REF!</v>
      </c>
      <c r="AD46" s="16">
        <f t="shared" si="7"/>
        <v>1.3786620711264581E-3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>
        <f>V46/J46</f>
        <v>0.99988138087032585</v>
      </c>
      <c r="AY46" s="15">
        <f t="shared" si="54"/>
        <v>0.97530864197530864</v>
      </c>
      <c r="AZ46" s="15">
        <f t="shared" si="10"/>
        <v>4.4075643972219076</v>
      </c>
      <c r="BA46" s="15">
        <f>V46/J46</f>
        <v>0.99988138087032585</v>
      </c>
      <c r="BB46" s="15">
        <f t="shared" si="52"/>
        <v>0.97530864197530864</v>
      </c>
      <c r="BC46" s="15">
        <f t="shared" si="11"/>
        <v>4.4075643972219076</v>
      </c>
      <c r="BD46" s="1">
        <f t="shared" si="12"/>
        <v>0</v>
      </c>
    </row>
    <row r="47" spans="1:56" ht="15.75" thickBot="1" x14ac:dyDescent="0.25">
      <c r="A47" s="13"/>
      <c r="B47" s="17"/>
      <c r="C47" s="44">
        <v>42</v>
      </c>
      <c r="D47" s="55">
        <v>846.8</v>
      </c>
      <c r="E47" s="55">
        <v>31.265499999999999</v>
      </c>
      <c r="F47" s="55">
        <v>36.347099999999998</v>
      </c>
      <c r="G47" s="55">
        <v>37.295200000000001</v>
      </c>
      <c r="H47" s="55">
        <v>0.93750770000000005</v>
      </c>
      <c r="I47" s="55">
        <v>0.95299560000000005</v>
      </c>
      <c r="J47" s="55">
        <v>0.96342369999999999</v>
      </c>
      <c r="K47" s="55">
        <v>86.406999999999996</v>
      </c>
      <c r="L47" s="55">
        <v>0.20799999999999999</v>
      </c>
      <c r="M47" s="19" t="e">
        <f>#REF!</f>
        <v>#REF!</v>
      </c>
      <c r="N47" s="20">
        <f t="shared" si="0"/>
        <v>2.4001944444444444E-2</v>
      </c>
      <c r="P47" s="60">
        <v>839.5</v>
      </c>
      <c r="Q47" s="60">
        <v>31.248999999999999</v>
      </c>
      <c r="R47" s="60">
        <v>36.340699999999998</v>
      </c>
      <c r="S47" s="60">
        <v>37.261000000000003</v>
      </c>
      <c r="T47" s="60">
        <v>0.93728330000000004</v>
      </c>
      <c r="U47" s="60">
        <v>0.9527928</v>
      </c>
      <c r="V47" s="60">
        <v>0.96375809999999995</v>
      </c>
      <c r="W47" s="60">
        <v>455.73399999999998</v>
      </c>
      <c r="X47" s="60">
        <v>0.20300000000000001</v>
      </c>
      <c r="Y47" s="19" t="e">
        <f>#REF!</f>
        <v>#REF!</v>
      </c>
      <c r="Z47" s="20">
        <f t="shared" si="5"/>
        <v>0.12659277777777778</v>
      </c>
      <c r="AA47" s="10">
        <f t="shared" si="6"/>
        <v>5.2742717603897828</v>
      </c>
      <c r="AB47" s="15">
        <f t="shared" si="42"/>
        <v>0.97596153846153855</v>
      </c>
      <c r="AC47" s="15" t="e">
        <f t="shared" si="42"/>
        <v>#REF!</v>
      </c>
      <c r="AD47" s="20">
        <f t="shared" si="7"/>
        <v>8.6206896551723599E-3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>
        <f>V47/J47</f>
        <v>1.000347095467965</v>
      </c>
      <c r="AY47" s="15">
        <f t="shared" si="54"/>
        <v>0.97596153846153855</v>
      </c>
      <c r="AZ47" s="15">
        <f t="shared" si="10"/>
        <v>5.2742717603897837</v>
      </c>
      <c r="BA47" s="15"/>
      <c r="BB47" s="15"/>
      <c r="BC47" s="15"/>
      <c r="BD47" s="1">
        <f t="shared" si="12"/>
        <v>0</v>
      </c>
    </row>
    <row r="48" spans="1:56" ht="15.75" thickBot="1" x14ac:dyDescent="0.25">
      <c r="A48" s="13"/>
      <c r="B48" s="8" t="s">
        <v>47</v>
      </c>
      <c r="C48" s="39">
        <v>22</v>
      </c>
      <c r="D48" s="55">
        <v>9012.06</v>
      </c>
      <c r="E48" s="55">
        <v>42.829099999999997</v>
      </c>
      <c r="F48" s="55">
        <v>45.3399</v>
      </c>
      <c r="G48" s="55">
        <v>46.063000000000002</v>
      </c>
      <c r="H48" s="55">
        <v>0.99473659999999997</v>
      </c>
      <c r="I48" s="55">
        <v>0.99299950000000003</v>
      </c>
      <c r="J48" s="55">
        <v>0.99357669999999998</v>
      </c>
      <c r="K48" s="55">
        <v>560.92100000000005</v>
      </c>
      <c r="L48" s="55">
        <v>0.317</v>
      </c>
      <c r="M48" s="10" t="e">
        <f>#REF!</f>
        <v>#REF!</v>
      </c>
      <c r="N48" s="11">
        <f t="shared" si="0"/>
        <v>0.1558113888888889</v>
      </c>
      <c r="P48" s="60">
        <v>8983.56</v>
      </c>
      <c r="Q48" s="60">
        <v>42.818199999999997</v>
      </c>
      <c r="R48" s="60">
        <v>45.311399999999999</v>
      </c>
      <c r="S48" s="60">
        <v>46.061</v>
      </c>
      <c r="T48" s="60">
        <v>0.99471580000000004</v>
      </c>
      <c r="U48" s="60">
        <v>0.99292219999999998</v>
      </c>
      <c r="V48" s="60">
        <v>0.99356449999999996</v>
      </c>
      <c r="W48" s="60">
        <v>1476.8979999999999</v>
      </c>
      <c r="X48" s="60">
        <v>0.317</v>
      </c>
      <c r="Y48" s="10" t="e">
        <f>#REF!</f>
        <v>#REF!</v>
      </c>
      <c r="Z48" s="11">
        <f t="shared" si="5"/>
        <v>0.41024944444444444</v>
      </c>
      <c r="AA48" s="10">
        <f t="shared" si="6"/>
        <v>2.6329875330037558</v>
      </c>
      <c r="AB48" s="15">
        <f t="shared" si="42"/>
        <v>1</v>
      </c>
      <c r="AC48" s="15" t="e">
        <f t="shared" si="42"/>
        <v>#REF!</v>
      </c>
      <c r="AD48" s="11">
        <f t="shared" si="7"/>
        <v>3.1624290117908669E-3</v>
      </c>
      <c r="AE48" s="12"/>
      <c r="AF48" s="25">
        <f t="shared" ref="AF48:AK48" si="55">bdRateExtend($D48:$D52,E48:E52,$P48:$P52,Q48:Q52)</f>
        <v>-5.496709518334475E-4</v>
      </c>
      <c r="AG48" s="30">
        <f t="shared" si="55"/>
        <v>1.5704074956623737E-2</v>
      </c>
      <c r="AH48" s="31">
        <f t="shared" si="55"/>
        <v>1.7543532448974331E-2</v>
      </c>
      <c r="AI48" s="25">
        <f t="shared" si="55"/>
        <v>-2.1319621663974386E-3</v>
      </c>
      <c r="AJ48" s="30">
        <f t="shared" si="55"/>
        <v>6.0040910308538642E-3</v>
      </c>
      <c r="AK48" s="30">
        <f t="shared" si="55"/>
        <v>2.359676040344727E-2</v>
      </c>
      <c r="AL48" s="45"/>
      <c r="AM48" s="46"/>
      <c r="AN48" s="47"/>
      <c r="AO48" s="46"/>
      <c r="AP48" s="46"/>
      <c r="AQ48" s="47"/>
      <c r="AR48" s="30">
        <f t="shared" ref="AR48:AW48" si="56">bdrate($D48:$D51,E48:E51,$P48:$P51,Q48:Q51)</f>
        <v>1.114365369705439E-4</v>
      </c>
      <c r="AS48" s="30">
        <f t="shared" si="56"/>
        <v>1.0737486374656102E-2</v>
      </c>
      <c r="AT48" s="31">
        <f t="shared" si="56"/>
        <v>1.2497678185624306E-2</v>
      </c>
      <c r="AU48" s="25">
        <f t="shared" si="56"/>
        <v>-1.4752897271602672E-3</v>
      </c>
      <c r="AV48" s="30">
        <f t="shared" si="56"/>
        <v>5.2150957948107202E-3</v>
      </c>
      <c r="AW48" s="31">
        <f t="shared" si="56"/>
        <v>1.1963455555596747E-2</v>
      </c>
      <c r="AX48" s="15"/>
      <c r="AY48" s="15"/>
      <c r="AZ48" s="15"/>
      <c r="BA48" s="15">
        <f>V48/J48</f>
        <v>0.9999877211291287</v>
      </c>
      <c r="BB48" s="15">
        <f t="shared" ref="BB48:BB51" si="57">X48/L48</f>
        <v>1</v>
      </c>
      <c r="BC48" s="15">
        <f t="shared" si="11"/>
        <v>2.6329875330037562</v>
      </c>
      <c r="BD48" s="1">
        <f t="shared" si="12"/>
        <v>0</v>
      </c>
    </row>
    <row r="49" spans="1:56" ht="15.75" thickBot="1" x14ac:dyDescent="0.25">
      <c r="A49" s="13"/>
      <c r="B49" s="13"/>
      <c r="C49" s="43">
        <v>27</v>
      </c>
      <c r="D49" s="55">
        <v>4520.6400000000003</v>
      </c>
      <c r="E49" s="55">
        <v>40.496699999999997</v>
      </c>
      <c r="F49" s="55">
        <v>43.528799999999997</v>
      </c>
      <c r="G49" s="55">
        <v>44.432699999999997</v>
      </c>
      <c r="H49" s="55">
        <v>0.98909899999999995</v>
      </c>
      <c r="I49" s="55">
        <v>0.98801490000000003</v>
      </c>
      <c r="J49" s="55">
        <v>0.98971439999999999</v>
      </c>
      <c r="K49" s="55">
        <v>321.166</v>
      </c>
      <c r="L49" s="55">
        <v>0.27100000000000002</v>
      </c>
      <c r="M49" s="15" t="e">
        <f>#REF!</f>
        <v>#REF!</v>
      </c>
      <c r="N49" s="16">
        <f t="shared" si="0"/>
        <v>8.921277777777778E-2</v>
      </c>
      <c r="P49" s="60">
        <v>4500.3599999999997</v>
      </c>
      <c r="Q49" s="60">
        <v>40.488900000000001</v>
      </c>
      <c r="R49" s="60">
        <v>43.4878</v>
      </c>
      <c r="S49" s="60">
        <v>44.402500000000003</v>
      </c>
      <c r="T49" s="60">
        <v>0.98904879999999995</v>
      </c>
      <c r="U49" s="60">
        <v>0.98784669999999997</v>
      </c>
      <c r="V49" s="60">
        <v>0.9896431</v>
      </c>
      <c r="W49" s="60">
        <v>1085.154</v>
      </c>
      <c r="X49" s="60">
        <v>0.30299999999999999</v>
      </c>
      <c r="Y49" s="15" t="e">
        <f>#REF!</f>
        <v>#REF!</v>
      </c>
      <c r="Z49" s="16">
        <f t="shared" si="5"/>
        <v>0.30143166666666665</v>
      </c>
      <c r="AA49" s="10">
        <f t="shared" si="6"/>
        <v>3.378794766569313</v>
      </c>
      <c r="AB49" s="15">
        <f t="shared" si="42"/>
        <v>1.1180811808118081</v>
      </c>
      <c r="AC49" s="15" t="e">
        <f t="shared" si="42"/>
        <v>#REF!</v>
      </c>
      <c r="AD49" s="16">
        <f t="shared" si="7"/>
        <v>4.4860904650670377E-3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2.8425058147041327E-5</v>
      </c>
      <c r="AM49" s="21">
        <f>bdrate($D49:$D52,F49:F52,$P49:$P52,R49:R52)</f>
        <v>1.711771910390647E-2</v>
      </c>
      <c r="AN49" s="36">
        <f t="shared" ref="AN49" si="58">bdrate($D49:$D52,G49:G52,$P49:$P52,S49:S52)</f>
        <v>2.349282934806296E-2</v>
      </c>
      <c r="AO49" s="26">
        <f>bdrate($D49:$D52,H49:H52,$P49:$P52,T49:T52)</f>
        <v>-2.4277915067215661E-3</v>
      </c>
      <c r="AP49" s="21">
        <f>bdrate($D49:$D52,I49:I52,$P49:$P52,U49:U52)</f>
        <v>3.0690254424980967E-3</v>
      </c>
      <c r="AQ49" s="36">
        <f>bdrate($D49:$D52,J49:J52,$P49:$P52,V49:V52)</f>
        <v>2.8049530706387493E-2</v>
      </c>
      <c r="AR49" s="21"/>
      <c r="AS49" s="21"/>
      <c r="AT49" s="36"/>
      <c r="AU49" s="26"/>
      <c r="AV49" s="21"/>
      <c r="AW49" s="36"/>
      <c r="AX49" s="15">
        <f>V49/J49</f>
        <v>0.99992795901524723</v>
      </c>
      <c r="AY49" s="15">
        <f t="shared" ref="AY49:AY52" si="59">X49/L49</f>
        <v>1.1180811808118081</v>
      </c>
      <c r="AZ49" s="15">
        <f t="shared" si="10"/>
        <v>3.378794766569313</v>
      </c>
      <c r="BA49" s="15">
        <f>V49/J49</f>
        <v>0.99992795901524723</v>
      </c>
      <c r="BB49" s="15">
        <f t="shared" si="57"/>
        <v>1.1180811808118081</v>
      </c>
      <c r="BC49" s="15">
        <f t="shared" si="11"/>
        <v>3.378794766569313</v>
      </c>
      <c r="BD49" s="1">
        <f t="shared" si="12"/>
        <v>0</v>
      </c>
    </row>
    <row r="50" spans="1:56" ht="15.75" thickBot="1" x14ac:dyDescent="0.25">
      <c r="A50" s="13"/>
      <c r="B50" s="13"/>
      <c r="C50" s="43">
        <v>32</v>
      </c>
      <c r="D50" s="55">
        <v>2368.62</v>
      </c>
      <c r="E50" s="55">
        <v>38.313200000000002</v>
      </c>
      <c r="F50" s="55">
        <v>42.151200000000003</v>
      </c>
      <c r="G50" s="55">
        <v>42.735900000000001</v>
      </c>
      <c r="H50" s="55">
        <v>0.97936160000000005</v>
      </c>
      <c r="I50" s="55">
        <v>0.98223059999999995</v>
      </c>
      <c r="J50" s="55">
        <v>0.98384579999999999</v>
      </c>
      <c r="K50" s="55">
        <v>197.68199999999999</v>
      </c>
      <c r="L50" s="55">
        <v>0.23899999999999999</v>
      </c>
      <c r="M50" s="15" t="e">
        <f>#REF!</f>
        <v>#REF!</v>
      </c>
      <c r="N50" s="16">
        <f t="shared" si="0"/>
        <v>5.4911666666666664E-2</v>
      </c>
      <c r="P50" s="60">
        <v>2378.7600000000002</v>
      </c>
      <c r="Q50" s="60">
        <v>38.3187</v>
      </c>
      <c r="R50" s="60">
        <v>42.154600000000002</v>
      </c>
      <c r="S50" s="60">
        <v>42.704599999999999</v>
      </c>
      <c r="T50" s="60">
        <v>0.9794756</v>
      </c>
      <c r="U50" s="60">
        <v>0.98232649999999999</v>
      </c>
      <c r="V50" s="60">
        <v>0.98375749999999995</v>
      </c>
      <c r="W50" s="60">
        <v>824.76800000000003</v>
      </c>
      <c r="X50" s="60">
        <v>0.23699999999999999</v>
      </c>
      <c r="Y50" s="15" t="e">
        <f>#REF!</f>
        <v>#REF!</v>
      </c>
      <c r="Z50" s="16">
        <f t="shared" si="5"/>
        <v>0.22910222222222223</v>
      </c>
      <c r="AA50" s="10">
        <f t="shared" si="6"/>
        <v>4.1721957487277548</v>
      </c>
      <c r="AB50" s="15">
        <f t="shared" si="42"/>
        <v>0.99163179916317989</v>
      </c>
      <c r="AC50" s="15" t="e">
        <f t="shared" si="42"/>
        <v>#REF!</v>
      </c>
      <c r="AD50" s="16">
        <f t="shared" si="7"/>
        <v>4.2809737315400226E-3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>
        <f>V50/J50</f>
        <v>0.99991025016318613</v>
      </c>
      <c r="AY50" s="15">
        <f t="shared" si="59"/>
        <v>0.99163179916317989</v>
      </c>
      <c r="AZ50" s="15">
        <f t="shared" si="10"/>
        <v>4.1721957487277548</v>
      </c>
      <c r="BA50" s="15">
        <f>V50/J50</f>
        <v>0.99991025016318613</v>
      </c>
      <c r="BB50" s="15">
        <f t="shared" si="57"/>
        <v>0.99163179916317989</v>
      </c>
      <c r="BC50" s="15">
        <f t="shared" si="11"/>
        <v>4.1721957487277548</v>
      </c>
      <c r="BD50" s="1">
        <f t="shared" si="12"/>
        <v>0</v>
      </c>
    </row>
    <row r="51" spans="1:56" ht="15.75" thickBot="1" x14ac:dyDescent="0.25">
      <c r="A51" s="13"/>
      <c r="B51" s="13"/>
      <c r="C51" s="43">
        <v>37</v>
      </c>
      <c r="D51" s="55">
        <v>1228.6199999999999</v>
      </c>
      <c r="E51" s="55">
        <v>35.940399999999997</v>
      </c>
      <c r="F51" s="55">
        <v>40.688299999999998</v>
      </c>
      <c r="G51" s="55">
        <v>41.584200000000003</v>
      </c>
      <c r="H51" s="55">
        <v>0.96075730000000004</v>
      </c>
      <c r="I51" s="55">
        <v>0.97451149999999997</v>
      </c>
      <c r="J51" s="55">
        <v>0.97856430000000005</v>
      </c>
      <c r="K51" s="55">
        <v>100.295</v>
      </c>
      <c r="L51" s="55">
        <v>0.24199999999999999</v>
      </c>
      <c r="M51" s="15" t="e">
        <f>#REF!</f>
        <v>#REF!</v>
      </c>
      <c r="N51" s="16">
        <f t="shared" si="0"/>
        <v>2.7859722222222223E-2</v>
      </c>
      <c r="P51" s="60">
        <v>1225.26</v>
      </c>
      <c r="Q51" s="60">
        <v>35.933100000000003</v>
      </c>
      <c r="R51" s="60">
        <v>40.610199999999999</v>
      </c>
      <c r="S51" s="60">
        <v>41.521099999999997</v>
      </c>
      <c r="T51" s="60">
        <v>0.96075909999999998</v>
      </c>
      <c r="U51" s="60">
        <v>0.97431199999999996</v>
      </c>
      <c r="V51" s="60">
        <v>0.97829880000000002</v>
      </c>
      <c r="W51" s="60">
        <v>535.92499999999995</v>
      </c>
      <c r="X51" s="60">
        <v>0.20899999999999999</v>
      </c>
      <c r="Y51" s="15" t="e">
        <f>#REF!</f>
        <v>#REF!</v>
      </c>
      <c r="Z51" s="16">
        <f t="shared" si="5"/>
        <v>0.14886805555555555</v>
      </c>
      <c r="AA51" s="10">
        <f t="shared" si="6"/>
        <v>5.3434867141931299</v>
      </c>
      <c r="AB51" s="15">
        <f t="shared" si="42"/>
        <v>0.86363636363636365</v>
      </c>
      <c r="AC51" s="15" t="e">
        <f t="shared" si="42"/>
        <v>#REF!</v>
      </c>
      <c r="AD51" s="16">
        <f t="shared" si="7"/>
        <v>2.7347756018947277E-3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>
        <f>V51/J51</f>
        <v>0.99972868415493998</v>
      </c>
      <c r="AY51" s="15">
        <f t="shared" si="59"/>
        <v>0.86363636363636365</v>
      </c>
      <c r="AZ51" s="15">
        <f t="shared" si="10"/>
        <v>5.3434867141931299</v>
      </c>
      <c r="BA51" s="15">
        <f>V51/J51</f>
        <v>0.99972868415493998</v>
      </c>
      <c r="BB51" s="15">
        <f t="shared" si="57"/>
        <v>0.86363636363636365</v>
      </c>
      <c r="BC51" s="15">
        <f t="shared" si="11"/>
        <v>5.3434867141931299</v>
      </c>
      <c r="BD51" s="1">
        <f t="shared" si="12"/>
        <v>0</v>
      </c>
    </row>
    <row r="52" spans="1:56" ht="15.75" thickBot="1" x14ac:dyDescent="0.25">
      <c r="A52" s="13"/>
      <c r="B52" s="17"/>
      <c r="C52" s="44">
        <v>42</v>
      </c>
      <c r="D52" s="55">
        <v>597.72</v>
      </c>
      <c r="E52" s="55">
        <v>33.479399999999998</v>
      </c>
      <c r="F52" s="55">
        <v>39.691000000000003</v>
      </c>
      <c r="G52" s="55">
        <v>40.425699999999999</v>
      </c>
      <c r="H52" s="55">
        <v>0.92800660000000001</v>
      </c>
      <c r="I52" s="55">
        <v>0.96773509999999996</v>
      </c>
      <c r="J52" s="55">
        <v>0.9717616</v>
      </c>
      <c r="K52" s="55">
        <v>45.603000000000002</v>
      </c>
      <c r="L52" s="55">
        <v>0.26200000000000001</v>
      </c>
      <c r="M52" s="19" t="e">
        <f>#REF!</f>
        <v>#REF!</v>
      </c>
      <c r="N52" s="20">
        <f t="shared" si="0"/>
        <v>1.26675E-2</v>
      </c>
      <c r="P52" s="60">
        <v>594.54</v>
      </c>
      <c r="Q52" s="60">
        <v>33.4726</v>
      </c>
      <c r="R52" s="60">
        <v>39.692399999999999</v>
      </c>
      <c r="S52" s="60">
        <v>40.363300000000002</v>
      </c>
      <c r="T52" s="60">
        <v>0.92782019999999998</v>
      </c>
      <c r="U52" s="60">
        <v>0.96792319999999998</v>
      </c>
      <c r="V52" s="60">
        <v>0.9707517</v>
      </c>
      <c r="W52" s="60">
        <v>316.78800000000001</v>
      </c>
      <c r="X52" s="60">
        <v>0.19500000000000001</v>
      </c>
      <c r="Y52" s="19" t="e">
        <f>#REF!</f>
        <v>#REF!</v>
      </c>
      <c r="Z52" s="20">
        <f t="shared" si="5"/>
        <v>8.7996666666666667E-2</v>
      </c>
      <c r="AA52" s="10">
        <f t="shared" si="6"/>
        <v>6.946648246825867</v>
      </c>
      <c r="AB52" s="15">
        <f t="shared" si="42"/>
        <v>0.74427480916030531</v>
      </c>
      <c r="AC52" s="15" t="e">
        <f t="shared" si="42"/>
        <v>#REF!</v>
      </c>
      <c r="AD52" s="20">
        <f t="shared" si="7"/>
        <v>5.3202168239310441E-3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>
        <f>V52/J52</f>
        <v>0.99896075333703249</v>
      </c>
      <c r="AY52" s="15">
        <f t="shared" si="59"/>
        <v>0.74427480916030531</v>
      </c>
      <c r="AZ52" s="15">
        <f t="shared" si="10"/>
        <v>6.946648246825867</v>
      </c>
      <c r="BA52" s="15"/>
      <c r="BB52" s="15"/>
      <c r="BC52" s="15"/>
      <c r="BD52" s="1">
        <f t="shared" si="12"/>
        <v>0</v>
      </c>
    </row>
    <row r="53" spans="1:56" ht="15.75" thickBot="1" x14ac:dyDescent="0.25">
      <c r="A53" s="13"/>
      <c r="B53" s="8" t="s">
        <v>46</v>
      </c>
      <c r="C53" s="39">
        <v>22</v>
      </c>
      <c r="D53" s="55">
        <v>2980.32</v>
      </c>
      <c r="E53" s="55">
        <v>48.625799999999998</v>
      </c>
      <c r="F53" s="55">
        <v>50.292700000000004</v>
      </c>
      <c r="G53" s="55">
        <v>51.497999999999998</v>
      </c>
      <c r="H53" s="55">
        <v>0.99794050000000001</v>
      </c>
      <c r="I53" s="55">
        <v>0.99750720000000004</v>
      </c>
      <c r="J53" s="55">
        <v>0.99822699999999998</v>
      </c>
      <c r="K53" s="55">
        <v>191.45099999999999</v>
      </c>
      <c r="L53" s="55">
        <v>0.35299999999999998</v>
      </c>
      <c r="M53" s="10" t="e">
        <f>#REF!</f>
        <v>#REF!</v>
      </c>
      <c r="N53" s="11">
        <f t="shared" si="0"/>
        <v>5.318083333333333E-2</v>
      </c>
      <c r="P53" s="60">
        <v>2980.26</v>
      </c>
      <c r="Q53" s="60">
        <v>48.6357</v>
      </c>
      <c r="R53" s="60">
        <v>50.292000000000002</v>
      </c>
      <c r="S53" s="60">
        <v>51.5139</v>
      </c>
      <c r="T53" s="60">
        <v>0.99794769999999999</v>
      </c>
      <c r="U53" s="60">
        <v>0.99750269999999996</v>
      </c>
      <c r="V53" s="60">
        <v>0.99821789999999999</v>
      </c>
      <c r="W53" s="60">
        <v>699.38099999999997</v>
      </c>
      <c r="X53" s="60">
        <v>0.30499999999999999</v>
      </c>
      <c r="Y53" s="10" t="e">
        <f>#REF!</f>
        <v>#REF!</v>
      </c>
      <c r="Z53" s="11">
        <f t="shared" si="5"/>
        <v>0.19427249999999999</v>
      </c>
      <c r="AA53" s="10">
        <f t="shared" si="6"/>
        <v>3.653054828650673</v>
      </c>
      <c r="AB53" s="15">
        <f t="shared" si="42"/>
        <v>0.86402266288951846</v>
      </c>
      <c r="AC53" s="15" t="e">
        <f t="shared" si="42"/>
        <v>#REF!</v>
      </c>
      <c r="AD53" s="11">
        <f t="shared" si="7"/>
        <v>2.0132066355272395E-5</v>
      </c>
      <c r="AE53" s="12"/>
      <c r="AF53" s="25">
        <f t="shared" ref="AF53:AK53" si="60">bdRateExtend($D53:$D57,E53:E57,$P53:$P57,Q53:Q57)</f>
        <v>2.8920103088903026E-3</v>
      </c>
      <c r="AG53" s="30">
        <f t="shared" si="60"/>
        <v>1.7106464317107051E-3</v>
      </c>
      <c r="AH53" s="31">
        <f t="shared" si="60"/>
        <v>-6.8692116442525819E-3</v>
      </c>
      <c r="AI53" s="25">
        <f t="shared" si="60"/>
        <v>5.8726897885641449E-3</v>
      </c>
      <c r="AJ53" s="30">
        <f t="shared" si="60"/>
        <v>-4.3634098775946484E-4</v>
      </c>
      <c r="AK53" s="30">
        <f t="shared" si="60"/>
        <v>-1.8744852920366761E-2</v>
      </c>
      <c r="AL53" s="26"/>
      <c r="AM53" s="21"/>
      <c r="AN53" s="36"/>
      <c r="AO53" s="21"/>
      <c r="AP53" s="21"/>
      <c r="AQ53" s="36"/>
      <c r="AR53" s="30">
        <f t="shared" ref="AR53:AW53" si="61">bdrate($D53:$D56,E53:E56,$P53:$P56,Q53:Q56)</f>
        <v>2.1288210428043186E-3</v>
      </c>
      <c r="AS53" s="30">
        <f t="shared" si="61"/>
        <v>-1.3348628892085879E-3</v>
      </c>
      <c r="AT53" s="31">
        <f t="shared" si="61"/>
        <v>-8.7286488462915424E-3</v>
      </c>
      <c r="AU53" s="25">
        <f t="shared" si="61"/>
        <v>3.0685517345716562E-3</v>
      </c>
      <c r="AV53" s="30">
        <f t="shared" si="61"/>
        <v>-3.4248858855723263E-5</v>
      </c>
      <c r="AW53" s="31">
        <f t="shared" si="61"/>
        <v>-2.4267522421537957E-2</v>
      </c>
      <c r="AX53" s="15"/>
      <c r="AY53" s="15"/>
      <c r="AZ53" s="15"/>
      <c r="BA53" s="15">
        <f>V53/J53</f>
        <v>0.99999088383704304</v>
      </c>
      <c r="BB53" s="15">
        <f t="shared" ref="BB53:BB56" si="62">X53/L53</f>
        <v>0.86402266288951846</v>
      </c>
      <c r="BC53" s="15">
        <f t="shared" si="11"/>
        <v>3.653054828650673</v>
      </c>
      <c r="BD53" s="1">
        <f t="shared" si="12"/>
        <v>0</v>
      </c>
    </row>
    <row r="54" spans="1:56" ht="15.75" thickBot="1" x14ac:dyDescent="0.25">
      <c r="A54" s="13"/>
      <c r="B54" s="13"/>
      <c r="C54" s="43">
        <v>27</v>
      </c>
      <c r="D54" s="55">
        <v>1763.34</v>
      </c>
      <c r="E54" s="55">
        <v>46.3292</v>
      </c>
      <c r="F54" s="55">
        <v>47.926000000000002</v>
      </c>
      <c r="G54" s="55">
        <v>48.619599999999998</v>
      </c>
      <c r="H54" s="55">
        <v>0.99646599999999996</v>
      </c>
      <c r="I54" s="55">
        <v>0.99525920000000001</v>
      </c>
      <c r="J54" s="55">
        <v>0.99629380000000001</v>
      </c>
      <c r="K54" s="55">
        <v>114.953</v>
      </c>
      <c r="L54" s="55">
        <v>0.26200000000000001</v>
      </c>
      <c r="M54" s="15" t="e">
        <f>#REF!</f>
        <v>#REF!</v>
      </c>
      <c r="N54" s="16">
        <f t="shared" si="0"/>
        <v>3.1931388888888891E-2</v>
      </c>
      <c r="P54" s="60">
        <v>1761.48</v>
      </c>
      <c r="Q54" s="60">
        <v>46.305300000000003</v>
      </c>
      <c r="R54" s="60">
        <v>47.950899999999997</v>
      </c>
      <c r="S54" s="60">
        <v>48.692399999999999</v>
      </c>
      <c r="T54" s="60">
        <v>0.99645729999999999</v>
      </c>
      <c r="U54" s="60">
        <v>0.99529909999999999</v>
      </c>
      <c r="V54" s="60">
        <v>0.99636740000000001</v>
      </c>
      <c r="W54" s="60">
        <v>471.827</v>
      </c>
      <c r="X54" s="60">
        <v>0.25800000000000001</v>
      </c>
      <c r="Y54" s="15" t="e">
        <f>#REF!</f>
        <v>#REF!</v>
      </c>
      <c r="Z54" s="16">
        <f t="shared" si="5"/>
        <v>0.13106305555555556</v>
      </c>
      <c r="AA54" s="10">
        <f t="shared" si="6"/>
        <v>4.1045209781388916</v>
      </c>
      <c r="AB54" s="15">
        <f t="shared" si="42"/>
        <v>0.98473282442748089</v>
      </c>
      <c r="AC54" s="15" t="e">
        <f t="shared" si="42"/>
        <v>#REF!</v>
      </c>
      <c r="AD54" s="16">
        <f t="shared" si="7"/>
        <v>1.0548164279151496E-3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3.055937491809102E-3</v>
      </c>
      <c r="AM54" s="21">
        <f>bdrate($D54:$D57,F54:F57,$P54:$P57,R54:R57)</f>
        <v>4.2903793509938559E-3</v>
      </c>
      <c r="AN54" s="36">
        <f t="shared" ref="AN54" si="63">bdrate($D54:$D57,G54:G57,$P54:$P57,S54:S57)</f>
        <v>-3.9341636432984606E-3</v>
      </c>
      <c r="AO54" s="26">
        <f>bdrate($D54:$D57,H54:H57,$P54:$P57,T54:T57)</f>
        <v>6.2776172816592091E-3</v>
      </c>
      <c r="AP54" s="21">
        <f>bdrate($D54:$D57,I54:I57,$P54:$P57,U54:U57)</f>
        <v>6.205547483983942E-4</v>
      </c>
      <c r="AQ54" s="36">
        <f>bdrate($D54:$D57,J54:J57,$P54:$P57,V54:V57)</f>
        <v>-2.1030128437318441E-2</v>
      </c>
      <c r="AR54" s="21"/>
      <c r="AS54" s="21"/>
      <c r="AT54" s="36"/>
      <c r="AU54" s="26"/>
      <c r="AV54" s="21"/>
      <c r="AW54" s="36"/>
      <c r="AX54" s="15">
        <f>V54/J54</f>
        <v>1.0000738737910444</v>
      </c>
      <c r="AY54" s="15">
        <f t="shared" ref="AY54:AY57" si="64">X54/L54</f>
        <v>0.98473282442748089</v>
      </c>
      <c r="AZ54" s="15">
        <f t="shared" si="10"/>
        <v>4.1045209781388916</v>
      </c>
      <c r="BA54" s="15">
        <f>V54/J54</f>
        <v>1.0000738737910444</v>
      </c>
      <c r="BB54" s="15">
        <f t="shared" si="62"/>
        <v>0.98473282442748089</v>
      </c>
      <c r="BC54" s="15">
        <f t="shared" si="11"/>
        <v>4.1045209781388916</v>
      </c>
      <c r="BD54" s="1">
        <f t="shared" si="12"/>
        <v>0</v>
      </c>
    </row>
    <row r="55" spans="1:56" ht="15.75" thickBot="1" x14ac:dyDescent="0.25">
      <c r="A55" s="13"/>
      <c r="B55" s="13"/>
      <c r="C55" s="43">
        <v>32</v>
      </c>
      <c r="D55" s="55">
        <v>1026.6600000000001</v>
      </c>
      <c r="E55" s="55">
        <v>43.565600000000003</v>
      </c>
      <c r="F55" s="55">
        <v>45.9221</v>
      </c>
      <c r="G55" s="55">
        <v>45.964700000000001</v>
      </c>
      <c r="H55" s="55">
        <v>0.99327169999999998</v>
      </c>
      <c r="I55" s="55">
        <v>0.991892</v>
      </c>
      <c r="J55" s="55">
        <v>0.99270840000000005</v>
      </c>
      <c r="K55" s="55">
        <v>79.234999999999999</v>
      </c>
      <c r="L55" s="55">
        <v>0.215</v>
      </c>
      <c r="M55" s="15" t="e">
        <f>#REF!</f>
        <v>#REF!</v>
      </c>
      <c r="N55" s="16">
        <f t="shared" si="0"/>
        <v>2.2009722222222222E-2</v>
      </c>
      <c r="P55" s="60">
        <v>1027.56</v>
      </c>
      <c r="Q55" s="60">
        <v>43.563299999999998</v>
      </c>
      <c r="R55" s="60">
        <v>45.940100000000001</v>
      </c>
      <c r="S55" s="60">
        <v>45.985199999999999</v>
      </c>
      <c r="T55" s="60">
        <v>0.99326349999999997</v>
      </c>
      <c r="U55" s="60">
        <v>0.99190840000000002</v>
      </c>
      <c r="V55" s="60">
        <v>0.99293719999999996</v>
      </c>
      <c r="W55" s="60">
        <v>365.39299999999997</v>
      </c>
      <c r="X55" s="60">
        <v>0.21199999999999999</v>
      </c>
      <c r="Y55" s="15" t="e">
        <f>#REF!</f>
        <v>#REF!</v>
      </c>
      <c r="Z55" s="16">
        <f t="shared" si="5"/>
        <v>0.10149805555555555</v>
      </c>
      <c r="AA55" s="10">
        <f t="shared" si="6"/>
        <v>4.611510064996529</v>
      </c>
      <c r="AB55" s="15">
        <f t="shared" si="42"/>
        <v>0.98604651162790702</v>
      </c>
      <c r="AC55" s="15" t="e">
        <f t="shared" si="42"/>
        <v>#REF!</v>
      </c>
      <c r="AD55" s="16">
        <f t="shared" si="7"/>
        <v>8.7662906901979571E-4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>
        <f>V55/J55</f>
        <v>1.0002304805721398</v>
      </c>
      <c r="AY55" s="15">
        <f t="shared" si="64"/>
        <v>0.98604651162790702</v>
      </c>
      <c r="AZ55" s="15">
        <f t="shared" si="10"/>
        <v>4.611510064996529</v>
      </c>
      <c r="BA55" s="15">
        <f>V55/J55</f>
        <v>1.0002304805721398</v>
      </c>
      <c r="BB55" s="15">
        <f t="shared" si="62"/>
        <v>0.98604651162790702</v>
      </c>
      <c r="BC55" s="15">
        <f t="shared" si="11"/>
        <v>4.611510064996529</v>
      </c>
      <c r="BD55" s="1">
        <f t="shared" si="12"/>
        <v>0</v>
      </c>
    </row>
    <row r="56" spans="1:56" ht="15.75" thickBot="1" x14ac:dyDescent="0.25">
      <c r="A56" s="13"/>
      <c r="B56" s="13"/>
      <c r="C56" s="43">
        <v>37</v>
      </c>
      <c r="D56" s="55">
        <v>598.32000000000005</v>
      </c>
      <c r="E56" s="55">
        <v>40.622199999999999</v>
      </c>
      <c r="F56" s="55">
        <v>43.744999999999997</v>
      </c>
      <c r="G56" s="55">
        <v>44.455599999999997</v>
      </c>
      <c r="H56" s="55">
        <v>0.98689190000000004</v>
      </c>
      <c r="I56" s="55">
        <v>0.98651120000000003</v>
      </c>
      <c r="J56" s="55">
        <v>0.98935119999999999</v>
      </c>
      <c r="K56" s="55">
        <v>46.941000000000003</v>
      </c>
      <c r="L56" s="55">
        <v>0.18099999999999999</v>
      </c>
      <c r="M56" s="15" t="e">
        <f>#REF!</f>
        <v>#REF!</v>
      </c>
      <c r="N56" s="16">
        <f t="shared" si="0"/>
        <v>1.3039166666666668E-2</v>
      </c>
      <c r="P56" s="60">
        <v>604.55999999999995</v>
      </c>
      <c r="Q56" s="60">
        <v>40.6616</v>
      </c>
      <c r="R56" s="60">
        <v>43.693800000000003</v>
      </c>
      <c r="S56" s="60">
        <v>44.478499999999997</v>
      </c>
      <c r="T56" s="60">
        <v>0.98694870000000001</v>
      </c>
      <c r="U56" s="60">
        <v>0.98646900000000004</v>
      </c>
      <c r="V56" s="60">
        <v>0.98958919999999995</v>
      </c>
      <c r="W56" s="60">
        <v>261.13499999999999</v>
      </c>
      <c r="X56" s="60">
        <v>0.22900000000000001</v>
      </c>
      <c r="Y56" s="15" t="e">
        <f>#REF!</f>
        <v>#REF!</v>
      </c>
      <c r="Z56" s="16">
        <f t="shared" si="5"/>
        <v>7.2537499999999991E-2</v>
      </c>
      <c r="AA56" s="10">
        <f t="shared" si="6"/>
        <v>5.5630472295008619</v>
      </c>
      <c r="AB56" s="15">
        <f t="shared" si="42"/>
        <v>1.2651933701657458</v>
      </c>
      <c r="AC56" s="15" t="e">
        <f t="shared" si="42"/>
        <v>#REF!</v>
      </c>
      <c r="AD56" s="16">
        <f t="shared" si="7"/>
        <v>1.0429201764941661E-2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>
        <f>V56/J56</f>
        <v>1.0002405616933603</v>
      </c>
      <c r="AY56" s="15">
        <f t="shared" si="64"/>
        <v>1.2651933701657458</v>
      </c>
      <c r="AZ56" s="15">
        <f t="shared" si="10"/>
        <v>5.5630472295008619</v>
      </c>
      <c r="BA56" s="15">
        <f>V56/J56</f>
        <v>1.0002405616933603</v>
      </c>
      <c r="BB56" s="15">
        <f t="shared" si="62"/>
        <v>1.2651933701657458</v>
      </c>
      <c r="BC56" s="15">
        <f t="shared" si="11"/>
        <v>5.5630472295008619</v>
      </c>
      <c r="BD56" s="1">
        <f t="shared" si="12"/>
        <v>0</v>
      </c>
    </row>
    <row r="57" spans="1:56" ht="15.75" thickBot="1" x14ac:dyDescent="0.25">
      <c r="A57" s="17"/>
      <c r="B57" s="17"/>
      <c r="C57" s="44">
        <v>42</v>
      </c>
      <c r="D57" s="55">
        <v>343.44</v>
      </c>
      <c r="E57" s="55">
        <v>37.6783</v>
      </c>
      <c r="F57" s="55">
        <v>42.530099999999997</v>
      </c>
      <c r="G57" s="55">
        <v>43.002499999999998</v>
      </c>
      <c r="H57" s="55">
        <v>0.9754254</v>
      </c>
      <c r="I57" s="55">
        <v>0.98228510000000002</v>
      </c>
      <c r="J57" s="55">
        <v>0.98511689999999996</v>
      </c>
      <c r="K57" s="55">
        <v>28.148</v>
      </c>
      <c r="L57" s="55">
        <v>0.20599999999999999</v>
      </c>
      <c r="M57" s="19" t="e">
        <f>#REF!</f>
        <v>#REF!</v>
      </c>
      <c r="N57" s="20">
        <f t="shared" si="0"/>
        <v>7.8188888888888891E-3</v>
      </c>
      <c r="P57" s="60">
        <v>345.3</v>
      </c>
      <c r="Q57" s="60">
        <v>37.6691</v>
      </c>
      <c r="R57" s="60">
        <v>42.589300000000001</v>
      </c>
      <c r="S57" s="60">
        <v>43.017800000000001</v>
      </c>
      <c r="T57" s="60">
        <v>0.9752769</v>
      </c>
      <c r="U57" s="60">
        <v>0.98260619999999999</v>
      </c>
      <c r="V57" s="60">
        <v>0.98506780000000005</v>
      </c>
      <c r="W57" s="60">
        <v>186.828</v>
      </c>
      <c r="X57" s="60">
        <v>0.187</v>
      </c>
      <c r="Y57" s="19" t="e">
        <f>#REF!</f>
        <v>#REF!</v>
      </c>
      <c r="Z57" s="20">
        <f t="shared" si="5"/>
        <v>5.1896666666666667E-2</v>
      </c>
      <c r="AA57" s="10">
        <f t="shared" si="6"/>
        <v>6.6373454597129458</v>
      </c>
      <c r="AB57" s="15">
        <f t="shared" si="42"/>
        <v>0.90776699029126218</v>
      </c>
      <c r="AC57" s="15" t="e">
        <f t="shared" si="42"/>
        <v>#REF!</v>
      </c>
      <c r="AD57" s="20">
        <f t="shared" si="7"/>
        <v>5.4157931516422477E-3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>
        <f>V57/J57</f>
        <v>0.99995015819949906</v>
      </c>
      <c r="AY57" s="15">
        <f t="shared" si="64"/>
        <v>0.90776699029126218</v>
      </c>
      <c r="AZ57" s="15">
        <f t="shared" si="10"/>
        <v>6.6373454597129458</v>
      </c>
      <c r="BA57" s="15"/>
      <c r="BB57" s="15"/>
      <c r="BC57" s="15"/>
      <c r="BD57" s="1">
        <f t="shared" si="12"/>
        <v>0</v>
      </c>
    </row>
    <row r="58" spans="1:56" ht="15.75" thickBot="1" x14ac:dyDescent="0.25">
      <c r="A58" s="48" t="s">
        <v>5</v>
      </c>
      <c r="B58" s="8" t="s">
        <v>26</v>
      </c>
      <c r="C58" s="39">
        <v>22</v>
      </c>
      <c r="D58" s="55">
        <v>2215.75</v>
      </c>
      <c r="E58" s="55">
        <v>42.912399999999998</v>
      </c>
      <c r="F58" s="55">
        <v>44.7149</v>
      </c>
      <c r="G58" s="55">
        <v>45.951000000000001</v>
      </c>
      <c r="H58" s="55">
        <v>0.99633459999999996</v>
      </c>
      <c r="I58" s="55">
        <v>0.99585440000000003</v>
      </c>
      <c r="J58" s="55">
        <v>0.99700719999999998</v>
      </c>
      <c r="K58" s="55">
        <v>224.66399999999999</v>
      </c>
      <c r="L58" s="55">
        <v>0.17899999999999999</v>
      </c>
      <c r="M58" s="10" t="e">
        <f>#REF!</f>
        <v>#REF!</v>
      </c>
      <c r="N58" s="11">
        <f t="shared" si="0"/>
        <v>6.2406666666666666E-2</v>
      </c>
      <c r="P58" s="60">
        <v>2226.1</v>
      </c>
      <c r="Q58" s="60">
        <v>42.921500000000002</v>
      </c>
      <c r="R58" s="60">
        <v>44.6708</v>
      </c>
      <c r="S58" s="60">
        <v>46.0122</v>
      </c>
      <c r="T58" s="60">
        <v>0.99634639999999997</v>
      </c>
      <c r="U58" s="60">
        <v>0.9958053</v>
      </c>
      <c r="V58" s="60">
        <v>0.9970291</v>
      </c>
      <c r="W58" s="60">
        <v>360.04700000000003</v>
      </c>
      <c r="X58" s="60">
        <v>0.19600000000000001</v>
      </c>
      <c r="Y58" s="10" t="e">
        <f>#REF!</f>
        <v>#REF!</v>
      </c>
      <c r="Z58" s="11">
        <f t="shared" si="5"/>
        <v>0.10001305555555556</v>
      </c>
      <c r="AA58" s="10">
        <f t="shared" si="6"/>
        <v>1.6026021080368908</v>
      </c>
      <c r="AB58" s="10">
        <f>X58/L58</f>
        <v>1.0949720670391063</v>
      </c>
      <c r="AC58" s="10" t="e">
        <f>Y58/M58</f>
        <v>#REF!</v>
      </c>
      <c r="AD58" s="11">
        <f t="shared" si="7"/>
        <v>4.6711045921245219E-3</v>
      </c>
      <c r="AE58" s="40"/>
      <c r="AF58" s="25">
        <f t="shared" ref="AF58:AK58" si="65">bdRateExtend($D58:$D62,E58:E62,$P58:$P62,Q58:Q62)</f>
        <v>1.2129811820789094E-3</v>
      </c>
      <c r="AG58" s="30">
        <f t="shared" si="65"/>
        <v>5.1985954129063483E-3</v>
      </c>
      <c r="AH58" s="31">
        <f t="shared" si="65"/>
        <v>1.7600533021214115E-2</v>
      </c>
      <c r="AI58" s="25">
        <f t="shared" si="65"/>
        <v>1.9140649118298825E-3</v>
      </c>
      <c r="AJ58" s="30">
        <f t="shared" si="65"/>
        <v>6.1900543510451378E-3</v>
      </c>
      <c r="AK58" s="30">
        <f t="shared" si="65"/>
        <v>5.1009349692623163E-2</v>
      </c>
      <c r="AL58" s="45"/>
      <c r="AM58" s="46"/>
      <c r="AN58" s="47"/>
      <c r="AO58" s="46"/>
      <c r="AP58" s="46"/>
      <c r="AQ58" s="47"/>
      <c r="AR58" s="30">
        <f t="shared" ref="AR58:AW58" si="66">bdrate($D58:$D61,E58:E61,$P58:$P61,Q58:Q61)</f>
        <v>5.3277040326427105E-4</v>
      </c>
      <c r="AS58" s="30">
        <f t="shared" si="66"/>
        <v>3.6722632424162072E-3</v>
      </c>
      <c r="AT58" s="31">
        <f t="shared" si="66"/>
        <v>1.0904422307183248E-2</v>
      </c>
      <c r="AU58" s="25">
        <f t="shared" si="66"/>
        <v>-2.0011663661911872E-3</v>
      </c>
      <c r="AV58" s="30">
        <f t="shared" si="66"/>
        <v>2.7758307263647808E-5</v>
      </c>
      <c r="AW58" s="31">
        <f t="shared" si="66"/>
        <v>7.138760239718156E-2</v>
      </c>
      <c r="AX58" s="10"/>
      <c r="AY58" s="10"/>
      <c r="AZ58" s="10"/>
      <c r="BA58" s="10">
        <f>V58/J58</f>
        <v>1.0000219657390639</v>
      </c>
      <c r="BB58" s="10">
        <f t="shared" ref="BB58:BB61" si="67">X58/L58</f>
        <v>1.0949720670391063</v>
      </c>
      <c r="BC58" s="10">
        <f t="shared" si="11"/>
        <v>1.6026021080368908</v>
      </c>
      <c r="BD58" s="1">
        <f t="shared" si="12"/>
        <v>0</v>
      </c>
    </row>
    <row r="59" spans="1:56" ht="15.75" thickBot="1" x14ac:dyDescent="0.25">
      <c r="A59" s="13" t="s">
        <v>21</v>
      </c>
      <c r="B59" s="13"/>
      <c r="C59" s="43">
        <v>27</v>
      </c>
      <c r="D59" s="55">
        <v>1171.8</v>
      </c>
      <c r="E59" s="55">
        <v>39.658700000000003</v>
      </c>
      <c r="F59" s="55">
        <v>42.077500000000001</v>
      </c>
      <c r="G59" s="55">
        <v>43.197800000000001</v>
      </c>
      <c r="H59" s="55">
        <v>0.99103799999999997</v>
      </c>
      <c r="I59" s="55">
        <v>0.99221510000000002</v>
      </c>
      <c r="J59" s="55">
        <v>0.99417310000000003</v>
      </c>
      <c r="K59" s="55">
        <v>163.42699999999999</v>
      </c>
      <c r="L59" s="55">
        <v>0.14699999999999999</v>
      </c>
      <c r="M59" s="15" t="e">
        <f>#REF!</f>
        <v>#REF!</v>
      </c>
      <c r="N59" s="16">
        <f t="shared" si="0"/>
        <v>4.5396388888888889E-2</v>
      </c>
      <c r="P59" s="60">
        <v>1168.95</v>
      </c>
      <c r="Q59" s="60">
        <v>39.645899999999997</v>
      </c>
      <c r="R59" s="60">
        <v>42.0702</v>
      </c>
      <c r="S59" s="60">
        <v>43.1601</v>
      </c>
      <c r="T59" s="60">
        <v>0.99107179999999995</v>
      </c>
      <c r="U59" s="60">
        <v>0.99231709999999995</v>
      </c>
      <c r="V59" s="60">
        <v>0.99394260000000001</v>
      </c>
      <c r="W59" s="60">
        <v>310.89800000000002</v>
      </c>
      <c r="X59" s="60">
        <v>0.156</v>
      </c>
      <c r="Y59" s="15" t="e">
        <f>#REF!</f>
        <v>#REF!</v>
      </c>
      <c r="Z59" s="16">
        <f t="shared" si="5"/>
        <v>8.6360555555555565E-2</v>
      </c>
      <c r="AA59" s="10">
        <f t="shared" si="6"/>
        <v>1.9023661940805376</v>
      </c>
      <c r="AB59" s="15">
        <f t="shared" ref="AB59:AC77" si="68">X59/L59</f>
        <v>1.0612244897959184</v>
      </c>
      <c r="AC59" s="15" t="e">
        <f t="shared" si="68"/>
        <v>#REF!</v>
      </c>
      <c r="AD59" s="16">
        <f t="shared" si="7"/>
        <v>2.4321556579620322E-3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1.1331158324734414E-3</v>
      </c>
      <c r="AM59" s="21">
        <f>bdrate($D59:$D62,F59:F62,$P59:$P62,R59:R62)</f>
        <v>6.766912143686632E-3</v>
      </c>
      <c r="AN59" s="36">
        <f t="shared" ref="AN59" si="69">bdrate($D59:$D62,G59:G62,$P59:$P62,S59:S62)</f>
        <v>2.5393282555288499E-2</v>
      </c>
      <c r="AO59" s="26">
        <f>bdrate($D59:$D62,H59:H62,$P59:$P62,T59:T62)</f>
        <v>2.2859746530576874E-3</v>
      </c>
      <c r="AP59" s="21">
        <f>bdrate($D59:$D62,I59:I62,$P59:$P62,U59:U62)</f>
        <v>8.5869140273187039E-3</v>
      </c>
      <c r="AQ59" s="36">
        <f>bdrate($D59:$D62,J59:J62,$P59:$P62,V59:V62)</f>
        <v>5.6972133345492892E-2</v>
      </c>
      <c r="AR59" s="21"/>
      <c r="AS59" s="21"/>
      <c r="AT59" s="36"/>
      <c r="AU59" s="26"/>
      <c r="AV59" s="21"/>
      <c r="AW59" s="36"/>
      <c r="AX59" s="15">
        <f>V59/J59</f>
        <v>0.99976814902756872</v>
      </c>
      <c r="AY59" s="15">
        <f t="shared" ref="AY59:AY62" si="70">X59/L59</f>
        <v>1.0612244897959184</v>
      </c>
      <c r="AZ59" s="15">
        <f t="shared" si="10"/>
        <v>1.9023661940805376</v>
      </c>
      <c r="BA59" s="15">
        <f>V59/J59</f>
        <v>0.99976814902756872</v>
      </c>
      <c r="BB59" s="15">
        <f t="shared" si="67"/>
        <v>1.0612244897959184</v>
      </c>
      <c r="BC59" s="15">
        <f t="shared" si="11"/>
        <v>1.9023661940805376</v>
      </c>
      <c r="BD59" s="1">
        <f t="shared" si="12"/>
        <v>0</v>
      </c>
    </row>
    <row r="60" spans="1:56" ht="15.75" thickBot="1" x14ac:dyDescent="0.25">
      <c r="A60" s="13"/>
      <c r="B60" s="13"/>
      <c r="C60" s="43">
        <v>32</v>
      </c>
      <c r="D60" s="55">
        <v>621.70000000000005</v>
      </c>
      <c r="E60" s="55">
        <v>36.715200000000003</v>
      </c>
      <c r="F60" s="55">
        <v>39.935600000000001</v>
      </c>
      <c r="G60" s="55">
        <v>40.706299999999999</v>
      </c>
      <c r="H60" s="55">
        <v>0.98001059999999995</v>
      </c>
      <c r="I60" s="55">
        <v>0.986402</v>
      </c>
      <c r="J60" s="55">
        <v>0.98925470000000004</v>
      </c>
      <c r="K60" s="55">
        <v>110.633</v>
      </c>
      <c r="L60" s="55">
        <v>0.126</v>
      </c>
      <c r="M60" s="15" t="e">
        <f>#REF!</f>
        <v>#REF!</v>
      </c>
      <c r="N60" s="16">
        <f t="shared" si="0"/>
        <v>3.0731388888888888E-2</v>
      </c>
      <c r="P60" s="60">
        <v>624.15</v>
      </c>
      <c r="Q60" s="60">
        <v>36.734499999999997</v>
      </c>
      <c r="R60" s="60">
        <v>39.920400000000001</v>
      </c>
      <c r="S60" s="60">
        <v>40.6614</v>
      </c>
      <c r="T60" s="60">
        <v>0.98018360000000004</v>
      </c>
      <c r="U60" s="60">
        <v>0.98642180000000002</v>
      </c>
      <c r="V60" s="60">
        <v>0.98833729999999997</v>
      </c>
      <c r="W60" s="60">
        <v>280.10700000000003</v>
      </c>
      <c r="X60" s="60">
        <v>0.158</v>
      </c>
      <c r="Y60" s="15" t="e">
        <f>#REF!</f>
        <v>#REF!</v>
      </c>
      <c r="Z60" s="16">
        <f t="shared" si="5"/>
        <v>7.7807500000000002E-2</v>
      </c>
      <c r="AA60" s="10">
        <f t="shared" si="6"/>
        <v>2.5318575831804258</v>
      </c>
      <c r="AB60" s="15">
        <f t="shared" si="68"/>
        <v>1.253968253968254</v>
      </c>
      <c r="AC60" s="15" t="e">
        <f t="shared" si="68"/>
        <v>#REF!</v>
      </c>
      <c r="AD60" s="16">
        <f t="shared" si="7"/>
        <v>3.9408074634066778E-3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>
        <f>V60/J60</f>
        <v>0.99907263518687339</v>
      </c>
      <c r="AY60" s="15">
        <f t="shared" si="70"/>
        <v>1.253968253968254</v>
      </c>
      <c r="AZ60" s="15">
        <f t="shared" si="10"/>
        <v>2.5318575831804253</v>
      </c>
      <c r="BA60" s="15">
        <f>V60/J60</f>
        <v>0.99907263518687339</v>
      </c>
      <c r="BB60" s="15">
        <f t="shared" si="67"/>
        <v>1.253968253968254</v>
      </c>
      <c r="BC60" s="15">
        <f t="shared" si="11"/>
        <v>2.5318575831804253</v>
      </c>
      <c r="BD60" s="1">
        <f t="shared" si="12"/>
        <v>0</v>
      </c>
    </row>
    <row r="61" spans="1:56" ht="15.75" thickBot="1" x14ac:dyDescent="0.25">
      <c r="A61" s="13"/>
      <c r="B61" s="13"/>
      <c r="C61" s="43">
        <v>37</v>
      </c>
      <c r="D61" s="55">
        <v>340.6</v>
      </c>
      <c r="E61" s="55">
        <v>34.0884</v>
      </c>
      <c r="F61" s="55">
        <v>38.441000000000003</v>
      </c>
      <c r="G61" s="55">
        <v>38.752699999999997</v>
      </c>
      <c r="H61" s="55">
        <v>0.96111040000000003</v>
      </c>
      <c r="I61" s="55">
        <v>0.98142149999999995</v>
      </c>
      <c r="J61" s="55">
        <v>0.98236950000000001</v>
      </c>
      <c r="K61" s="55">
        <v>64.692999999999998</v>
      </c>
      <c r="L61" s="55">
        <v>0.11</v>
      </c>
      <c r="M61" s="15" t="e">
        <f>#REF!</f>
        <v>#REF!</v>
      </c>
      <c r="N61" s="16">
        <f t="shared" si="0"/>
        <v>1.7970277777777776E-2</v>
      </c>
      <c r="P61" s="60">
        <v>340.1</v>
      </c>
      <c r="Q61" s="60">
        <v>34.076099999999997</v>
      </c>
      <c r="R61" s="60">
        <v>38.4679</v>
      </c>
      <c r="S61" s="60">
        <v>38.620199999999997</v>
      </c>
      <c r="T61" s="60">
        <v>0.96079700000000001</v>
      </c>
      <c r="U61" s="60">
        <v>0.98116309999999995</v>
      </c>
      <c r="V61" s="60">
        <v>0.98152189999999995</v>
      </c>
      <c r="W61" s="60">
        <v>195.71100000000001</v>
      </c>
      <c r="X61" s="60">
        <v>0.125</v>
      </c>
      <c r="Y61" s="15" t="e">
        <f>#REF!</f>
        <v>#REF!</v>
      </c>
      <c r="Z61" s="16">
        <f t="shared" si="5"/>
        <v>5.4364166666666672E-2</v>
      </c>
      <c r="AA61" s="10">
        <f t="shared" si="6"/>
        <v>3.0252268406164502</v>
      </c>
      <c r="AB61" s="15">
        <f t="shared" si="68"/>
        <v>1.1363636363636365</v>
      </c>
      <c r="AC61" s="15" t="e">
        <f t="shared" si="68"/>
        <v>#REF!</v>
      </c>
      <c r="AD61" s="16">
        <f t="shared" si="7"/>
        <v>1.467997651203758E-3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>
        <f>V61/J61</f>
        <v>0.99913718819649833</v>
      </c>
      <c r="AY61" s="15">
        <f t="shared" si="70"/>
        <v>1.1363636363636365</v>
      </c>
      <c r="AZ61" s="15">
        <f t="shared" si="10"/>
        <v>3.0252268406164506</v>
      </c>
      <c r="BA61" s="15">
        <f>V61/J61</f>
        <v>0.99913718819649833</v>
      </c>
      <c r="BB61" s="15">
        <f t="shared" si="67"/>
        <v>1.1363636363636365</v>
      </c>
      <c r="BC61" s="15">
        <f t="shared" si="11"/>
        <v>3.0252268406164506</v>
      </c>
      <c r="BD61" s="1">
        <f t="shared" si="12"/>
        <v>0</v>
      </c>
    </row>
    <row r="62" spans="1:56" ht="15.75" thickBot="1" x14ac:dyDescent="0.25">
      <c r="A62" s="13"/>
      <c r="B62" s="17"/>
      <c r="C62" s="44">
        <v>42</v>
      </c>
      <c r="D62" s="55">
        <v>192.3</v>
      </c>
      <c r="E62" s="55">
        <v>31.501200000000001</v>
      </c>
      <c r="F62" s="55">
        <v>36.821300000000001</v>
      </c>
      <c r="G62" s="55">
        <v>36.991399999999999</v>
      </c>
      <c r="H62" s="55">
        <v>0.93006290000000003</v>
      </c>
      <c r="I62" s="55">
        <v>0.97022640000000004</v>
      </c>
      <c r="J62" s="55">
        <v>0.97223250000000005</v>
      </c>
      <c r="K62" s="55">
        <v>36.164999999999999</v>
      </c>
      <c r="L62" s="55">
        <v>0.10199999999999999</v>
      </c>
      <c r="M62" s="19" t="e">
        <f>#REF!</f>
        <v>#REF!</v>
      </c>
      <c r="N62" s="20">
        <f t="shared" si="0"/>
        <v>1.0045833333333334E-2</v>
      </c>
      <c r="P62" s="60">
        <v>191.6</v>
      </c>
      <c r="Q62" s="60">
        <v>31.452999999999999</v>
      </c>
      <c r="R62" s="60">
        <v>36.592199999999998</v>
      </c>
      <c r="S62" s="60">
        <v>36.8504</v>
      </c>
      <c r="T62" s="60">
        <v>0.92975339999999995</v>
      </c>
      <c r="U62" s="60">
        <v>0.97025980000000001</v>
      </c>
      <c r="V62" s="60">
        <v>0.97271980000000002</v>
      </c>
      <c r="W62" s="60">
        <v>125.15300000000001</v>
      </c>
      <c r="X62" s="60">
        <v>0.111</v>
      </c>
      <c r="Y62" s="19" t="e">
        <f>#REF!</f>
        <v>#REF!</v>
      </c>
      <c r="Z62" s="20">
        <f t="shared" si="5"/>
        <v>3.4764722222222225E-2</v>
      </c>
      <c r="AA62" s="10">
        <f t="shared" si="6"/>
        <v>3.4606110880685748</v>
      </c>
      <c r="AB62" s="15">
        <f t="shared" si="68"/>
        <v>1.0882352941176472</v>
      </c>
      <c r="AC62" s="15" t="e">
        <f t="shared" si="68"/>
        <v>#REF!</v>
      </c>
      <c r="AD62" s="20">
        <f t="shared" si="7"/>
        <v>3.6401456058243213E-3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>
        <f>V62/J62</f>
        <v>1.0005012175585573</v>
      </c>
      <c r="AY62" s="15">
        <f t="shared" si="70"/>
        <v>1.0882352941176472</v>
      </c>
      <c r="AZ62" s="15">
        <f t="shared" si="10"/>
        <v>3.4606110880685748</v>
      </c>
      <c r="BA62" s="15"/>
      <c r="BB62" s="15"/>
      <c r="BC62" s="15"/>
      <c r="BD62" s="1">
        <f t="shared" si="12"/>
        <v>0</v>
      </c>
    </row>
    <row r="63" spans="1:56" ht="15.75" thickBot="1" x14ac:dyDescent="0.25">
      <c r="A63" s="13"/>
      <c r="B63" s="8" t="s">
        <v>17</v>
      </c>
      <c r="C63" s="39">
        <v>22</v>
      </c>
      <c r="D63" s="55">
        <v>3334.08</v>
      </c>
      <c r="E63" s="55">
        <v>42.403500000000001</v>
      </c>
      <c r="F63" s="55">
        <v>44.073399999999999</v>
      </c>
      <c r="G63" s="55">
        <v>45.617400000000004</v>
      </c>
      <c r="H63" s="55">
        <v>0.99738510000000002</v>
      </c>
      <c r="I63" s="55">
        <v>0.99479550000000005</v>
      </c>
      <c r="J63" s="55">
        <v>0.99610500000000002</v>
      </c>
      <c r="K63" s="55">
        <v>241.20699999999999</v>
      </c>
      <c r="L63" s="55">
        <v>0.153</v>
      </c>
      <c r="M63" s="10" t="e">
        <f>#REF!</f>
        <v>#REF!</v>
      </c>
      <c r="N63" s="11">
        <f t="shared" si="0"/>
        <v>6.7001944444444447E-2</v>
      </c>
      <c r="P63" s="60">
        <v>3333.72</v>
      </c>
      <c r="Q63" s="60">
        <v>42.393900000000002</v>
      </c>
      <c r="R63" s="60">
        <v>44.084600000000002</v>
      </c>
      <c r="S63" s="60">
        <v>45.710099999999997</v>
      </c>
      <c r="T63" s="60">
        <v>0.99739259999999996</v>
      </c>
      <c r="U63" s="60">
        <v>0.99476580000000003</v>
      </c>
      <c r="V63" s="60">
        <v>0.99615600000000004</v>
      </c>
      <c r="W63" s="60">
        <v>400.42200000000003</v>
      </c>
      <c r="X63" s="60">
        <v>0.16900000000000001</v>
      </c>
      <c r="Y63" s="10" t="e">
        <f>#REF!</f>
        <v>#REF!</v>
      </c>
      <c r="Z63" s="11">
        <f t="shared" si="5"/>
        <v>0.11122833333333335</v>
      </c>
      <c r="AA63" s="10">
        <f t="shared" si="6"/>
        <v>1.6600762001102789</v>
      </c>
      <c r="AB63" s="15">
        <f t="shared" si="68"/>
        <v>1.1045751633986929</v>
      </c>
      <c r="AC63" s="15" t="e">
        <f t="shared" si="68"/>
        <v>#REF!</v>
      </c>
      <c r="AD63" s="11">
        <f t="shared" si="7"/>
        <v>1.0797581341783261E-4</v>
      </c>
      <c r="AE63" s="12"/>
      <c r="AF63" s="25">
        <f t="shared" ref="AF63:AK63" si="71">bdRateExtend($D63:$D67,E63:E67,$P63:$P67,Q63:Q67)</f>
        <v>-7.261431095578752E-4</v>
      </c>
      <c r="AG63" s="30">
        <f t="shared" si="71"/>
        <v>-1.3258292665887628E-2</v>
      </c>
      <c r="AH63" s="31">
        <f t="shared" si="71"/>
        <v>-2.2036597462423146E-2</v>
      </c>
      <c r="AI63" s="25">
        <f t="shared" si="71"/>
        <v>-3.8528947712290762E-4</v>
      </c>
      <c r="AJ63" s="30">
        <f t="shared" si="71"/>
        <v>-1.3325942076863773E-2</v>
      </c>
      <c r="AK63" s="30">
        <f t="shared" si="71"/>
        <v>-3.7327694586711369E-2</v>
      </c>
      <c r="AL63" s="26"/>
      <c r="AM63" s="21"/>
      <c r="AN63" s="36"/>
      <c r="AO63" s="21"/>
      <c r="AP63" s="21"/>
      <c r="AQ63" s="36"/>
      <c r="AR63" s="30">
        <f t="shared" ref="AR63:AW63" si="72">bdrate($D63:$D66,E63:E66,$P63:$P66,Q63:Q66)</f>
        <v>-8.5711382319497709E-4</v>
      </c>
      <c r="AS63" s="30">
        <f t="shared" si="72"/>
        <v>-5.3680001620504125E-4</v>
      </c>
      <c r="AT63" s="31">
        <f t="shared" si="72"/>
        <v>-1.0113455260556958E-2</v>
      </c>
      <c r="AU63" s="25">
        <f t="shared" si="72"/>
        <v>3.5885016769883205E-3</v>
      </c>
      <c r="AV63" s="30">
        <f t="shared" si="72"/>
        <v>-6.0747939916701021E-3</v>
      </c>
      <c r="AW63" s="31">
        <f t="shared" si="72"/>
        <v>-1.2324075625251729E-2</v>
      </c>
      <c r="AX63" s="15"/>
      <c r="AY63" s="15"/>
      <c r="AZ63" s="15"/>
      <c r="BA63" s="15">
        <f>V63/J63</f>
        <v>1.0000511994217478</v>
      </c>
      <c r="BB63" s="15">
        <f t="shared" ref="BB63:BB66" si="73">X63/L63</f>
        <v>1.1045751633986929</v>
      </c>
      <c r="BC63" s="15">
        <f t="shared" si="11"/>
        <v>1.6600762001102789</v>
      </c>
      <c r="BD63" s="1">
        <f t="shared" si="12"/>
        <v>1</v>
      </c>
    </row>
    <row r="64" spans="1:56" ht="11.25" customHeight="1" thickBot="1" x14ac:dyDescent="0.25">
      <c r="A64" s="13"/>
      <c r="B64" s="13"/>
      <c r="C64" s="43">
        <v>27</v>
      </c>
      <c r="D64" s="55">
        <v>2040.36</v>
      </c>
      <c r="E64" s="55">
        <v>39.388199999999998</v>
      </c>
      <c r="F64" s="55">
        <v>41.6599</v>
      </c>
      <c r="G64" s="55">
        <v>42.754100000000001</v>
      </c>
      <c r="H64" s="55">
        <v>0.99521749999999998</v>
      </c>
      <c r="I64" s="55">
        <v>0.98889590000000005</v>
      </c>
      <c r="J64" s="55">
        <v>0.99095129999999998</v>
      </c>
      <c r="K64" s="55">
        <v>160.82</v>
      </c>
      <c r="L64" s="55">
        <v>0.13600000000000001</v>
      </c>
      <c r="M64" s="15" t="e">
        <f>#REF!</f>
        <v>#REF!</v>
      </c>
      <c r="N64" s="16">
        <f t="shared" si="0"/>
        <v>4.4672222222222217E-2</v>
      </c>
      <c r="P64" s="60">
        <v>2031.12</v>
      </c>
      <c r="Q64" s="60">
        <v>39.383699999999997</v>
      </c>
      <c r="R64" s="60">
        <v>41.572299999999998</v>
      </c>
      <c r="S64" s="60">
        <v>42.728099999999998</v>
      </c>
      <c r="T64" s="60">
        <v>0.99518649999999997</v>
      </c>
      <c r="U64" s="60">
        <v>0.98834370000000005</v>
      </c>
      <c r="V64" s="60">
        <v>0.99070610000000003</v>
      </c>
      <c r="W64" s="60">
        <v>316.14800000000002</v>
      </c>
      <c r="X64" s="60">
        <v>0.156</v>
      </c>
      <c r="Y64" s="15" t="e">
        <f>#REF!</f>
        <v>#REF!</v>
      </c>
      <c r="Z64" s="16">
        <f t="shared" si="5"/>
        <v>8.7818888888888891E-2</v>
      </c>
      <c r="AA64" s="10">
        <f t="shared" si="6"/>
        <v>1.9658500186543963</v>
      </c>
      <c r="AB64" s="15">
        <f t="shared" si="68"/>
        <v>1.1470588235294117</v>
      </c>
      <c r="AC64" s="15" t="e">
        <f t="shared" si="68"/>
        <v>#REF!</v>
      </c>
      <c r="AD64" s="16">
        <f t="shared" si="7"/>
        <v>4.5286125977768675E-3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-1.3938846378647174E-4</v>
      </c>
      <c r="AM64" s="21">
        <f>bdrate($D64:$D67,F64:F67,$P64:$P67,R64:R67)</f>
        <v>-2.581175582988382E-2</v>
      </c>
      <c r="AN64" s="36">
        <f t="shared" ref="AN64" si="74">bdrate($D64:$D67,G64:G67,$P64:$P67,S64:S67)</f>
        <v>-3.0366282528171085E-2</v>
      </c>
      <c r="AO64" s="26">
        <f>bdrate($D64:$D67,H64:H67,$P64:$P67,T64:T67)</f>
        <v>-3.8610915819214942E-4</v>
      </c>
      <c r="AP64" s="21">
        <f>bdrate($D64:$D67,I64:I67,$P64:$P67,U64:U67)</f>
        <v>-2.2469724365463462E-2</v>
      </c>
      <c r="AQ64" s="36">
        <f>bdrate($D64:$D67,J64:J67,$P64:$P67,V64:V67)</f>
        <v>-4.4823175204351751E-2</v>
      </c>
      <c r="AR64" s="21"/>
      <c r="AS64" s="21"/>
      <c r="AT64" s="36"/>
      <c r="AU64" s="26"/>
      <c r="AV64" s="21"/>
      <c r="AW64" s="36"/>
      <c r="AX64" s="15">
        <f>V64/J64</f>
        <v>0.99975256099870913</v>
      </c>
      <c r="AY64" s="15">
        <f t="shared" ref="AY64:AY67" si="75">X64/L64</f>
        <v>1.1470588235294117</v>
      </c>
      <c r="AZ64" s="15">
        <f t="shared" si="10"/>
        <v>1.9658500186543966</v>
      </c>
      <c r="BA64" s="15">
        <f>V64/J64</f>
        <v>0.99975256099870913</v>
      </c>
      <c r="BB64" s="15">
        <f t="shared" si="73"/>
        <v>1.1470588235294117</v>
      </c>
      <c r="BC64" s="15">
        <f t="shared" si="11"/>
        <v>1.9658500186543966</v>
      </c>
      <c r="BD64" s="1">
        <f t="shared" si="12"/>
        <v>0</v>
      </c>
    </row>
    <row r="65" spans="1:56" ht="15.75" thickBot="1" x14ac:dyDescent="0.25">
      <c r="A65" s="13"/>
      <c r="B65" s="13"/>
      <c r="C65" s="43">
        <v>32</v>
      </c>
      <c r="D65" s="55">
        <v>1226.0999999999999</v>
      </c>
      <c r="E65" s="55">
        <v>36.193600000000004</v>
      </c>
      <c r="F65" s="55">
        <v>39.529200000000003</v>
      </c>
      <c r="G65" s="55">
        <v>40.335599999999999</v>
      </c>
      <c r="H65" s="55">
        <v>0.99070530000000001</v>
      </c>
      <c r="I65" s="55">
        <v>0.9776049</v>
      </c>
      <c r="J65" s="55">
        <v>0.98150090000000001</v>
      </c>
      <c r="K65" s="55">
        <v>119.47799999999999</v>
      </c>
      <c r="L65" s="55">
        <v>0.13200000000000001</v>
      </c>
      <c r="M65" s="15" t="e">
        <f>#REF!</f>
        <v>#REF!</v>
      </c>
      <c r="N65" s="16">
        <f t="shared" si="0"/>
        <v>3.3188333333333334E-2</v>
      </c>
      <c r="P65" s="60">
        <v>1226.94</v>
      </c>
      <c r="Q65" s="60">
        <v>36.193300000000001</v>
      </c>
      <c r="R65" s="60">
        <v>39.558199999999999</v>
      </c>
      <c r="S65" s="60">
        <v>40.372599999999998</v>
      </c>
      <c r="T65" s="60">
        <v>0.9906625</v>
      </c>
      <c r="U65" s="60">
        <v>0.97815730000000001</v>
      </c>
      <c r="V65" s="60">
        <v>0.98168979999999995</v>
      </c>
      <c r="W65" s="60">
        <v>270.77199999999999</v>
      </c>
      <c r="X65" s="60">
        <v>0.153</v>
      </c>
      <c r="Y65" s="15" t="e">
        <f>#REF!</f>
        <v>#REF!</v>
      </c>
      <c r="Z65" s="16">
        <f t="shared" si="5"/>
        <v>7.5214444444444445E-2</v>
      </c>
      <c r="AA65" s="10">
        <f t="shared" si="6"/>
        <v>2.2662917022380689</v>
      </c>
      <c r="AB65" s="15">
        <f t="shared" si="68"/>
        <v>1.1590909090909089</v>
      </c>
      <c r="AC65" s="15" t="e">
        <f t="shared" si="68"/>
        <v>#REF!</v>
      </c>
      <c r="AD65" s="16">
        <f t="shared" si="7"/>
        <v>6.8509909469060073E-4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>
        <f>V65/J65</f>
        <v>1.0001924603431336</v>
      </c>
      <c r="AY65" s="15">
        <f t="shared" si="75"/>
        <v>1.1590909090909089</v>
      </c>
      <c r="AZ65" s="15">
        <f t="shared" si="10"/>
        <v>2.2662917022380689</v>
      </c>
      <c r="BA65" s="15">
        <f>V65/J65</f>
        <v>1.0001924603431336</v>
      </c>
      <c r="BB65" s="15">
        <f t="shared" si="73"/>
        <v>1.1590909090909089</v>
      </c>
      <c r="BC65" s="15">
        <f t="shared" si="11"/>
        <v>2.2662917022380689</v>
      </c>
      <c r="BD65" s="1">
        <f t="shared" si="12"/>
        <v>0</v>
      </c>
    </row>
    <row r="66" spans="1:56" ht="15.75" thickBot="1" x14ac:dyDescent="0.25">
      <c r="A66" s="13"/>
      <c r="B66" s="13"/>
      <c r="C66" s="43">
        <v>37</v>
      </c>
      <c r="D66" s="55">
        <v>688.32</v>
      </c>
      <c r="E66" s="55">
        <v>32.836399999999998</v>
      </c>
      <c r="F66" s="55">
        <v>38.036499999999997</v>
      </c>
      <c r="G66" s="55">
        <v>38.817500000000003</v>
      </c>
      <c r="H66" s="55">
        <v>0.98012889999999997</v>
      </c>
      <c r="I66" s="55">
        <v>0.96710779999999996</v>
      </c>
      <c r="J66" s="55">
        <v>0.97156399999999998</v>
      </c>
      <c r="K66" s="55">
        <v>85.65</v>
      </c>
      <c r="L66" s="55">
        <v>0.113</v>
      </c>
      <c r="M66" s="15" t="e">
        <f>#REF!</f>
        <v>#REF!</v>
      </c>
      <c r="N66" s="16">
        <f t="shared" si="0"/>
        <v>2.3791666666666669E-2</v>
      </c>
      <c r="P66" s="60">
        <v>694.62</v>
      </c>
      <c r="Q66" s="60">
        <v>32.884900000000002</v>
      </c>
      <c r="R66" s="60">
        <v>38.179600000000001</v>
      </c>
      <c r="S66" s="60">
        <v>39.002699999999997</v>
      </c>
      <c r="T66" s="60">
        <v>0.98034880000000002</v>
      </c>
      <c r="U66" s="60">
        <v>0.96771370000000001</v>
      </c>
      <c r="V66" s="60">
        <v>0.97315510000000005</v>
      </c>
      <c r="W66" s="60">
        <v>219.15600000000001</v>
      </c>
      <c r="X66" s="60">
        <v>0.13300000000000001</v>
      </c>
      <c r="Y66" s="15" t="e">
        <f>#REF!</f>
        <v>#REF!</v>
      </c>
      <c r="Z66" s="16">
        <f t="shared" si="5"/>
        <v>6.0876666666666669E-2</v>
      </c>
      <c r="AA66" s="10">
        <f t="shared" si="6"/>
        <v>2.5587390542907178</v>
      </c>
      <c r="AB66" s="15">
        <f t="shared" si="68"/>
        <v>1.1769911504424779</v>
      </c>
      <c r="AC66" s="15" t="e">
        <f t="shared" si="68"/>
        <v>#REF!</v>
      </c>
      <c r="AD66" s="16">
        <f t="shared" si="7"/>
        <v>9.1527196652719002E-3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>
        <f>V66/J66</f>
        <v>1.0016376687485333</v>
      </c>
      <c r="AY66" s="15">
        <f t="shared" si="75"/>
        <v>1.1769911504424779</v>
      </c>
      <c r="AZ66" s="15">
        <f t="shared" si="10"/>
        <v>2.5587390542907178</v>
      </c>
      <c r="BA66" s="15">
        <f>V66/J66</f>
        <v>1.0016376687485333</v>
      </c>
      <c r="BB66" s="15">
        <f t="shared" si="73"/>
        <v>1.1769911504424779</v>
      </c>
      <c r="BC66" s="15">
        <f t="shared" si="11"/>
        <v>2.5587390542907178</v>
      </c>
      <c r="BD66" s="1">
        <f t="shared" si="12"/>
        <v>0</v>
      </c>
    </row>
    <row r="67" spans="1:56" ht="15.75" thickBot="1" x14ac:dyDescent="0.25">
      <c r="A67" s="13"/>
      <c r="B67" s="17"/>
      <c r="C67" s="44">
        <v>42</v>
      </c>
      <c r="D67" s="55">
        <v>369.66</v>
      </c>
      <c r="E67" s="55">
        <v>29.7468</v>
      </c>
      <c r="F67" s="55">
        <v>36.665500000000002</v>
      </c>
      <c r="G67" s="55">
        <v>37.360999999999997</v>
      </c>
      <c r="H67" s="55">
        <v>0.95838120000000004</v>
      </c>
      <c r="I67" s="55">
        <v>0.95222689999999999</v>
      </c>
      <c r="J67" s="55">
        <v>0.95742649999999996</v>
      </c>
      <c r="K67" s="55">
        <v>53.756999999999998</v>
      </c>
      <c r="L67" s="55">
        <v>0.112</v>
      </c>
      <c r="M67" s="19" t="e">
        <f>#REF!</f>
        <v>#REF!</v>
      </c>
      <c r="N67" s="20">
        <f t="shared" ref="N67:N130" si="76">K67/3600</f>
        <v>1.49325E-2</v>
      </c>
      <c r="P67" s="60">
        <v>366.9</v>
      </c>
      <c r="Q67" s="60">
        <v>29.7117</v>
      </c>
      <c r="R67" s="60">
        <v>36.826300000000003</v>
      </c>
      <c r="S67" s="60">
        <v>37.509099999999997</v>
      </c>
      <c r="T67" s="60">
        <v>0.95810039999999996</v>
      </c>
      <c r="U67" s="60">
        <v>0.95328460000000004</v>
      </c>
      <c r="V67" s="60">
        <v>0.95877409999999996</v>
      </c>
      <c r="W67" s="60">
        <v>169.59200000000001</v>
      </c>
      <c r="X67" s="60">
        <v>0.121</v>
      </c>
      <c r="Y67" s="19" t="e">
        <f>#REF!</f>
        <v>#REF!</v>
      </c>
      <c r="Z67" s="20">
        <f t="shared" si="5"/>
        <v>4.7108888888888895E-2</v>
      </c>
      <c r="AA67" s="10">
        <f t="shared" si="6"/>
        <v>3.1547891437394204</v>
      </c>
      <c r="AB67" s="15">
        <f t="shared" si="68"/>
        <v>1.0803571428571428</v>
      </c>
      <c r="AC67" s="15" t="e">
        <f t="shared" si="68"/>
        <v>#REF!</v>
      </c>
      <c r="AD67" s="20">
        <f t="shared" si="7"/>
        <v>7.4663204025321849E-3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>
        <f>V67/J67</f>
        <v>1.001407523188464</v>
      </c>
      <c r="AY67" s="15">
        <f t="shared" si="75"/>
        <v>1.0803571428571428</v>
      </c>
      <c r="AZ67" s="15">
        <f t="shared" si="10"/>
        <v>3.1547891437394204</v>
      </c>
      <c r="BA67" s="15"/>
      <c r="BB67" s="15"/>
      <c r="BC67" s="15"/>
      <c r="BD67" s="1">
        <f t="shared" si="12"/>
        <v>0</v>
      </c>
    </row>
    <row r="68" spans="1:56" ht="15.75" thickBot="1" x14ac:dyDescent="0.25">
      <c r="A68" s="13"/>
      <c r="B68" s="8" t="s">
        <v>27</v>
      </c>
      <c r="C68" s="39">
        <v>22</v>
      </c>
      <c r="D68" s="55">
        <v>6051.55</v>
      </c>
      <c r="E68" s="55">
        <v>41.972099999999998</v>
      </c>
      <c r="F68" s="55">
        <v>42.4221</v>
      </c>
      <c r="G68" s="55">
        <v>43.165500000000002</v>
      </c>
      <c r="H68" s="55">
        <v>0.99839549999999999</v>
      </c>
      <c r="I68" s="55">
        <v>0.99463060000000003</v>
      </c>
      <c r="J68" s="55">
        <v>0.99574810000000002</v>
      </c>
      <c r="K68" s="55">
        <v>268.87900000000002</v>
      </c>
      <c r="L68" s="55">
        <v>0.19700000000000001</v>
      </c>
      <c r="M68" s="10" t="e">
        <f>#REF!</f>
        <v>#REF!</v>
      </c>
      <c r="N68" s="11">
        <f t="shared" si="76"/>
        <v>7.4688611111111122E-2</v>
      </c>
      <c r="P68" s="60">
        <v>6049.5</v>
      </c>
      <c r="Q68" s="60">
        <v>41.971499999999999</v>
      </c>
      <c r="R68" s="60">
        <v>42.4116</v>
      </c>
      <c r="S68" s="60">
        <v>43.185600000000001</v>
      </c>
      <c r="T68" s="60">
        <v>0.99839549999999999</v>
      </c>
      <c r="U68" s="60">
        <v>0.99466379999999999</v>
      </c>
      <c r="V68" s="60">
        <v>0.99582409999999999</v>
      </c>
      <c r="W68" s="60">
        <v>416.245</v>
      </c>
      <c r="X68" s="60">
        <v>0.20799999999999999</v>
      </c>
      <c r="Y68" s="10" t="e">
        <f>#REF!</f>
        <v>#REF!</v>
      </c>
      <c r="Z68" s="11">
        <f t="shared" ref="Z68:Z131" si="77">W68/3600</f>
        <v>0.11562361111111111</v>
      </c>
      <c r="AA68" s="10">
        <f t="shared" ref="AA68:AA131" si="78">W68/K68</f>
        <v>1.5480755283975318</v>
      </c>
      <c r="AB68" s="15">
        <f t="shared" si="68"/>
        <v>1.0558375634517765</v>
      </c>
      <c r="AC68" s="15" t="e">
        <f t="shared" si="68"/>
        <v>#REF!</v>
      </c>
      <c r="AD68" s="11">
        <f t="shared" ref="AD68:AD131" si="79">ABS(P68-D68)/D68</f>
        <v>3.387561864316054E-4</v>
      </c>
      <c r="AE68" s="12"/>
      <c r="AF68" s="25">
        <f t="shared" ref="AF68:AK68" si="80">bdRateExtend($D68:$D72,E68:E72,$P68:$P72,Q68:Q72)</f>
        <v>-1.4369906948907829E-4</v>
      </c>
      <c r="AG68" s="30">
        <f t="shared" si="80"/>
        <v>-5.0370475154948302E-3</v>
      </c>
      <c r="AH68" s="31">
        <f t="shared" si="80"/>
        <v>-4.272528987756874E-3</v>
      </c>
      <c r="AI68" s="25">
        <f t="shared" si="80"/>
        <v>-5.0780721992278455E-3</v>
      </c>
      <c r="AJ68" s="30">
        <f t="shared" si="80"/>
        <v>-3.1992757669583316E-3</v>
      </c>
      <c r="AK68" s="30">
        <f t="shared" si="80"/>
        <v>-6.7378829482943603E-3</v>
      </c>
      <c r="AL68" s="45"/>
      <c r="AM68" s="46"/>
      <c r="AN68" s="47"/>
      <c r="AO68" s="46"/>
      <c r="AP68" s="46"/>
      <c r="AQ68" s="47"/>
      <c r="AR68" s="30">
        <f t="shared" ref="AR68:AW68" si="81">bdrate($D68:$D71,E68:E71,$P68:$P71,Q68:Q71)</f>
        <v>-1.3596756507927577E-4</v>
      </c>
      <c r="AS68" s="30">
        <f t="shared" si="81"/>
        <v>-5.1631854543713329E-3</v>
      </c>
      <c r="AT68" s="31">
        <f t="shared" si="81"/>
        <v>4.3083586447778544E-5</v>
      </c>
      <c r="AU68" s="25">
        <f t="shared" si="81"/>
        <v>-3.2719530833775767E-3</v>
      </c>
      <c r="AV68" s="30">
        <f t="shared" si="81"/>
        <v>-1.3031524339540579E-2</v>
      </c>
      <c r="AW68" s="31">
        <f t="shared" si="81"/>
        <v>-2.135267620928083E-3</v>
      </c>
      <c r="AX68" s="15"/>
      <c r="AY68" s="15"/>
      <c r="AZ68" s="15"/>
      <c r="BA68" s="15">
        <f>V68/J68</f>
        <v>1.0000763245242446</v>
      </c>
      <c r="BB68" s="15">
        <f t="shared" ref="BB68:BB71" si="82">X68/L68</f>
        <v>1.0558375634517765</v>
      </c>
      <c r="BC68" s="15">
        <f t="shared" ref="BC68:BC96" si="83">Z68/N68</f>
        <v>1.5480755283975316</v>
      </c>
      <c r="BD68" s="1">
        <f t="shared" ref="BD68:BD131" si="84">IF((((AF68&lt;0)*AND(AL69&lt;0)*AND(AR68&lt;0))),1,0)</f>
        <v>1</v>
      </c>
    </row>
    <row r="69" spans="1:56" ht="15.75" thickBot="1" x14ac:dyDescent="0.25">
      <c r="A69" s="13"/>
      <c r="B69" s="13"/>
      <c r="C69" s="43">
        <v>27</v>
      </c>
      <c r="D69" s="55">
        <v>3809.1</v>
      </c>
      <c r="E69" s="55">
        <v>37.473799999999997</v>
      </c>
      <c r="F69" s="55">
        <v>38.889400000000002</v>
      </c>
      <c r="G69" s="55">
        <v>39.601199999999999</v>
      </c>
      <c r="H69" s="55">
        <v>0.99542470000000005</v>
      </c>
      <c r="I69" s="55">
        <v>0.98677309999999996</v>
      </c>
      <c r="J69" s="55">
        <v>0.9893016</v>
      </c>
      <c r="K69" s="55">
        <v>225.577</v>
      </c>
      <c r="L69" s="55">
        <v>0.17199999999999999</v>
      </c>
      <c r="M69" s="15" t="e">
        <f>#REF!</f>
        <v>#REF!</v>
      </c>
      <c r="N69" s="16">
        <f t="shared" si="76"/>
        <v>6.2660277777777773E-2</v>
      </c>
      <c r="P69" s="60">
        <v>3806.95</v>
      </c>
      <c r="Q69" s="60">
        <v>37.469700000000003</v>
      </c>
      <c r="R69" s="60">
        <v>38.927999999999997</v>
      </c>
      <c r="S69" s="60">
        <v>39.575299999999999</v>
      </c>
      <c r="T69" s="60">
        <v>0.99542600000000003</v>
      </c>
      <c r="U69" s="60">
        <v>0.98679589999999995</v>
      </c>
      <c r="V69" s="60">
        <v>0.98932739999999997</v>
      </c>
      <c r="W69" s="60">
        <v>357.83199999999999</v>
      </c>
      <c r="X69" s="60">
        <v>0.17899999999999999</v>
      </c>
      <c r="Y69" s="15" t="e">
        <f>#REF!</f>
        <v>#REF!</v>
      </c>
      <c r="Z69" s="16">
        <f t="shared" si="77"/>
        <v>9.9397777777777779E-2</v>
      </c>
      <c r="AA69" s="10">
        <f t="shared" si="78"/>
        <v>1.586296475261219</v>
      </c>
      <c r="AB69" s="15">
        <f t="shared" si="68"/>
        <v>1.0406976744186047</v>
      </c>
      <c r="AC69" s="15" t="e">
        <f t="shared" si="68"/>
        <v>#REF!</v>
      </c>
      <c r="AD69" s="16">
        <f t="shared" si="79"/>
        <v>5.6443779370457352E-4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-1.6571163482714812E-4</v>
      </c>
      <c r="AM69" s="21">
        <f>bdrate($D69:$D72,F69:F72,$P69:$P72,R69:R72)</f>
        <v>-4.1547808612122372E-3</v>
      </c>
      <c r="AN69" s="36">
        <f t="shared" ref="AN69" si="85">bdrate($D69:$D72,G69:G72,$P69:$P72,S69:S72)</f>
        <v>-7.7455324622145438E-3</v>
      </c>
      <c r="AO69" s="26">
        <f>bdrate($D69:$D72,H69:H72,$P69:$P72,T69:T72)</f>
        <v>-5.3370494945912395E-3</v>
      </c>
      <c r="AP69" s="21">
        <f>bdrate($D69:$D72,I69:I72,$P69:$P72,U69:U72)</f>
        <v>-4.0921293459550423E-3</v>
      </c>
      <c r="AQ69" s="36">
        <f>bdrate($D69:$D72,J69:J72,$P69:$P72,V69:V72)</f>
        <v>-6.68849390759374E-3</v>
      </c>
      <c r="AR69" s="21"/>
      <c r="AS69" s="21"/>
      <c r="AT69" s="36"/>
      <c r="AU69" s="26"/>
      <c r="AV69" s="21"/>
      <c r="AW69" s="36"/>
      <c r="AX69" s="15">
        <f>V69/J69</f>
        <v>1.0000260790036122</v>
      </c>
      <c r="AY69" s="15">
        <f t="shared" ref="AY69:AY72" si="86">X69/L69</f>
        <v>1.0406976744186047</v>
      </c>
      <c r="AZ69" s="15">
        <f t="shared" ref="AZ69:AZ97" si="87">Z69/N69</f>
        <v>1.5862964752612192</v>
      </c>
      <c r="BA69" s="15">
        <f>V69/J69</f>
        <v>1.0000260790036122</v>
      </c>
      <c r="BB69" s="15">
        <f t="shared" si="82"/>
        <v>1.0406976744186047</v>
      </c>
      <c r="BC69" s="15">
        <f t="shared" si="83"/>
        <v>1.5862964752612192</v>
      </c>
      <c r="BD69" s="1">
        <f t="shared" si="84"/>
        <v>0</v>
      </c>
    </row>
    <row r="70" spans="1:56" ht="15.75" thickBot="1" x14ac:dyDescent="0.25">
      <c r="A70" s="13"/>
      <c r="B70" s="13"/>
      <c r="C70" s="43">
        <v>32</v>
      </c>
      <c r="D70" s="55">
        <v>2298.5</v>
      </c>
      <c r="E70" s="55">
        <v>33.513500000000001</v>
      </c>
      <c r="F70" s="55">
        <v>36.528599999999997</v>
      </c>
      <c r="G70" s="55">
        <v>37.0032</v>
      </c>
      <c r="H70" s="55">
        <v>0.98829739999999999</v>
      </c>
      <c r="I70" s="55">
        <v>0.9742248</v>
      </c>
      <c r="J70" s="55">
        <v>0.97808459999999997</v>
      </c>
      <c r="K70" s="55">
        <v>186.024</v>
      </c>
      <c r="L70" s="55">
        <v>0.156</v>
      </c>
      <c r="M70" s="15" t="e">
        <f>#REF!</f>
        <v>#REF!</v>
      </c>
      <c r="N70" s="16">
        <f t="shared" si="76"/>
        <v>5.1673333333333335E-2</v>
      </c>
      <c r="P70" s="60">
        <v>2302.0500000000002</v>
      </c>
      <c r="Q70" s="60">
        <v>33.526600000000002</v>
      </c>
      <c r="R70" s="60">
        <v>36.5383</v>
      </c>
      <c r="S70" s="60">
        <v>37.008800000000001</v>
      </c>
      <c r="T70" s="60">
        <v>0.98837569999999997</v>
      </c>
      <c r="U70" s="60">
        <v>0.97474380000000005</v>
      </c>
      <c r="V70" s="60">
        <v>0.97798870000000004</v>
      </c>
      <c r="W70" s="60">
        <v>340.89100000000002</v>
      </c>
      <c r="X70" s="60">
        <v>0.183</v>
      </c>
      <c r="Y70" s="15" t="e">
        <f>#REF!</f>
        <v>#REF!</v>
      </c>
      <c r="Z70" s="16">
        <f t="shared" si="77"/>
        <v>9.4691944444444454E-2</v>
      </c>
      <c r="AA70" s="10">
        <f t="shared" si="78"/>
        <v>1.8325108588139165</v>
      </c>
      <c r="AB70" s="15">
        <f t="shared" si="68"/>
        <v>1.1730769230769231</v>
      </c>
      <c r="AC70" s="15" t="e">
        <f t="shared" si="68"/>
        <v>#REF!</v>
      </c>
      <c r="AD70" s="16">
        <f t="shared" si="79"/>
        <v>1.5444855340440208E-3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>
        <f>V70/J70</f>
        <v>0.99990195122180647</v>
      </c>
      <c r="AY70" s="15">
        <f t="shared" si="86"/>
        <v>1.1730769230769231</v>
      </c>
      <c r="AZ70" s="15">
        <f t="shared" si="87"/>
        <v>1.8325108588139165</v>
      </c>
      <c r="BA70" s="15">
        <f>V70/J70</f>
        <v>0.99990195122180647</v>
      </c>
      <c r="BB70" s="15">
        <f t="shared" si="82"/>
        <v>1.1730769230769231</v>
      </c>
      <c r="BC70" s="15">
        <f t="shared" si="83"/>
        <v>1.8325108588139165</v>
      </c>
      <c r="BD70" s="1">
        <f t="shared" si="84"/>
        <v>0</v>
      </c>
    </row>
    <row r="71" spans="1:56" ht="15.75" thickBot="1" x14ac:dyDescent="0.25">
      <c r="A71" s="13"/>
      <c r="B71" s="13"/>
      <c r="C71" s="43">
        <v>37</v>
      </c>
      <c r="D71" s="55">
        <v>1263.8499999999999</v>
      </c>
      <c r="E71" s="55">
        <v>29.745200000000001</v>
      </c>
      <c r="F71" s="55">
        <v>34.939</v>
      </c>
      <c r="G71" s="55">
        <v>35.2532</v>
      </c>
      <c r="H71" s="55">
        <v>0.97187959999999995</v>
      </c>
      <c r="I71" s="55">
        <v>0.96006659999999999</v>
      </c>
      <c r="J71" s="55">
        <v>0.96443080000000003</v>
      </c>
      <c r="K71" s="55">
        <v>146.05099999999999</v>
      </c>
      <c r="L71" s="55">
        <v>0.13500000000000001</v>
      </c>
      <c r="M71" s="15" t="e">
        <f>#REF!</f>
        <v>#REF!</v>
      </c>
      <c r="N71" s="16">
        <f t="shared" si="76"/>
        <v>4.0569722222222215E-2</v>
      </c>
      <c r="P71" s="60">
        <v>1268.2</v>
      </c>
      <c r="Q71" s="60">
        <v>29.7622</v>
      </c>
      <c r="R71" s="60">
        <v>34.988199999999999</v>
      </c>
      <c r="S71" s="60">
        <v>35.302799999999998</v>
      </c>
      <c r="T71" s="60">
        <v>0.97233499999999995</v>
      </c>
      <c r="U71" s="60">
        <v>0.960646</v>
      </c>
      <c r="V71" s="60">
        <v>0.96506139999999996</v>
      </c>
      <c r="W71" s="60">
        <v>308.48200000000003</v>
      </c>
      <c r="X71" s="60">
        <v>0.152</v>
      </c>
      <c r="Y71" s="15" t="e">
        <f>#REF!</f>
        <v>#REF!</v>
      </c>
      <c r="Z71" s="16">
        <f t="shared" si="77"/>
        <v>8.5689444444444457E-2</v>
      </c>
      <c r="AA71" s="10">
        <f t="shared" si="78"/>
        <v>2.1121526042272909</v>
      </c>
      <c r="AB71" s="15">
        <f t="shared" si="68"/>
        <v>1.1259259259259258</v>
      </c>
      <c r="AC71" s="15" t="e">
        <f t="shared" si="68"/>
        <v>#REF!</v>
      </c>
      <c r="AD71" s="16">
        <f t="shared" si="79"/>
        <v>3.441864145270512E-3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>
        <f>V71/J71</f>
        <v>1.000653857176689</v>
      </c>
      <c r="AY71" s="15">
        <f t="shared" si="86"/>
        <v>1.1259259259259258</v>
      </c>
      <c r="AZ71" s="15">
        <f t="shared" si="87"/>
        <v>2.1121526042272913</v>
      </c>
      <c r="BA71" s="15">
        <f>V71/J71</f>
        <v>1.000653857176689</v>
      </c>
      <c r="BB71" s="15">
        <f t="shared" si="82"/>
        <v>1.1259259259259258</v>
      </c>
      <c r="BC71" s="15">
        <f t="shared" si="83"/>
        <v>2.1121526042272913</v>
      </c>
      <c r="BD71" s="1">
        <f t="shared" si="84"/>
        <v>0</v>
      </c>
    </row>
    <row r="72" spans="1:56" ht="15.75" thickBot="1" x14ac:dyDescent="0.25">
      <c r="A72" s="13"/>
      <c r="B72" s="17"/>
      <c r="C72" s="44">
        <v>42</v>
      </c>
      <c r="D72" s="55">
        <v>596.45000000000005</v>
      </c>
      <c r="E72" s="55">
        <v>26.267199999999999</v>
      </c>
      <c r="F72" s="55">
        <v>33.542099999999998</v>
      </c>
      <c r="G72" s="55">
        <v>33.760100000000001</v>
      </c>
      <c r="H72" s="55">
        <v>0.93422430000000001</v>
      </c>
      <c r="I72" s="55">
        <v>0.941994</v>
      </c>
      <c r="J72" s="55">
        <v>0.94790969999999997</v>
      </c>
      <c r="K72" s="55">
        <v>95.367999999999995</v>
      </c>
      <c r="L72" s="55">
        <v>0.129</v>
      </c>
      <c r="M72" s="19" t="e">
        <f>#REF!</f>
        <v>#REF!</v>
      </c>
      <c r="N72" s="20">
        <f t="shared" si="76"/>
        <v>2.6491111111111111E-2</v>
      </c>
      <c r="P72" s="60">
        <v>594.95000000000005</v>
      </c>
      <c r="Q72" s="60">
        <v>26.261500000000002</v>
      </c>
      <c r="R72" s="60">
        <v>33.488500000000002</v>
      </c>
      <c r="S72" s="60">
        <v>33.818399999999997</v>
      </c>
      <c r="T72" s="60">
        <v>0.93353640000000004</v>
      </c>
      <c r="U72" s="60">
        <v>0.93984690000000004</v>
      </c>
      <c r="V72" s="60">
        <v>0.94746680000000005</v>
      </c>
      <c r="W72" s="60">
        <v>271.52699999999999</v>
      </c>
      <c r="X72" s="60">
        <v>0.13100000000000001</v>
      </c>
      <c r="Y72" s="19" t="e">
        <f>#REF!</f>
        <v>#REF!</v>
      </c>
      <c r="Z72" s="20">
        <f t="shared" si="77"/>
        <v>7.5424166666666667E-2</v>
      </c>
      <c r="AA72" s="10">
        <f t="shared" si="78"/>
        <v>2.8471499874171631</v>
      </c>
      <c r="AB72" s="15">
        <f t="shared" si="68"/>
        <v>1.0155038759689923</v>
      </c>
      <c r="AC72" s="15" t="e">
        <f t="shared" si="68"/>
        <v>#REF!</v>
      </c>
      <c r="AD72" s="20">
        <f t="shared" si="79"/>
        <v>2.5148797049207813E-3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>
        <f>V72/J72</f>
        <v>0.99953276140121794</v>
      </c>
      <c r="AY72" s="15">
        <f t="shared" si="86"/>
        <v>1.0155038759689923</v>
      </c>
      <c r="AZ72" s="15">
        <f t="shared" si="87"/>
        <v>2.8471499874171631</v>
      </c>
      <c r="BA72" s="15"/>
      <c r="BB72" s="15"/>
      <c r="BC72" s="15"/>
      <c r="BD72" s="1">
        <f t="shared" si="84"/>
        <v>0</v>
      </c>
    </row>
    <row r="73" spans="1:56" ht="15.75" thickBot="1" x14ac:dyDescent="0.25">
      <c r="A73" s="13"/>
      <c r="B73" s="8" t="s">
        <v>28</v>
      </c>
      <c r="C73" s="39">
        <v>22</v>
      </c>
      <c r="D73" s="55">
        <v>2099.85</v>
      </c>
      <c r="E73" s="55">
        <v>43.209299999999999</v>
      </c>
      <c r="F73" s="55">
        <v>43.644799999999996</v>
      </c>
      <c r="G73" s="55">
        <v>44.431199999999997</v>
      </c>
      <c r="H73" s="55">
        <v>0.99756489999999998</v>
      </c>
      <c r="I73" s="55">
        <v>0.99616769999999999</v>
      </c>
      <c r="J73" s="55">
        <v>0.99616839999999995</v>
      </c>
      <c r="K73" s="55">
        <v>203.39500000000001</v>
      </c>
      <c r="L73" s="55">
        <v>0.153</v>
      </c>
      <c r="M73" s="10" t="e">
        <f>#REF!</f>
        <v>#REF!</v>
      </c>
      <c r="N73" s="11">
        <f t="shared" si="76"/>
        <v>5.6498611111111111E-2</v>
      </c>
      <c r="P73" s="60">
        <v>2102.2199999999998</v>
      </c>
      <c r="Q73" s="60">
        <v>43.2059</v>
      </c>
      <c r="R73" s="60">
        <v>43.707299999999996</v>
      </c>
      <c r="S73" s="60">
        <v>44.453299999999999</v>
      </c>
      <c r="T73" s="60">
        <v>0.99757629999999997</v>
      </c>
      <c r="U73" s="60">
        <v>0.99626610000000004</v>
      </c>
      <c r="V73" s="60">
        <v>0.99622639999999996</v>
      </c>
      <c r="W73" s="60">
        <v>393.74700000000001</v>
      </c>
      <c r="X73" s="60">
        <v>0.17199999999999999</v>
      </c>
      <c r="Y73" s="10" t="e">
        <f>#REF!</f>
        <v>#REF!</v>
      </c>
      <c r="Z73" s="11">
        <f t="shared" si="77"/>
        <v>0.10937416666666668</v>
      </c>
      <c r="AA73" s="10">
        <f t="shared" si="78"/>
        <v>1.9358735465473587</v>
      </c>
      <c r="AB73" s="15">
        <f t="shared" si="68"/>
        <v>1.1241830065359477</v>
      </c>
      <c r="AC73" s="15" t="e">
        <f t="shared" si="68"/>
        <v>#REF!</v>
      </c>
      <c r="AD73" s="11">
        <f t="shared" si="79"/>
        <v>1.1286520465747035E-3</v>
      </c>
      <c r="AE73" s="12"/>
      <c r="AF73" s="25">
        <f t="shared" ref="AF73:AK73" si="88">bdRateExtend($D73:$D77,E73:E77,$P73:$P77,Q73:Q77)</f>
        <v>7.0004221977071346E-4</v>
      </c>
      <c r="AG73" s="30">
        <f t="shared" si="88"/>
        <v>-2.8459191374992088E-3</v>
      </c>
      <c r="AH73" s="31">
        <f t="shared" si="88"/>
        <v>6.5393534945914489E-3</v>
      </c>
      <c r="AI73" s="25">
        <f t="shared" si="88"/>
        <v>-2.4022065870410447E-4</v>
      </c>
      <c r="AJ73" s="30">
        <f t="shared" si="88"/>
        <v>-1.1439740697959389E-3</v>
      </c>
      <c r="AK73" s="30">
        <f t="shared" si="88"/>
        <v>-2.036920814391463E-2</v>
      </c>
      <c r="AL73" s="26"/>
      <c r="AM73" s="21"/>
      <c r="AN73" s="36"/>
      <c r="AO73" s="21"/>
      <c r="AP73" s="21"/>
      <c r="AQ73" s="36"/>
      <c r="AR73" s="30">
        <f t="shared" ref="AR73:AT73" si="89">bdrate($D73:$D76,E73:E76,$P73:$P76,Q73:Q76)</f>
        <v>5.785098147523815E-4</v>
      </c>
      <c r="AS73" s="30">
        <f t="shared" si="89"/>
        <v>-2.1310625150088303E-3</v>
      </c>
      <c r="AT73" s="31">
        <f t="shared" si="89"/>
        <v>4.0653414615097194E-3</v>
      </c>
      <c r="AU73" s="25">
        <f>bdrate($D73:$D76,H73:H76,$P73:$P76,T73:T76)</f>
        <v>-8.9624725373804726E-4</v>
      </c>
      <c r="AV73" s="30">
        <f>bdrate($D73:$D76,H73:H76,$P73:$P76,T73:T76)</f>
        <v>-8.9624725373804726E-4</v>
      </c>
      <c r="AW73" s="31">
        <f>bdrate($D73:$D76,I73:I76,$P73:$P76,U73:U76)</f>
        <v>1.1140112564673732E-3</v>
      </c>
      <c r="AX73" s="15"/>
      <c r="AY73" s="15"/>
      <c r="AZ73" s="15"/>
      <c r="BA73" s="15">
        <f>V73/J73</f>
        <v>1.0000582230875823</v>
      </c>
      <c r="BB73" s="15">
        <f t="shared" ref="BB73:BB76" si="90">X73/L73</f>
        <v>1.1241830065359477</v>
      </c>
      <c r="BC73" s="15">
        <f t="shared" si="83"/>
        <v>1.9358735465473587</v>
      </c>
      <c r="BD73" s="1">
        <f t="shared" si="84"/>
        <v>0</v>
      </c>
    </row>
    <row r="74" spans="1:56" ht="15.75" thickBot="1" x14ac:dyDescent="0.25">
      <c r="A74" s="13"/>
      <c r="B74" s="13"/>
      <c r="C74" s="43">
        <v>27</v>
      </c>
      <c r="D74" s="55">
        <v>1261.56</v>
      </c>
      <c r="E74" s="55">
        <v>39.442399999999999</v>
      </c>
      <c r="F74" s="55">
        <v>39.950899999999997</v>
      </c>
      <c r="G74" s="55">
        <v>41.397399999999998</v>
      </c>
      <c r="H74" s="55">
        <v>0.99464520000000001</v>
      </c>
      <c r="I74" s="55">
        <v>0.98943219999999998</v>
      </c>
      <c r="J74" s="55">
        <v>0.99073739999999999</v>
      </c>
      <c r="K74" s="55">
        <v>152.54599999999999</v>
      </c>
      <c r="L74" s="55">
        <v>0.14599999999999999</v>
      </c>
      <c r="M74" s="15" t="e">
        <f>#REF!</f>
        <v>#REF!</v>
      </c>
      <c r="N74" s="16">
        <f t="shared" si="76"/>
        <v>4.2373888888888885E-2</v>
      </c>
      <c r="P74" s="60">
        <v>1259.73</v>
      </c>
      <c r="Q74" s="60">
        <v>39.424100000000003</v>
      </c>
      <c r="R74" s="60">
        <v>39.956299999999999</v>
      </c>
      <c r="S74" s="60">
        <v>41.341799999999999</v>
      </c>
      <c r="T74" s="60">
        <v>0.99464520000000001</v>
      </c>
      <c r="U74" s="60">
        <v>0.9893267</v>
      </c>
      <c r="V74" s="60">
        <v>0.99042810000000003</v>
      </c>
      <c r="W74" s="60">
        <v>330.72199999999998</v>
      </c>
      <c r="X74" s="60">
        <v>0.154</v>
      </c>
      <c r="Y74" s="15" t="e">
        <f>#REF!</f>
        <v>#REF!</v>
      </c>
      <c r="Z74" s="16">
        <f t="shared" si="77"/>
        <v>9.1867222222222211E-2</v>
      </c>
      <c r="AA74" s="10">
        <f t="shared" si="78"/>
        <v>2.168014893868079</v>
      </c>
      <c r="AB74" s="15">
        <f t="shared" si="68"/>
        <v>1.0547945205479452</v>
      </c>
      <c r="AC74" s="15" t="e">
        <f t="shared" si="68"/>
        <v>#REF!</v>
      </c>
      <c r="AD74" s="16">
        <f t="shared" si="79"/>
        <v>1.450584990012308E-3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3.676290603942256E-4</v>
      </c>
      <c r="AM74" s="21">
        <f>bdrate($D74:$D77,F74:F77,$P74:$P77,R74:R77)</f>
        <v>-3.420248704748996E-3</v>
      </c>
      <c r="AN74" s="36">
        <f t="shared" ref="AN74" si="91">bdrate($D74:$D77,G74:G77,$P74:$P77,S74:S77)</f>
        <v>6.8472808748289982E-3</v>
      </c>
      <c r="AO74" s="26">
        <f>bdrate($D74:$D77,H74:H77,$P74:$P77,T74:T77)</f>
        <v>-1.9639387341441328E-4</v>
      </c>
      <c r="AP74" s="21">
        <f>bdrate($D74:$D77,I74:I77,$P74:$P77,U74:U77)</f>
        <v>-1.0891362900424806E-3</v>
      </c>
      <c r="AQ74" s="36">
        <f>bdrate($D74:$D77,J74:J77,$P74:$P77,V74:V77)</f>
        <v>-2.8286422316895155E-2</v>
      </c>
      <c r="AR74" s="21"/>
      <c r="AS74" s="21"/>
      <c r="AT74" s="36"/>
      <c r="AU74" s="26"/>
      <c r="AV74" s="21"/>
      <c r="AW74" s="36"/>
      <c r="AX74" s="15">
        <f>V74/J74</f>
        <v>0.99968780829309567</v>
      </c>
      <c r="AY74" s="15">
        <f t="shared" ref="AY74:AY77" si="92">X74/L74</f>
        <v>1.0547945205479452</v>
      </c>
      <c r="AZ74" s="15">
        <f t="shared" si="87"/>
        <v>2.168014893868079</v>
      </c>
      <c r="BA74" s="15">
        <f>V74/J74</f>
        <v>0.99968780829309567</v>
      </c>
      <c r="BB74" s="15">
        <f t="shared" si="90"/>
        <v>1.0547945205479452</v>
      </c>
      <c r="BC74" s="15">
        <f t="shared" si="83"/>
        <v>2.168014893868079</v>
      </c>
      <c r="BD74" s="1">
        <f t="shared" si="84"/>
        <v>0</v>
      </c>
    </row>
    <row r="75" spans="1:56" ht="15.75" thickBot="1" x14ac:dyDescent="0.25">
      <c r="A75" s="13"/>
      <c r="B75" s="13"/>
      <c r="C75" s="43">
        <v>32</v>
      </c>
      <c r="D75" s="55">
        <v>733.2</v>
      </c>
      <c r="E75" s="55">
        <v>35.798200000000001</v>
      </c>
      <c r="F75" s="55">
        <v>37.425800000000002</v>
      </c>
      <c r="G75" s="55">
        <v>39.069499999999998</v>
      </c>
      <c r="H75" s="55">
        <v>0.98884139999999998</v>
      </c>
      <c r="I75" s="55">
        <v>0.97779380000000005</v>
      </c>
      <c r="J75" s="55">
        <v>0.98236259999999997</v>
      </c>
      <c r="K75" s="55">
        <v>115.67100000000001</v>
      </c>
      <c r="L75" s="55">
        <v>0.13100000000000001</v>
      </c>
      <c r="M75" s="15" t="e">
        <f>#REF!</f>
        <v>#REF!</v>
      </c>
      <c r="N75" s="16">
        <f t="shared" si="76"/>
        <v>3.2130833333333338E-2</v>
      </c>
      <c r="P75" s="60">
        <v>734.82</v>
      </c>
      <c r="Q75" s="60">
        <v>35.813800000000001</v>
      </c>
      <c r="R75" s="60">
        <v>37.440199999999997</v>
      </c>
      <c r="S75" s="60">
        <v>39.065100000000001</v>
      </c>
      <c r="T75" s="60">
        <v>0.98889159999999998</v>
      </c>
      <c r="U75" s="60">
        <v>0.97772110000000001</v>
      </c>
      <c r="V75" s="60">
        <v>0.98275000000000001</v>
      </c>
      <c r="W75" s="60">
        <v>288.84500000000003</v>
      </c>
      <c r="X75" s="60">
        <v>0.14299999999999999</v>
      </c>
      <c r="Y75" s="15" t="e">
        <f>#REF!</f>
        <v>#REF!</v>
      </c>
      <c r="Z75" s="16">
        <f t="shared" si="77"/>
        <v>8.0234722222222235E-2</v>
      </c>
      <c r="AA75" s="10">
        <f t="shared" si="78"/>
        <v>2.497125467921951</v>
      </c>
      <c r="AB75" s="15">
        <f t="shared" si="68"/>
        <v>1.0916030534351144</v>
      </c>
      <c r="AC75" s="15" t="e">
        <f t="shared" si="68"/>
        <v>#REF!</v>
      </c>
      <c r="AD75" s="16">
        <f t="shared" si="79"/>
        <v>2.2094926350245559E-3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>
        <f>V75/J75</f>
        <v>1.0003943554040027</v>
      </c>
      <c r="AY75" s="15">
        <f t="shared" si="92"/>
        <v>1.0916030534351144</v>
      </c>
      <c r="AZ75" s="15">
        <f t="shared" si="87"/>
        <v>2.497125467921951</v>
      </c>
      <c r="BA75" s="15">
        <f>V75/J75</f>
        <v>1.0003943554040027</v>
      </c>
      <c r="BB75" s="15">
        <f t="shared" si="90"/>
        <v>1.0916030534351144</v>
      </c>
      <c r="BC75" s="15">
        <f t="shared" si="83"/>
        <v>2.497125467921951</v>
      </c>
      <c r="BD75" s="1">
        <f t="shared" si="84"/>
        <v>0</v>
      </c>
    </row>
    <row r="76" spans="1:56" ht="15.75" thickBot="1" x14ac:dyDescent="0.25">
      <c r="A76" s="13"/>
      <c r="B76" s="13"/>
      <c r="C76" s="43">
        <v>37</v>
      </c>
      <c r="D76" s="55">
        <v>385.53</v>
      </c>
      <c r="E76" s="55">
        <v>32.176000000000002</v>
      </c>
      <c r="F76" s="55">
        <v>36.182000000000002</v>
      </c>
      <c r="G76" s="55">
        <v>37.341799999999999</v>
      </c>
      <c r="H76" s="55">
        <v>0.97441279999999997</v>
      </c>
      <c r="I76" s="55">
        <v>0.96793490000000004</v>
      </c>
      <c r="J76" s="55">
        <v>0.97296649999999996</v>
      </c>
      <c r="K76" s="55">
        <v>85.831000000000003</v>
      </c>
      <c r="L76" s="55">
        <v>0.126</v>
      </c>
      <c r="M76" s="15" t="e">
        <f>#REF!</f>
        <v>#REF!</v>
      </c>
      <c r="N76" s="16">
        <f t="shared" si="76"/>
        <v>2.3841944444444447E-2</v>
      </c>
      <c r="P76" s="60">
        <v>384.27</v>
      </c>
      <c r="Q76" s="60">
        <v>32.156300000000002</v>
      </c>
      <c r="R76" s="60">
        <v>36.1554</v>
      </c>
      <c r="S76" s="60">
        <v>37.363500000000002</v>
      </c>
      <c r="T76" s="60">
        <v>0.97421539999999995</v>
      </c>
      <c r="U76" s="60">
        <v>0.96816579999999997</v>
      </c>
      <c r="V76" s="60">
        <v>0.97393540000000001</v>
      </c>
      <c r="W76" s="60">
        <v>240.631</v>
      </c>
      <c r="X76" s="60">
        <v>0.13100000000000001</v>
      </c>
      <c r="Y76" s="15" t="e">
        <f>#REF!</f>
        <v>#REF!</v>
      </c>
      <c r="Z76" s="16">
        <f t="shared" si="77"/>
        <v>6.684194444444444E-2</v>
      </c>
      <c r="AA76" s="10">
        <f t="shared" si="78"/>
        <v>2.8035441740163809</v>
      </c>
      <c r="AB76" s="15">
        <f t="shared" si="68"/>
        <v>1.0396825396825398</v>
      </c>
      <c r="AC76" s="15" t="e">
        <f t="shared" si="68"/>
        <v>#REF!</v>
      </c>
      <c r="AD76" s="16">
        <f t="shared" si="79"/>
        <v>3.2682281534510698E-3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>
        <f>V76/J76</f>
        <v>1.0009958205138616</v>
      </c>
      <c r="AY76" s="15">
        <f t="shared" si="92"/>
        <v>1.0396825396825398</v>
      </c>
      <c r="AZ76" s="15">
        <f t="shared" si="87"/>
        <v>2.8035441740163805</v>
      </c>
      <c r="BA76" s="15">
        <f>V76/J76</f>
        <v>1.0009958205138616</v>
      </c>
      <c r="BB76" s="15">
        <f t="shared" si="90"/>
        <v>1.0396825396825398</v>
      </c>
      <c r="BC76" s="15">
        <f t="shared" si="83"/>
        <v>2.8035441740163805</v>
      </c>
      <c r="BD76" s="1">
        <f t="shared" si="84"/>
        <v>0</v>
      </c>
    </row>
    <row r="77" spans="1:56" ht="15.75" thickBot="1" x14ac:dyDescent="0.25">
      <c r="A77" s="17"/>
      <c r="B77" s="17"/>
      <c r="C77" s="44">
        <v>42</v>
      </c>
      <c r="D77" s="55">
        <v>166.86</v>
      </c>
      <c r="E77" s="55">
        <v>28.867999999999999</v>
      </c>
      <c r="F77" s="55">
        <v>34.8797</v>
      </c>
      <c r="G77" s="55">
        <v>35.820300000000003</v>
      </c>
      <c r="H77" s="55">
        <v>0.93499310000000002</v>
      </c>
      <c r="I77" s="55">
        <v>0.95468629999999999</v>
      </c>
      <c r="J77" s="55">
        <v>0.96095410000000003</v>
      </c>
      <c r="K77" s="55">
        <v>51.404000000000003</v>
      </c>
      <c r="L77" s="55">
        <v>0.111</v>
      </c>
      <c r="M77" s="19" t="e">
        <f>#REF!</f>
        <v>#REF!</v>
      </c>
      <c r="N77" s="20">
        <f t="shared" si="76"/>
        <v>1.427888888888889E-2</v>
      </c>
      <c r="P77" s="60">
        <v>167.49</v>
      </c>
      <c r="Q77" s="60">
        <v>28.879899999999999</v>
      </c>
      <c r="R77" s="60">
        <v>34.950699999999998</v>
      </c>
      <c r="S77" s="60">
        <v>35.686399999999999</v>
      </c>
      <c r="T77" s="60">
        <v>0.93623310000000004</v>
      </c>
      <c r="U77" s="60">
        <v>0.95431829999999995</v>
      </c>
      <c r="V77" s="60">
        <v>0.96012640000000005</v>
      </c>
      <c r="W77" s="60">
        <v>173.59</v>
      </c>
      <c r="X77" s="60">
        <v>0.127</v>
      </c>
      <c r="Y77" s="19" t="e">
        <f>#REF!</f>
        <v>#REF!</v>
      </c>
      <c r="Z77" s="20">
        <f t="shared" si="77"/>
        <v>4.8219444444444447E-2</v>
      </c>
      <c r="AA77" s="10">
        <f t="shared" si="78"/>
        <v>3.3769745545093763</v>
      </c>
      <c r="AB77" s="19">
        <f t="shared" si="68"/>
        <v>1.1441441441441442</v>
      </c>
      <c r="AC77" s="19" t="e">
        <f t="shared" si="68"/>
        <v>#REF!</v>
      </c>
      <c r="AD77" s="20">
        <f t="shared" si="79"/>
        <v>3.7756202804746218E-3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>
        <f>V77/J77</f>
        <v>0.9991386685378626</v>
      </c>
      <c r="AY77" s="19">
        <f t="shared" si="92"/>
        <v>1.1441441441441442</v>
      </c>
      <c r="AZ77" s="19">
        <f t="shared" si="87"/>
        <v>3.3769745545093768</v>
      </c>
      <c r="BA77" s="19"/>
      <c r="BB77" s="19"/>
      <c r="BC77" s="19"/>
      <c r="BD77" s="1">
        <f t="shared" si="84"/>
        <v>0</v>
      </c>
    </row>
    <row r="78" spans="1:56" ht="15.75" thickBot="1" x14ac:dyDescent="0.25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43.623600000000003</v>
      </c>
      <c r="F78" s="55">
        <v>45.669199999999996</v>
      </c>
      <c r="G78" s="55">
        <v>45.907299999999999</v>
      </c>
      <c r="H78" s="55">
        <v>0.99697389999999997</v>
      </c>
      <c r="I78" s="55">
        <v>0.99596929999999995</v>
      </c>
      <c r="J78" s="55">
        <v>0.9969249</v>
      </c>
      <c r="K78" s="55">
        <v>63.162999999999997</v>
      </c>
      <c r="L78" s="55">
        <v>9.5000000000000001E-2</v>
      </c>
      <c r="M78" s="10" t="e">
        <f>#REF!</f>
        <v>#REF!</v>
      </c>
      <c r="N78" s="11">
        <f t="shared" si="76"/>
        <v>1.7545277777777778E-2</v>
      </c>
      <c r="P78" s="60">
        <v>621</v>
      </c>
      <c r="Q78" s="60">
        <v>43.615299999999998</v>
      </c>
      <c r="R78" s="60">
        <v>45.603299999999997</v>
      </c>
      <c r="S78" s="60">
        <v>45.933900000000001</v>
      </c>
      <c r="T78" s="60">
        <v>0.99696269999999998</v>
      </c>
      <c r="U78" s="60">
        <v>0.99588030000000005</v>
      </c>
      <c r="V78" s="60">
        <v>0.99690749999999995</v>
      </c>
      <c r="W78" s="60">
        <v>107.11499999999999</v>
      </c>
      <c r="X78" s="60">
        <v>0.111</v>
      </c>
      <c r="Y78" s="10" t="e">
        <f>#REF!</f>
        <v>#REF!</v>
      </c>
      <c r="Z78" s="11">
        <f t="shared" si="77"/>
        <v>2.9754166666666665E-2</v>
      </c>
      <c r="AA78" s="10">
        <f t="shared" si="78"/>
        <v>1.6958504187578172</v>
      </c>
      <c r="AB78" s="10">
        <f>X78/L78</f>
        <v>1.168421052631579</v>
      </c>
      <c r="AC78" s="10" t="e">
        <f>Y78/M78</f>
        <v>#REF!</v>
      </c>
      <c r="AD78" s="11">
        <f t="shared" si="79"/>
        <v>9.6525096525100181E-4</v>
      </c>
      <c r="AE78" s="40"/>
      <c r="AF78" s="25">
        <f t="shared" ref="AF78:AK78" si="93">bdRateExtend($D78:$D82,E78:E82,$P78:$P82,Q78:Q82)</f>
        <v>-4.4124879127505068E-3</v>
      </c>
      <c r="AG78" s="30">
        <f t="shared" si="93"/>
        <v>6.5050888287425668E-3</v>
      </c>
      <c r="AH78" s="31">
        <f t="shared" si="93"/>
        <v>-3.1538831999297079E-3</v>
      </c>
      <c r="AI78" s="25">
        <f t="shared" si="93"/>
        <v>-9.3247762295536329E-3</v>
      </c>
      <c r="AJ78" s="30">
        <f t="shared" si="93"/>
        <v>1.2193214301647215E-2</v>
      </c>
      <c r="AK78" s="30">
        <f t="shared" si="93"/>
        <v>-1.8661214207401855E-2</v>
      </c>
      <c r="AL78" s="45"/>
      <c r="AM78" s="46"/>
      <c r="AN78" s="47"/>
      <c r="AO78" s="46"/>
      <c r="AP78" s="46"/>
      <c r="AQ78" s="47"/>
      <c r="AR78" s="30">
        <f t="shared" ref="AR78:AW78" si="94">bdrate($D78:$D81,E78:E81,$P78:$P81,Q78:Q81)</f>
        <v>-2.2125830075711006E-3</v>
      </c>
      <c r="AS78" s="30">
        <f t="shared" si="94"/>
        <v>3.5366864113113294E-3</v>
      </c>
      <c r="AT78" s="31">
        <f t="shared" si="94"/>
        <v>-2.1923851451879361E-3</v>
      </c>
      <c r="AU78" s="25">
        <f t="shared" si="94"/>
        <v>-6.4875006247180345E-3</v>
      </c>
      <c r="AV78" s="30">
        <f t="shared" si="94"/>
        <v>-1.21130752811488E-2</v>
      </c>
      <c r="AW78" s="31">
        <f t="shared" si="94"/>
        <v>-4.9455163925260504E-3</v>
      </c>
      <c r="AX78" s="10"/>
      <c r="AY78" s="10"/>
      <c r="AZ78" s="10"/>
      <c r="BA78" s="10">
        <f>V78/J78</f>
        <v>0.99998254632821382</v>
      </c>
      <c r="BB78" s="10">
        <f t="shared" ref="BB78:BB81" si="95">X78/L78</f>
        <v>1.168421052631579</v>
      </c>
      <c r="BC78" s="10">
        <f t="shared" si="83"/>
        <v>1.6958504187578169</v>
      </c>
      <c r="BD78" s="1">
        <f t="shared" si="84"/>
        <v>1</v>
      </c>
    </row>
    <row r="79" spans="1:56" ht="15.75" thickBot="1" x14ac:dyDescent="0.25">
      <c r="A79" s="13" t="s">
        <v>22</v>
      </c>
      <c r="B79" s="13"/>
      <c r="C79" s="43">
        <f>C74</f>
        <v>27</v>
      </c>
      <c r="D79" s="55">
        <v>367.35</v>
      </c>
      <c r="E79" s="55">
        <v>40.123699999999999</v>
      </c>
      <c r="F79" s="55">
        <v>42.287399999999998</v>
      </c>
      <c r="G79" s="55">
        <v>42.3142</v>
      </c>
      <c r="H79" s="55">
        <v>0.99271699999999996</v>
      </c>
      <c r="I79" s="55">
        <v>0.99084459999999996</v>
      </c>
      <c r="J79" s="55">
        <v>0.99372240000000001</v>
      </c>
      <c r="K79" s="55">
        <v>47.119</v>
      </c>
      <c r="L79" s="55">
        <v>9.1999999999999998E-2</v>
      </c>
      <c r="M79" s="15" t="e">
        <f>#REF!</f>
        <v>#REF!</v>
      </c>
      <c r="N79" s="16">
        <f t="shared" si="76"/>
        <v>1.3088611111111112E-2</v>
      </c>
      <c r="P79" s="60">
        <v>367.35</v>
      </c>
      <c r="Q79" s="60">
        <v>40.123699999999999</v>
      </c>
      <c r="R79" s="60">
        <v>42.287399999999998</v>
      </c>
      <c r="S79" s="60">
        <v>42.3142</v>
      </c>
      <c r="T79" s="60">
        <v>0.99271699999999996</v>
      </c>
      <c r="U79" s="60">
        <v>0.99084459999999996</v>
      </c>
      <c r="V79" s="60">
        <v>0.99372240000000001</v>
      </c>
      <c r="W79" s="60">
        <v>90.486999999999995</v>
      </c>
      <c r="X79" s="60">
        <v>0.108</v>
      </c>
      <c r="Y79" s="15" t="e">
        <f>#REF!</f>
        <v>#REF!</v>
      </c>
      <c r="Z79" s="16">
        <f t="shared" si="77"/>
        <v>2.5135277777777777E-2</v>
      </c>
      <c r="AA79" s="10">
        <f t="shared" si="78"/>
        <v>1.9203930473906492</v>
      </c>
      <c r="AB79" s="15">
        <f t="shared" ref="AB79:AC97" si="96">X79/L79</f>
        <v>1.173913043478261</v>
      </c>
      <c r="AC79" s="15" t="e">
        <f t="shared" si="96"/>
        <v>#REF!</v>
      </c>
      <c r="AD79" s="16">
        <f t="shared" si="79"/>
        <v>0</v>
      </c>
      <c r="AE79" s="12"/>
      <c r="AF79" s="26"/>
      <c r="AG79" s="21"/>
      <c r="AH79" s="36"/>
      <c r="AI79" s="26"/>
      <c r="AJ79" s="21"/>
      <c r="AK79" s="21"/>
      <c r="AL79" s="26">
        <f>bdrate($D79:$D82,E79:E82,$P79:$P82,Q79:Q82)</f>
        <v>-6.1010780881127769E-3</v>
      </c>
      <c r="AM79" s="21">
        <f>bdrate($D79:$D82,F79:F82,$P79:$P82,R79:R82)</f>
        <v>8.2652472463564663E-3</v>
      </c>
      <c r="AN79" s="36">
        <f t="shared" ref="AN79" si="97">bdrate($D79:$D82,G79:G82,$P79:$P82,S79:S82)</f>
        <v>-3.6576576944091777E-3</v>
      </c>
      <c r="AO79" s="26">
        <f>bdrate($D79:$D82,H79:H82,$P79:$P82,T79:T82)</f>
        <v>-1.0155462569812923E-2</v>
      </c>
      <c r="AP79" s="21">
        <f>bdrate($D79:$D82,I79:I82,$P79:$P82,U79:U82)</f>
        <v>1.0463150503124297E-2</v>
      </c>
      <c r="AQ79" s="36">
        <f>bdrate($D79:$D82,J79:J82,$P79:$P82,V79:V82)</f>
        <v>-1.8270511699983505E-2</v>
      </c>
      <c r="AR79" s="21"/>
      <c r="AS79" s="21"/>
      <c r="AT79" s="36"/>
      <c r="AU79" s="26"/>
      <c r="AV79" s="21"/>
      <c r="AW79" s="36"/>
      <c r="AX79" s="15">
        <f>V79/J79</f>
        <v>1</v>
      </c>
      <c r="AY79" s="15">
        <f t="shared" ref="AY79:AY82" si="98">X79/L79</f>
        <v>1.173913043478261</v>
      </c>
      <c r="AZ79" s="15">
        <f t="shared" si="87"/>
        <v>1.9203930473906492</v>
      </c>
      <c r="BA79" s="15">
        <f>V79/J79</f>
        <v>1</v>
      </c>
      <c r="BB79" s="15">
        <f t="shared" si="95"/>
        <v>1.173913043478261</v>
      </c>
      <c r="BC79" s="15">
        <f t="shared" si="83"/>
        <v>1.9203930473906492</v>
      </c>
      <c r="BD79" s="1">
        <f t="shared" si="84"/>
        <v>0</v>
      </c>
    </row>
    <row r="80" spans="1:56" ht="15.75" thickBot="1" x14ac:dyDescent="0.25">
      <c r="A80" s="13"/>
      <c r="B80" s="13"/>
      <c r="C80" s="43">
        <f>C75</f>
        <v>32</v>
      </c>
      <c r="D80" s="55">
        <v>206</v>
      </c>
      <c r="E80" s="55">
        <v>36.683700000000002</v>
      </c>
      <c r="F80" s="55">
        <v>39.504600000000003</v>
      </c>
      <c r="G80" s="55">
        <v>39.328699999999998</v>
      </c>
      <c r="H80" s="55">
        <v>0.98301810000000001</v>
      </c>
      <c r="I80" s="55">
        <v>0.98026659999999999</v>
      </c>
      <c r="J80" s="55">
        <v>0.98577579999999998</v>
      </c>
      <c r="K80" s="55">
        <v>32.247</v>
      </c>
      <c r="L80" s="55">
        <v>8.6999999999999994E-2</v>
      </c>
      <c r="M80" s="15" t="e">
        <f>#REF!</f>
        <v>#REF!</v>
      </c>
      <c r="N80" s="16">
        <f t="shared" si="76"/>
        <v>8.9575000000000002E-3</v>
      </c>
      <c r="P80" s="60">
        <v>202.85</v>
      </c>
      <c r="Q80" s="60">
        <v>36.6145</v>
      </c>
      <c r="R80" s="60">
        <v>39.441099999999999</v>
      </c>
      <c r="S80" s="60">
        <v>39.281799999999997</v>
      </c>
      <c r="T80" s="60">
        <v>0.9829116</v>
      </c>
      <c r="U80" s="60">
        <v>0.98074340000000004</v>
      </c>
      <c r="V80" s="60">
        <v>0.98548729999999995</v>
      </c>
      <c r="W80" s="60">
        <v>70.984999999999999</v>
      </c>
      <c r="X80" s="60">
        <v>0.108</v>
      </c>
      <c r="Y80" s="15" t="e">
        <f>#REF!</f>
        <v>#REF!</v>
      </c>
      <c r="Z80" s="16">
        <f t="shared" si="77"/>
        <v>1.9718055555555555E-2</v>
      </c>
      <c r="AA80" s="10">
        <f t="shared" si="78"/>
        <v>2.2012900424845721</v>
      </c>
      <c r="AB80" s="15">
        <f t="shared" si="96"/>
        <v>1.2413793103448276</v>
      </c>
      <c r="AC80" s="15" t="e">
        <f t="shared" si="96"/>
        <v>#REF!</v>
      </c>
      <c r="AD80" s="16">
        <f t="shared" si="79"/>
        <v>1.5291262135922358E-2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>
        <f>V80/J80</f>
        <v>0.99970733710444093</v>
      </c>
      <c r="AY80" s="15">
        <f t="shared" si="98"/>
        <v>1.2413793103448276</v>
      </c>
      <c r="AZ80" s="15">
        <f t="shared" si="87"/>
        <v>2.2012900424845721</v>
      </c>
      <c r="BA80" s="15">
        <f>V80/J80</f>
        <v>0.99970733710444093</v>
      </c>
      <c r="BB80" s="15">
        <f t="shared" si="95"/>
        <v>1.2413793103448276</v>
      </c>
      <c r="BC80" s="15">
        <f t="shared" si="83"/>
        <v>2.2012900424845721</v>
      </c>
      <c r="BD80" s="1">
        <f t="shared" si="84"/>
        <v>0</v>
      </c>
    </row>
    <row r="81" spans="1:56" ht="15.75" thickBot="1" x14ac:dyDescent="0.25">
      <c r="A81" s="13"/>
      <c r="B81" s="13"/>
      <c r="C81" s="43">
        <f>C76</f>
        <v>37</v>
      </c>
      <c r="D81" s="55">
        <v>111.85</v>
      </c>
      <c r="E81" s="55">
        <v>33.476100000000002</v>
      </c>
      <c r="F81" s="55">
        <v>37.835299999999997</v>
      </c>
      <c r="G81" s="55">
        <v>37.574199999999998</v>
      </c>
      <c r="H81" s="55">
        <v>0.96500730000000001</v>
      </c>
      <c r="I81" s="55">
        <v>0.97182500000000005</v>
      </c>
      <c r="J81" s="55">
        <v>0.97925139999999999</v>
      </c>
      <c r="K81" s="55">
        <v>21.419</v>
      </c>
      <c r="L81" s="55">
        <v>9.1999999999999998E-2</v>
      </c>
      <c r="M81" s="15" t="e">
        <f>#REF!</f>
        <v>#REF!</v>
      </c>
      <c r="N81" s="16">
        <f t="shared" si="76"/>
        <v>5.9497222222222226E-3</v>
      </c>
      <c r="P81" s="60">
        <v>111.05</v>
      </c>
      <c r="Q81" s="60">
        <v>33.491</v>
      </c>
      <c r="R81" s="60">
        <v>37.767899999999997</v>
      </c>
      <c r="S81" s="60">
        <v>37.582000000000001</v>
      </c>
      <c r="T81" s="60">
        <v>0.96477729999999995</v>
      </c>
      <c r="U81" s="60">
        <v>0.97080480000000002</v>
      </c>
      <c r="V81" s="60">
        <v>0.97987060000000004</v>
      </c>
      <c r="W81" s="60">
        <v>56.38</v>
      </c>
      <c r="X81" s="60">
        <v>9.7000000000000003E-2</v>
      </c>
      <c r="Y81" s="15" t="e">
        <f>#REF!</f>
        <v>#REF!</v>
      </c>
      <c r="Z81" s="16">
        <f t="shared" si="77"/>
        <v>1.5661111111111112E-2</v>
      </c>
      <c r="AA81" s="10">
        <f t="shared" si="78"/>
        <v>2.6322424016060508</v>
      </c>
      <c r="AB81" s="15">
        <f t="shared" si="96"/>
        <v>1.0543478260869565</v>
      </c>
      <c r="AC81" s="15" t="e">
        <f t="shared" si="96"/>
        <v>#REF!</v>
      </c>
      <c r="AD81" s="16">
        <f t="shared" si="79"/>
        <v>7.1524362986141905E-3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>
        <f>V81/J81</f>
        <v>1.0006323197495557</v>
      </c>
      <c r="AY81" s="15">
        <f t="shared" si="98"/>
        <v>1.0543478260869565</v>
      </c>
      <c r="AZ81" s="15">
        <f t="shared" si="87"/>
        <v>2.6322424016060508</v>
      </c>
      <c r="BA81" s="15">
        <f>V81/J81</f>
        <v>1.0006323197495557</v>
      </c>
      <c r="BB81" s="15">
        <f t="shared" si="95"/>
        <v>1.0543478260869565</v>
      </c>
      <c r="BC81" s="15">
        <f t="shared" si="83"/>
        <v>2.6322424016060508</v>
      </c>
      <c r="BD81" s="1">
        <f t="shared" si="84"/>
        <v>0</v>
      </c>
    </row>
    <row r="82" spans="1:56" ht="15.75" thickBot="1" x14ac:dyDescent="0.25">
      <c r="A82" s="13"/>
      <c r="B82" s="17"/>
      <c r="C82" s="44">
        <f>C77</f>
        <v>42</v>
      </c>
      <c r="D82" s="55">
        <v>61.7</v>
      </c>
      <c r="E82" s="55">
        <v>30.6099</v>
      </c>
      <c r="F82" s="55">
        <v>36.0867</v>
      </c>
      <c r="G82" s="55">
        <v>35.7363</v>
      </c>
      <c r="H82" s="55">
        <v>0.93747709999999995</v>
      </c>
      <c r="I82" s="55">
        <v>0.94889349999999995</v>
      </c>
      <c r="J82" s="55">
        <v>0.9680687</v>
      </c>
      <c r="K82" s="55">
        <v>13.27</v>
      </c>
      <c r="L82" s="55">
        <v>8.5999999999999993E-2</v>
      </c>
      <c r="M82" s="19" t="e">
        <f>#REF!</f>
        <v>#REF!</v>
      </c>
      <c r="N82" s="20">
        <f t="shared" si="76"/>
        <v>3.6861111111111109E-3</v>
      </c>
      <c r="P82" s="60">
        <v>60.55</v>
      </c>
      <c r="Q82" s="60">
        <v>30.5825</v>
      </c>
      <c r="R82" s="60">
        <v>35.964199999999998</v>
      </c>
      <c r="S82" s="60">
        <v>35.679400000000001</v>
      </c>
      <c r="T82" s="60">
        <v>0.93871599999999999</v>
      </c>
      <c r="U82" s="60">
        <v>0.94588589999999995</v>
      </c>
      <c r="V82" s="60">
        <v>0.96653129999999998</v>
      </c>
      <c r="W82" s="60">
        <v>38.582999999999998</v>
      </c>
      <c r="X82" s="60">
        <v>9.2999999999999999E-2</v>
      </c>
      <c r="Y82" s="19" t="e">
        <f>#REF!</f>
        <v>#REF!</v>
      </c>
      <c r="Z82" s="20">
        <f t="shared" si="77"/>
        <v>1.07175E-2</v>
      </c>
      <c r="AA82" s="10">
        <f t="shared" si="78"/>
        <v>2.9075357950263752</v>
      </c>
      <c r="AB82" s="15">
        <f t="shared" si="96"/>
        <v>1.0813953488372094</v>
      </c>
      <c r="AC82" s="15" t="e">
        <f t="shared" si="96"/>
        <v>#REF!</v>
      </c>
      <c r="AD82" s="20">
        <f t="shared" si="79"/>
        <v>1.8638573743922294E-2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>
        <f>V82/J82</f>
        <v>0.99841188956940763</v>
      </c>
      <c r="AY82" s="15">
        <f t="shared" si="98"/>
        <v>1.0813953488372094</v>
      </c>
      <c r="AZ82" s="15">
        <f t="shared" si="87"/>
        <v>2.9075357950263752</v>
      </c>
      <c r="BA82" s="15"/>
      <c r="BB82" s="15"/>
      <c r="BC82" s="15"/>
      <c r="BD82" s="1">
        <f t="shared" si="84"/>
        <v>0</v>
      </c>
    </row>
    <row r="83" spans="1:56" ht="15.75" thickBot="1" x14ac:dyDescent="0.25">
      <c r="A83" s="13"/>
      <c r="B83" s="8" t="s">
        <v>31</v>
      </c>
      <c r="C83" s="39">
        <v>22</v>
      </c>
      <c r="D83" s="55">
        <v>1129.75</v>
      </c>
      <c r="E83" s="55">
        <v>41.958500000000001</v>
      </c>
      <c r="F83" s="55">
        <v>42.596699999999998</v>
      </c>
      <c r="G83" s="55">
        <v>44.335299999999997</v>
      </c>
      <c r="H83" s="55">
        <v>0.99770230000000004</v>
      </c>
      <c r="I83" s="55">
        <v>0.99413779999999996</v>
      </c>
      <c r="J83" s="55">
        <v>0.9950502</v>
      </c>
      <c r="K83" s="55">
        <v>76.367000000000004</v>
      </c>
      <c r="L83" s="55">
        <v>0.13900000000000001</v>
      </c>
      <c r="M83" s="10" t="e">
        <f>#REF!</f>
        <v>#REF!</v>
      </c>
      <c r="N83" s="11">
        <f t="shared" si="76"/>
        <v>2.1213055555555558E-2</v>
      </c>
      <c r="P83" s="60">
        <v>1133.5999999999999</v>
      </c>
      <c r="Q83" s="60">
        <v>41.999600000000001</v>
      </c>
      <c r="R83" s="60">
        <v>42.518300000000004</v>
      </c>
      <c r="S83" s="60">
        <v>44.3765</v>
      </c>
      <c r="T83" s="60">
        <v>0.99772369999999999</v>
      </c>
      <c r="U83" s="60">
        <v>0.99408569999999996</v>
      </c>
      <c r="V83" s="60">
        <v>0.99513430000000003</v>
      </c>
      <c r="W83" s="60">
        <v>112.462</v>
      </c>
      <c r="X83" s="60">
        <v>0.11700000000000001</v>
      </c>
      <c r="Y83" s="10" t="e">
        <f>#REF!</f>
        <v>#REF!</v>
      </c>
      <c r="Z83" s="11">
        <f t="shared" si="77"/>
        <v>3.1239444444444445E-2</v>
      </c>
      <c r="AA83" s="10">
        <f t="shared" si="78"/>
        <v>1.4726517998611965</v>
      </c>
      <c r="AB83" s="15">
        <f t="shared" si="96"/>
        <v>0.84172661870503596</v>
      </c>
      <c r="AC83" s="15" t="e">
        <f t="shared" si="96"/>
        <v>#REF!</v>
      </c>
      <c r="AD83" s="11">
        <f t="shared" si="79"/>
        <v>3.4078335915024645E-3</v>
      </c>
      <c r="AE83" s="12"/>
      <c r="AF83" s="25">
        <f t="shared" ref="AF83:AK83" si="99">bdRateExtend($D83:$D87,E83:E87,$P83:$P87,Q83:Q87)</f>
        <v>-6.9755977305363537E-4</v>
      </c>
      <c r="AG83" s="30">
        <f t="shared" si="99"/>
        <v>5.0285713290028067E-3</v>
      </c>
      <c r="AH83" s="31">
        <f t="shared" si="99"/>
        <v>9.4668044528518625E-3</v>
      </c>
      <c r="AI83" s="25">
        <f t="shared" si="99"/>
        <v>8.1021436065853436E-4</v>
      </c>
      <c r="AJ83" s="30">
        <f t="shared" si="99"/>
        <v>9.1818166599375584E-3</v>
      </c>
      <c r="AK83" s="30">
        <f t="shared" si="99"/>
        <v>4.1951050620463448E-3</v>
      </c>
      <c r="AL83" s="26"/>
      <c r="AM83" s="21"/>
      <c r="AN83" s="36"/>
      <c r="AO83" s="21"/>
      <c r="AP83" s="21"/>
      <c r="AQ83" s="36"/>
      <c r="AR83" s="30">
        <f t="shared" ref="AR83:AW83" si="100">bdrate($D83:$D86,E83:E86,$P83:$P86,Q83:Q86)</f>
        <v>-1.1409907435191435E-3</v>
      </c>
      <c r="AS83" s="30">
        <f t="shared" si="100"/>
        <v>7.499329003556765E-3</v>
      </c>
      <c r="AT83" s="31">
        <f t="shared" si="100"/>
        <v>5.7046633678017322E-3</v>
      </c>
      <c r="AU83" s="25">
        <f t="shared" si="100"/>
        <v>1.7344681262472239E-3</v>
      </c>
      <c r="AV83" s="30">
        <f t="shared" si="100"/>
        <v>2.301966041979786E-2</v>
      </c>
      <c r="AW83" s="31">
        <f t="shared" si="100"/>
        <v>1.4096955981319326E-2</v>
      </c>
      <c r="AX83" s="15"/>
      <c r="AY83" s="15"/>
      <c r="AZ83" s="15"/>
      <c r="BA83" s="15">
        <f>V83/J83</f>
        <v>1.0000845183489235</v>
      </c>
      <c r="BB83" s="15">
        <f t="shared" ref="BB83:BB86" si="101">X83/L83</f>
        <v>0.84172661870503596</v>
      </c>
      <c r="BC83" s="15">
        <f t="shared" si="83"/>
        <v>1.4726517998611965</v>
      </c>
      <c r="BD83" s="1">
        <f t="shared" si="84"/>
        <v>1</v>
      </c>
    </row>
    <row r="84" spans="1:56" ht="15.75" thickBot="1" x14ac:dyDescent="0.25">
      <c r="A84" s="13"/>
      <c r="C84" s="43">
        <v>27</v>
      </c>
      <c r="D84" s="55">
        <v>655.5</v>
      </c>
      <c r="E84" s="55">
        <v>37.917400000000001</v>
      </c>
      <c r="F84" s="55">
        <v>39.125</v>
      </c>
      <c r="G84" s="55">
        <v>40.946199999999997</v>
      </c>
      <c r="H84" s="55">
        <v>0.99413269999999998</v>
      </c>
      <c r="I84" s="55">
        <v>0.98433360000000003</v>
      </c>
      <c r="J84" s="55">
        <v>0.98755280000000001</v>
      </c>
      <c r="K84" s="55">
        <v>63.771999999999998</v>
      </c>
      <c r="L84" s="55">
        <v>9.7000000000000003E-2</v>
      </c>
      <c r="M84" s="15" t="e">
        <f>#REF!</f>
        <v>#REF!</v>
      </c>
      <c r="N84" s="16">
        <f t="shared" si="76"/>
        <v>1.7714444444444442E-2</v>
      </c>
      <c r="P84" s="60">
        <v>654.35</v>
      </c>
      <c r="Q84" s="60">
        <v>37.917200000000001</v>
      </c>
      <c r="R84" s="60">
        <v>39.079599999999999</v>
      </c>
      <c r="S84" s="60">
        <v>40.873199999999997</v>
      </c>
      <c r="T84" s="60">
        <v>0.99407480000000004</v>
      </c>
      <c r="U84" s="60">
        <v>0.98457030000000001</v>
      </c>
      <c r="V84" s="60">
        <v>0.98750990000000005</v>
      </c>
      <c r="W84" s="60">
        <v>103.474</v>
      </c>
      <c r="X84" s="60">
        <v>0.113</v>
      </c>
      <c r="Y84" s="15" t="e">
        <f>#REF!</f>
        <v>#REF!</v>
      </c>
      <c r="Z84" s="16">
        <f t="shared" si="77"/>
        <v>2.874277777777778E-2</v>
      </c>
      <c r="AA84" s="10">
        <f t="shared" si="78"/>
        <v>1.6225616257918838</v>
      </c>
      <c r="AB84" s="15">
        <f t="shared" si="96"/>
        <v>1.1649484536082475</v>
      </c>
      <c r="AC84" s="15" t="e">
        <f t="shared" si="96"/>
        <v>#REF!</v>
      </c>
      <c r="AD84" s="16">
        <f t="shared" si="79"/>
        <v>1.754385964912246E-3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-2.545387829386847E-4</v>
      </c>
      <c r="AM84" s="21">
        <f>bdrate($D84:$D87,F84:F87,$P84:$P87,R84:R87)</f>
        <v>2.719442627162838E-3</v>
      </c>
      <c r="AN84" s="36">
        <f t="shared" ref="AN84" si="102">bdrate($D84:$D87,G84:G87,$P84:$P87,S84:S87)</f>
        <v>1.5856015263997492E-3</v>
      </c>
      <c r="AO84" s="26">
        <f>bdrate($D84:$D87,H84:H87,$P84:$P87,T84:T87)</f>
        <v>5.727167833060598E-4</v>
      </c>
      <c r="AP84" s="21">
        <f>bdrate($D84:$D87,I84:I87,$P84:$P87,U84:U87)</f>
        <v>1.8091526641085931E-2</v>
      </c>
      <c r="AQ84" s="36">
        <f>bdrate($D84:$D87,J84:J87,$P84:$P87,V84:V87)</f>
        <v>7.2959321684944456E-3</v>
      </c>
      <c r="AR84" s="21"/>
      <c r="AS84" s="21"/>
      <c r="AT84" s="36"/>
      <c r="AU84" s="26"/>
      <c r="AV84" s="21"/>
      <c r="AW84" s="36"/>
      <c r="AX84" s="15">
        <f>V84/J84</f>
        <v>0.99995655928472893</v>
      </c>
      <c r="AY84" s="15">
        <f t="shared" ref="AY84:AY87" si="103">X84/L84</f>
        <v>1.1649484536082475</v>
      </c>
      <c r="AZ84" s="15">
        <f t="shared" si="87"/>
        <v>1.622561625791884</v>
      </c>
      <c r="BA84" s="15">
        <f>V84/J84</f>
        <v>0.99995655928472893</v>
      </c>
      <c r="BB84" s="15">
        <f t="shared" si="101"/>
        <v>1.1649484536082475</v>
      </c>
      <c r="BC84" s="15">
        <f t="shared" si="83"/>
        <v>1.622561625791884</v>
      </c>
      <c r="BD84" s="1">
        <f t="shared" si="84"/>
        <v>0</v>
      </c>
    </row>
    <row r="85" spans="1:56" ht="15.75" thickBot="1" x14ac:dyDescent="0.25">
      <c r="A85" s="13"/>
      <c r="B85" s="13"/>
      <c r="C85" s="43">
        <v>32</v>
      </c>
      <c r="D85" s="55">
        <v>361.5</v>
      </c>
      <c r="E85" s="55">
        <v>34.334600000000002</v>
      </c>
      <c r="F85" s="55">
        <v>36.2714</v>
      </c>
      <c r="G85" s="55">
        <v>38.185400000000001</v>
      </c>
      <c r="H85" s="55">
        <v>0.98624040000000002</v>
      </c>
      <c r="I85" s="55">
        <v>0.96413219999999999</v>
      </c>
      <c r="J85" s="55">
        <v>0.9728871</v>
      </c>
      <c r="K85" s="55">
        <v>51.677999999999997</v>
      </c>
      <c r="L85" s="55">
        <v>9.7000000000000003E-2</v>
      </c>
      <c r="M85" s="15" t="e">
        <f>#REF!</f>
        <v>#REF!</v>
      </c>
      <c r="N85" s="16">
        <f t="shared" si="76"/>
        <v>1.4355E-2</v>
      </c>
      <c r="P85" s="60">
        <v>362.15</v>
      </c>
      <c r="Q85" s="60">
        <v>34.348799999999997</v>
      </c>
      <c r="R85" s="60">
        <v>36.252899999999997</v>
      </c>
      <c r="S85" s="60">
        <v>38.242400000000004</v>
      </c>
      <c r="T85" s="60">
        <v>0.98624820000000002</v>
      </c>
      <c r="U85" s="60">
        <v>0.96230099999999996</v>
      </c>
      <c r="V85" s="60">
        <v>0.97207259999999995</v>
      </c>
      <c r="W85" s="60">
        <v>89.858000000000004</v>
      </c>
      <c r="X85" s="60">
        <v>0.108</v>
      </c>
      <c r="Y85" s="15" t="e">
        <f>#REF!</f>
        <v>#REF!</v>
      </c>
      <c r="Z85" s="16">
        <f t="shared" si="77"/>
        <v>2.4960555555555555E-2</v>
      </c>
      <c r="AA85" s="10">
        <f t="shared" si="78"/>
        <v>1.738805681334417</v>
      </c>
      <c r="AB85" s="15">
        <f t="shared" si="96"/>
        <v>1.1134020618556701</v>
      </c>
      <c r="AC85" s="15" t="e">
        <f t="shared" si="96"/>
        <v>#REF!</v>
      </c>
      <c r="AD85" s="16">
        <f t="shared" si="79"/>
        <v>1.7980636237897019E-3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>
        <f>V85/J85</f>
        <v>0.99916280111022127</v>
      </c>
      <c r="AY85" s="15">
        <f t="shared" si="103"/>
        <v>1.1134020618556701</v>
      </c>
      <c r="AZ85" s="15">
        <f t="shared" si="87"/>
        <v>1.738805681334417</v>
      </c>
      <c r="BA85" s="15">
        <f>V85/J85</f>
        <v>0.99916280111022127</v>
      </c>
      <c r="BB85" s="15">
        <f t="shared" si="101"/>
        <v>1.1134020618556701</v>
      </c>
      <c r="BC85" s="15">
        <f t="shared" si="83"/>
        <v>1.738805681334417</v>
      </c>
      <c r="BD85" s="1">
        <f t="shared" si="84"/>
        <v>0</v>
      </c>
    </row>
    <row r="86" spans="1:56" ht="15.75" thickBot="1" x14ac:dyDescent="0.25">
      <c r="A86" s="13"/>
      <c r="B86" s="13"/>
      <c r="C86" s="43">
        <v>37</v>
      </c>
      <c r="D86" s="55">
        <v>190.2</v>
      </c>
      <c r="E86" s="55">
        <v>31.0625</v>
      </c>
      <c r="F86" s="55">
        <v>34.869300000000003</v>
      </c>
      <c r="G86" s="55">
        <v>36.8673</v>
      </c>
      <c r="H86" s="55">
        <v>0.96881669999999998</v>
      </c>
      <c r="I86" s="55">
        <v>0.94656879999999999</v>
      </c>
      <c r="J86" s="55">
        <v>0.95836149999999998</v>
      </c>
      <c r="K86" s="55">
        <v>34.506</v>
      </c>
      <c r="L86" s="55">
        <v>9.2999999999999999E-2</v>
      </c>
      <c r="M86" s="15" t="e">
        <f>#REF!</f>
        <v>#REF!</v>
      </c>
      <c r="N86" s="16">
        <f t="shared" si="76"/>
        <v>9.5849999999999998E-3</v>
      </c>
      <c r="P86" s="60">
        <v>190.95</v>
      </c>
      <c r="Q86" s="60">
        <v>31.0794</v>
      </c>
      <c r="R86" s="60">
        <v>34.879899999999999</v>
      </c>
      <c r="S86" s="60">
        <v>36.7331</v>
      </c>
      <c r="T86" s="60">
        <v>0.9689683</v>
      </c>
      <c r="U86" s="60">
        <v>0.94686610000000004</v>
      </c>
      <c r="V86" s="60">
        <v>0.9588004</v>
      </c>
      <c r="W86" s="60">
        <v>76.102999999999994</v>
      </c>
      <c r="X86" s="60">
        <v>0.1</v>
      </c>
      <c r="Y86" s="15" t="e">
        <f>#REF!</f>
        <v>#REF!</v>
      </c>
      <c r="Z86" s="16">
        <f t="shared" si="77"/>
        <v>2.1139722222222219E-2</v>
      </c>
      <c r="AA86" s="10">
        <f t="shared" si="78"/>
        <v>2.2055004926679418</v>
      </c>
      <c r="AB86" s="15">
        <f t="shared" si="96"/>
        <v>1.0752688172043012</v>
      </c>
      <c r="AC86" s="15" t="e">
        <f t="shared" si="96"/>
        <v>#REF!</v>
      </c>
      <c r="AD86" s="16">
        <f t="shared" si="79"/>
        <v>3.9432176656151426E-3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>
        <f>V86/J86</f>
        <v>1.000457969148385</v>
      </c>
      <c r="AY86" s="15">
        <f t="shared" si="103"/>
        <v>1.0752688172043012</v>
      </c>
      <c r="AZ86" s="15">
        <f t="shared" si="87"/>
        <v>2.2055004926679418</v>
      </c>
      <c r="BA86" s="15">
        <f>V86/J86</f>
        <v>1.000457969148385</v>
      </c>
      <c r="BB86" s="15">
        <f t="shared" si="101"/>
        <v>1.0752688172043012</v>
      </c>
      <c r="BC86" s="15">
        <f t="shared" si="83"/>
        <v>2.2055004926679418</v>
      </c>
      <c r="BD86" s="1">
        <f t="shared" si="84"/>
        <v>0</v>
      </c>
    </row>
    <row r="87" spans="1:56" ht="15.75" thickBot="1" x14ac:dyDescent="0.25">
      <c r="A87" s="13"/>
      <c r="B87" s="17"/>
      <c r="C87" s="44">
        <v>42</v>
      </c>
      <c r="D87" s="55">
        <v>95.5</v>
      </c>
      <c r="E87" s="55">
        <v>28.227900000000002</v>
      </c>
      <c r="F87" s="55">
        <v>33.402500000000003</v>
      </c>
      <c r="G87" s="55">
        <v>35.176000000000002</v>
      </c>
      <c r="H87" s="55">
        <v>0.93681179999999997</v>
      </c>
      <c r="I87" s="55">
        <v>0.92462520000000004</v>
      </c>
      <c r="J87" s="55">
        <v>0.93710959999999999</v>
      </c>
      <c r="K87" s="55">
        <v>21.905999999999999</v>
      </c>
      <c r="L87" s="55">
        <v>9.5000000000000001E-2</v>
      </c>
      <c r="M87" s="19" t="e">
        <f>#REF!</f>
        <v>#REF!</v>
      </c>
      <c r="N87" s="20">
        <f t="shared" si="76"/>
        <v>6.0849999999999993E-3</v>
      </c>
      <c r="P87" s="60">
        <v>96</v>
      </c>
      <c r="Q87" s="60">
        <v>28.239699999999999</v>
      </c>
      <c r="R87" s="60">
        <v>33.448</v>
      </c>
      <c r="S87" s="60">
        <v>35.369700000000002</v>
      </c>
      <c r="T87" s="60">
        <v>0.93701990000000002</v>
      </c>
      <c r="U87" s="60">
        <v>0.92516449999999995</v>
      </c>
      <c r="V87" s="60">
        <v>0.9367607</v>
      </c>
      <c r="W87" s="60">
        <v>55.328000000000003</v>
      </c>
      <c r="X87" s="60">
        <v>0.11</v>
      </c>
      <c r="Y87" s="19" t="e">
        <f>#REF!</f>
        <v>#REF!</v>
      </c>
      <c r="Z87" s="20">
        <f t="shared" si="77"/>
        <v>1.536888888888889E-2</v>
      </c>
      <c r="AA87" s="10">
        <f t="shared" si="78"/>
        <v>2.5257007212635809</v>
      </c>
      <c r="AB87" s="15">
        <f t="shared" si="96"/>
        <v>1.1578947368421053</v>
      </c>
      <c r="AC87" s="15" t="e">
        <f t="shared" si="96"/>
        <v>#REF!</v>
      </c>
      <c r="AD87" s="20">
        <f t="shared" si="79"/>
        <v>5.235602094240838E-3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>
        <f>V87/J87</f>
        <v>0.99962768495808818</v>
      </c>
      <c r="AY87" s="15">
        <f t="shared" si="103"/>
        <v>1.1578947368421053</v>
      </c>
      <c r="AZ87" s="15">
        <f t="shared" si="87"/>
        <v>2.5257007212635814</v>
      </c>
      <c r="BA87" s="15"/>
      <c r="BB87" s="15"/>
      <c r="BC87" s="15"/>
      <c r="BD87" s="1">
        <f t="shared" si="84"/>
        <v>0</v>
      </c>
    </row>
    <row r="88" spans="1:56" ht="15.75" thickBot="1" x14ac:dyDescent="0.25">
      <c r="A88" s="13"/>
      <c r="B88" s="8" t="s">
        <v>30</v>
      </c>
      <c r="C88" s="39">
        <v>22</v>
      </c>
      <c r="D88" s="55">
        <v>1514.34</v>
      </c>
      <c r="E88" s="55">
        <v>42.559699999999999</v>
      </c>
      <c r="F88" s="55">
        <v>44.520400000000002</v>
      </c>
      <c r="G88" s="55">
        <v>45.401800000000001</v>
      </c>
      <c r="H88" s="55">
        <v>0.99783679999999997</v>
      </c>
      <c r="I88" s="55">
        <v>0.99401329999999999</v>
      </c>
      <c r="J88" s="55">
        <v>0.99530070000000004</v>
      </c>
      <c r="K88" s="55">
        <v>65.820999999999998</v>
      </c>
      <c r="L88" s="55">
        <v>0.108</v>
      </c>
      <c r="M88" s="10" t="e">
        <f>#REF!</f>
        <v>#REF!</v>
      </c>
      <c r="N88" s="11">
        <f t="shared" si="76"/>
        <v>1.8283611111111112E-2</v>
      </c>
      <c r="P88" s="60">
        <v>1514.1</v>
      </c>
      <c r="Q88" s="60">
        <v>42.545099999999998</v>
      </c>
      <c r="R88" s="60">
        <v>44.580199999999998</v>
      </c>
      <c r="S88" s="60">
        <v>45.368899999999996</v>
      </c>
      <c r="T88" s="60">
        <v>0.99786750000000002</v>
      </c>
      <c r="U88" s="60">
        <v>0.99410690000000002</v>
      </c>
      <c r="V88" s="60">
        <v>0.99520759999999997</v>
      </c>
      <c r="W88" s="60">
        <v>94.638000000000005</v>
      </c>
      <c r="X88" s="60">
        <v>0.13800000000000001</v>
      </c>
      <c r="Y88" s="10" t="e">
        <f>#REF!</f>
        <v>#REF!</v>
      </c>
      <c r="Z88" s="11">
        <f t="shared" si="77"/>
        <v>2.6288333333333334E-2</v>
      </c>
      <c r="AA88" s="10">
        <f t="shared" si="78"/>
        <v>1.4378086021178653</v>
      </c>
      <c r="AB88" s="15">
        <f t="shared" si="96"/>
        <v>1.2777777777777779</v>
      </c>
      <c r="AC88" s="15" t="e">
        <f t="shared" si="96"/>
        <v>#REF!</v>
      </c>
      <c r="AD88" s="11">
        <f t="shared" si="79"/>
        <v>1.5848488450414644E-4</v>
      </c>
      <c r="AE88" s="12"/>
      <c r="AF88" s="25">
        <f t="shared" ref="AF88:AK88" si="104">bdRateExtend($D88:$D92,E88:E92,$P88:$P92,Q88:Q92)</f>
        <v>-1.0075890236993512E-3</v>
      </c>
      <c r="AG88" s="30">
        <f t="shared" si="104"/>
        <v>-1.6327662967011269E-2</v>
      </c>
      <c r="AH88" s="31">
        <f t="shared" si="104"/>
        <v>-5.8428593934183315E-3</v>
      </c>
      <c r="AI88" s="25">
        <f t="shared" si="104"/>
        <v>3.7429948345757413E-3</v>
      </c>
      <c r="AJ88" s="30">
        <f>bdRateExtend($D88:$D92,I88:I92,$P88:$P92,U88:U92)</f>
        <v>-4.1602619147722564E-2</v>
      </c>
      <c r="AK88" s="30">
        <f t="shared" si="104"/>
        <v>-1.5873074107076723E-2</v>
      </c>
      <c r="AL88" s="45"/>
      <c r="AM88" s="46"/>
      <c r="AN88" s="47"/>
      <c r="AO88" s="46"/>
      <c r="AP88" s="46"/>
      <c r="AQ88" s="47"/>
      <c r="AR88" s="30">
        <f t="shared" ref="AR88:AW88" si="105">bdrate($D88:$D91,E88:E91,$P88:$P91,Q88:Q91)</f>
        <v>8.0922732175148226E-4</v>
      </c>
      <c r="AS88" s="30">
        <f t="shared" si="105"/>
        <v>-1.5151280620576579E-2</v>
      </c>
      <c r="AT88" s="31">
        <f t="shared" si="105"/>
        <v>-1.539679628788948E-2</v>
      </c>
      <c r="AU88" s="25">
        <f t="shared" si="105"/>
        <v>6.9240832872348168E-3</v>
      </c>
      <c r="AV88" s="30">
        <f t="shared" si="105"/>
        <v>-2.1720585671521686E-2</v>
      </c>
      <c r="AW88" s="31">
        <f t="shared" si="105"/>
        <v>-3.9683532538290267E-2</v>
      </c>
      <c r="AX88" s="15"/>
      <c r="AY88" s="15"/>
      <c r="AZ88" s="15"/>
      <c r="BA88" s="15">
        <f>V88/J88</f>
        <v>0.99990646042949627</v>
      </c>
      <c r="BB88" s="15">
        <f t="shared" ref="BB88:BB91" si="106">X88/L88</f>
        <v>1.2777777777777779</v>
      </c>
      <c r="BC88" s="15">
        <f t="shared" si="83"/>
        <v>1.4378086021178651</v>
      </c>
      <c r="BD88" s="1">
        <f t="shared" si="84"/>
        <v>0</v>
      </c>
    </row>
    <row r="89" spans="1:56" ht="15.75" thickBot="1" x14ac:dyDescent="0.25">
      <c r="A89" s="13"/>
      <c r="B89" s="13"/>
      <c r="C89" s="43">
        <v>27</v>
      </c>
      <c r="D89" s="55">
        <v>1001.52</v>
      </c>
      <c r="E89" s="55">
        <v>38.151400000000002</v>
      </c>
      <c r="F89" s="55">
        <v>41.760899999999999</v>
      </c>
      <c r="G89" s="55">
        <v>42.595300000000002</v>
      </c>
      <c r="H89" s="55">
        <v>0.99416329999999997</v>
      </c>
      <c r="I89" s="55">
        <v>0.98564149999999995</v>
      </c>
      <c r="J89" s="55">
        <v>0.98935220000000001</v>
      </c>
      <c r="K89" s="55">
        <v>48.09</v>
      </c>
      <c r="L89" s="55">
        <v>0.10299999999999999</v>
      </c>
      <c r="M89" s="15" t="e">
        <f>#REF!</f>
        <v>#REF!</v>
      </c>
      <c r="N89" s="16">
        <f t="shared" si="76"/>
        <v>1.3358333333333335E-2</v>
      </c>
      <c r="P89" s="60">
        <v>1001.88</v>
      </c>
      <c r="Q89" s="60">
        <v>38.137300000000003</v>
      </c>
      <c r="R89" s="60">
        <v>41.801200000000001</v>
      </c>
      <c r="S89" s="60">
        <v>42.655999999999999</v>
      </c>
      <c r="T89" s="60">
        <v>0.99416059999999995</v>
      </c>
      <c r="U89" s="60">
        <v>0.98538170000000003</v>
      </c>
      <c r="V89" s="60">
        <v>0.98977990000000005</v>
      </c>
      <c r="W89" s="60">
        <v>77.100999999999999</v>
      </c>
      <c r="X89" s="60">
        <v>0.11799999999999999</v>
      </c>
      <c r="Y89" s="15" t="e">
        <f>#REF!</f>
        <v>#REF!</v>
      </c>
      <c r="Z89" s="16">
        <f t="shared" si="77"/>
        <v>2.1416944444444443E-2</v>
      </c>
      <c r="AA89" s="10">
        <f t="shared" si="78"/>
        <v>1.6032647119983363</v>
      </c>
      <c r="AB89" s="15">
        <f t="shared" si="96"/>
        <v>1.145631067961165</v>
      </c>
      <c r="AC89" s="15" t="e">
        <f t="shared" si="96"/>
        <v>#REF!</v>
      </c>
      <c r="AD89" s="16">
        <f t="shared" si="79"/>
        <v>3.5945363048168149E-4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-1.8629665149354491E-3</v>
      </c>
      <c r="AM89" s="21">
        <f>bdrate($D89:$D92,F89:F92,$P89:$P92,R89:R92)</f>
        <v>-2.7674434454306507E-2</v>
      </c>
      <c r="AN89" s="36">
        <f t="shared" ref="AN89" si="107">bdrate($D89:$D92,G89:G92,$P89:$P92,S89:S92)</f>
        <v>-1.8204432930683523E-2</v>
      </c>
      <c r="AO89" s="26">
        <f>bdrate($D89:$D92,H89:H92,$P89:$P92,T89:T92)</f>
        <v>5.1613666785566004E-3</v>
      </c>
      <c r="AP89" s="21">
        <f>bdrate($D89:$D92,I89:I92,$P89:$P92,U89:U92)</f>
        <v>-5.4794507872422793E-2</v>
      </c>
      <c r="AQ89" s="36">
        <f>bdrate($D89:$D92,J89:J92,$P89:$P92,V89:V92)</f>
        <v>-2.9944000650124591E-2</v>
      </c>
      <c r="AR89" s="21"/>
      <c r="AS89" s="21"/>
      <c r="AT89" s="36"/>
      <c r="AU89" s="26"/>
      <c r="AV89" s="21"/>
      <c r="AW89" s="36"/>
      <c r="AX89" s="15">
        <f>V89/J89</f>
        <v>1.0004323030767002</v>
      </c>
      <c r="AY89" s="15">
        <f t="shared" ref="AY89:AY92" si="108">X89/L89</f>
        <v>1.145631067961165</v>
      </c>
      <c r="AZ89" s="15">
        <f t="shared" si="87"/>
        <v>1.6032647119983361</v>
      </c>
      <c r="BA89" s="15">
        <f>V89/J89</f>
        <v>1.0004323030767002</v>
      </c>
      <c r="BB89" s="15">
        <f t="shared" si="106"/>
        <v>1.145631067961165</v>
      </c>
      <c r="BC89" s="15">
        <f t="shared" si="83"/>
        <v>1.6032647119983361</v>
      </c>
      <c r="BD89" s="1">
        <f t="shared" si="84"/>
        <v>0</v>
      </c>
    </row>
    <row r="90" spans="1:56" ht="15.75" thickBot="1" x14ac:dyDescent="0.25">
      <c r="A90" s="13"/>
      <c r="B90" s="13"/>
      <c r="C90" s="43">
        <v>32</v>
      </c>
      <c r="D90" s="55">
        <v>625.91999999999996</v>
      </c>
      <c r="E90" s="55">
        <v>34.166800000000002</v>
      </c>
      <c r="F90" s="55">
        <v>39.695700000000002</v>
      </c>
      <c r="G90" s="55">
        <v>39.882199999999997</v>
      </c>
      <c r="H90" s="55">
        <v>0.98643199999999998</v>
      </c>
      <c r="I90" s="55">
        <v>0.96956120000000001</v>
      </c>
      <c r="J90" s="55">
        <v>0.97763420000000001</v>
      </c>
      <c r="K90" s="55">
        <v>37.762</v>
      </c>
      <c r="L90" s="55">
        <v>9.4E-2</v>
      </c>
      <c r="M90" s="15" t="e">
        <f>#REF!</f>
        <v>#REF!</v>
      </c>
      <c r="N90" s="16">
        <f t="shared" si="76"/>
        <v>1.0489444444444445E-2</v>
      </c>
      <c r="P90" s="60">
        <v>625.14</v>
      </c>
      <c r="Q90" s="60">
        <v>34.142499999999998</v>
      </c>
      <c r="R90" s="60">
        <v>39.810200000000002</v>
      </c>
      <c r="S90" s="60">
        <v>40.072099999999999</v>
      </c>
      <c r="T90" s="60">
        <v>0.98615269999999999</v>
      </c>
      <c r="U90" s="60">
        <v>0.97059720000000005</v>
      </c>
      <c r="V90" s="60">
        <v>0.97949679999999995</v>
      </c>
      <c r="W90" s="60">
        <v>82.084000000000003</v>
      </c>
      <c r="X90" s="60">
        <v>0.105</v>
      </c>
      <c r="Y90" s="15" t="e">
        <f>#REF!</f>
        <v>#REF!</v>
      </c>
      <c r="Z90" s="16">
        <f t="shared" si="77"/>
        <v>2.2801111111111112E-2</v>
      </c>
      <c r="AA90" s="10">
        <f t="shared" si="78"/>
        <v>2.1737196123086702</v>
      </c>
      <c r="AB90" s="15">
        <f t="shared" si="96"/>
        <v>1.1170212765957446</v>
      </c>
      <c r="AC90" s="15" t="e">
        <f t="shared" si="96"/>
        <v>#REF!</v>
      </c>
      <c r="AD90" s="16">
        <f t="shared" si="79"/>
        <v>1.2461656441717357E-3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>
        <f>V90/J90</f>
        <v>1.0019052115811824</v>
      </c>
      <c r="AY90" s="15">
        <f t="shared" si="108"/>
        <v>1.1170212765957446</v>
      </c>
      <c r="AZ90" s="15">
        <f t="shared" si="87"/>
        <v>2.1737196123086702</v>
      </c>
      <c r="BA90" s="15">
        <f>V90/J90</f>
        <v>1.0019052115811824</v>
      </c>
      <c r="BB90" s="15">
        <f t="shared" si="106"/>
        <v>1.1170212765957446</v>
      </c>
      <c r="BC90" s="15">
        <f t="shared" si="83"/>
        <v>2.1737196123086702</v>
      </c>
      <c r="BD90" s="1">
        <f t="shared" si="84"/>
        <v>0</v>
      </c>
    </row>
    <row r="91" spans="1:56" ht="15.75" thickBot="1" x14ac:dyDescent="0.25">
      <c r="A91" s="13"/>
      <c r="B91" s="13"/>
      <c r="C91" s="43">
        <v>37</v>
      </c>
      <c r="D91" s="55">
        <v>387.24</v>
      </c>
      <c r="E91" s="55">
        <v>30.616700000000002</v>
      </c>
      <c r="F91" s="55">
        <v>38.538800000000002</v>
      </c>
      <c r="G91" s="55">
        <v>38.782299999999999</v>
      </c>
      <c r="H91" s="55">
        <v>0.97856639999999995</v>
      </c>
      <c r="I91" s="55">
        <v>0.95818559999999997</v>
      </c>
      <c r="J91" s="55">
        <v>0.97197160000000005</v>
      </c>
      <c r="K91" s="55">
        <v>31.535</v>
      </c>
      <c r="L91" s="55">
        <v>9.0999999999999998E-2</v>
      </c>
      <c r="M91" s="15" t="e">
        <f>#REF!</f>
        <v>#REF!</v>
      </c>
      <c r="N91" s="16">
        <f t="shared" si="76"/>
        <v>8.7597222222222226E-3</v>
      </c>
      <c r="P91" s="60">
        <v>383.7</v>
      </c>
      <c r="Q91" s="60">
        <v>30.6</v>
      </c>
      <c r="R91" s="60">
        <v>38.545000000000002</v>
      </c>
      <c r="S91" s="60">
        <v>38.619500000000002</v>
      </c>
      <c r="T91" s="60">
        <v>0.97846</v>
      </c>
      <c r="U91" s="60">
        <v>0.95993039999999996</v>
      </c>
      <c r="V91" s="60">
        <v>0.97017710000000001</v>
      </c>
      <c r="W91" s="60">
        <v>64.930000000000007</v>
      </c>
      <c r="X91" s="60">
        <v>9.9000000000000005E-2</v>
      </c>
      <c r="Y91" s="15" t="e">
        <f>#REF!</f>
        <v>#REF!</v>
      </c>
      <c r="Z91" s="16">
        <f t="shared" si="77"/>
        <v>1.8036111111111114E-2</v>
      </c>
      <c r="AA91" s="10">
        <f t="shared" si="78"/>
        <v>2.0589820833993979</v>
      </c>
      <c r="AB91" s="15">
        <f t="shared" si="96"/>
        <v>1.087912087912088</v>
      </c>
      <c r="AC91" s="15" t="e">
        <f t="shared" si="96"/>
        <v>#REF!</v>
      </c>
      <c r="AD91" s="16">
        <f t="shared" si="79"/>
        <v>9.1416176014875016E-3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>
        <f>V91/J91</f>
        <v>0.99815375264050921</v>
      </c>
      <c r="AY91" s="15">
        <f t="shared" si="108"/>
        <v>1.087912087912088</v>
      </c>
      <c r="AZ91" s="15">
        <f t="shared" si="87"/>
        <v>2.0589820833993979</v>
      </c>
      <c r="BA91" s="15">
        <f>V91/J91</f>
        <v>0.99815375264050921</v>
      </c>
      <c r="BB91" s="15">
        <f t="shared" si="106"/>
        <v>1.087912087912088</v>
      </c>
      <c r="BC91" s="15">
        <f t="shared" si="83"/>
        <v>2.0589820833993979</v>
      </c>
      <c r="BD91" s="1">
        <f t="shared" si="84"/>
        <v>0</v>
      </c>
    </row>
    <row r="92" spans="1:56" ht="15.75" thickBot="1" x14ac:dyDescent="0.25">
      <c r="A92" s="13"/>
      <c r="B92" s="17"/>
      <c r="C92" s="44">
        <v>42</v>
      </c>
      <c r="D92" s="55">
        <v>220.98</v>
      </c>
      <c r="E92" s="55">
        <v>26.988499999999998</v>
      </c>
      <c r="F92" s="55">
        <v>37.681100000000001</v>
      </c>
      <c r="G92" s="55">
        <v>37.389400000000002</v>
      </c>
      <c r="H92" s="55">
        <v>0.96525470000000002</v>
      </c>
      <c r="I92" s="55">
        <v>0.94743140000000003</v>
      </c>
      <c r="J92" s="55">
        <v>0.95874879999999996</v>
      </c>
      <c r="K92" s="55">
        <v>26.013000000000002</v>
      </c>
      <c r="L92" s="55">
        <v>8.6999999999999994E-2</v>
      </c>
      <c r="M92" s="19" t="e">
        <f>#REF!</f>
        <v>#REF!</v>
      </c>
      <c r="N92" s="20">
        <f t="shared" si="76"/>
        <v>7.2258333333333341E-3</v>
      </c>
      <c r="P92" s="60">
        <v>220.02</v>
      </c>
      <c r="Q92" s="60">
        <v>26.983699999999999</v>
      </c>
      <c r="R92" s="60">
        <v>37.762</v>
      </c>
      <c r="S92" s="60">
        <v>37.457099999999997</v>
      </c>
      <c r="T92" s="60">
        <v>0.96463410000000005</v>
      </c>
      <c r="U92" s="60">
        <v>0.94957579999999997</v>
      </c>
      <c r="V92" s="60">
        <v>0.96336359999999999</v>
      </c>
      <c r="W92" s="60">
        <v>62.191000000000003</v>
      </c>
      <c r="X92" s="60">
        <v>9.8000000000000004E-2</v>
      </c>
      <c r="Y92" s="19" t="e">
        <f>#REF!</f>
        <v>#REF!</v>
      </c>
      <c r="Z92" s="20">
        <f t="shared" si="77"/>
        <v>1.7275277777777778E-2</v>
      </c>
      <c r="AA92" s="10">
        <f t="shared" si="78"/>
        <v>2.3907661553838464</v>
      </c>
      <c r="AB92" s="15">
        <f t="shared" si="96"/>
        <v>1.1264367816091956</v>
      </c>
      <c r="AC92" s="15" t="e">
        <f t="shared" si="96"/>
        <v>#REF!</v>
      </c>
      <c r="AD92" s="20">
        <f t="shared" si="79"/>
        <v>4.3442845506379748E-3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>
        <f>V92/J92</f>
        <v>1.00481335674162</v>
      </c>
      <c r="AY92" s="15">
        <f t="shared" si="108"/>
        <v>1.1264367816091956</v>
      </c>
      <c r="AZ92" s="15">
        <f t="shared" si="87"/>
        <v>2.3907661553838464</v>
      </c>
      <c r="BA92" s="15"/>
      <c r="BB92" s="15"/>
      <c r="BC92" s="15"/>
      <c r="BD92" s="1">
        <f t="shared" si="84"/>
        <v>0</v>
      </c>
    </row>
    <row r="93" spans="1:56" ht="15.75" thickBot="1" x14ac:dyDescent="0.25">
      <c r="A93" s="13"/>
      <c r="B93" s="8" t="s">
        <v>28</v>
      </c>
      <c r="C93" s="39">
        <v>22</v>
      </c>
      <c r="D93" s="55">
        <v>614.88</v>
      </c>
      <c r="E93" s="55">
        <v>43.431699999999999</v>
      </c>
      <c r="F93" s="55">
        <v>43.515500000000003</v>
      </c>
      <c r="G93" s="55">
        <v>44.251800000000003</v>
      </c>
      <c r="H93" s="55">
        <v>0.99836320000000001</v>
      </c>
      <c r="I93" s="55">
        <v>0.99599649999999995</v>
      </c>
      <c r="J93" s="55">
        <v>0.99604190000000004</v>
      </c>
      <c r="K93" s="55">
        <v>68.313999999999993</v>
      </c>
      <c r="L93" s="55">
        <v>0.105</v>
      </c>
      <c r="M93" s="10" t="e">
        <f>#REF!</f>
        <v>#REF!</v>
      </c>
      <c r="N93" s="11">
        <f t="shared" si="76"/>
        <v>1.897611111111111E-2</v>
      </c>
      <c r="P93" s="60">
        <v>616.32000000000005</v>
      </c>
      <c r="Q93" s="60">
        <v>43.445300000000003</v>
      </c>
      <c r="R93" s="60">
        <v>43.4206</v>
      </c>
      <c r="S93" s="60">
        <v>44.306399999999996</v>
      </c>
      <c r="T93" s="60">
        <v>0.99835510000000005</v>
      </c>
      <c r="U93" s="60">
        <v>0.99592840000000005</v>
      </c>
      <c r="V93" s="60">
        <v>0.99596169999999995</v>
      </c>
      <c r="W93" s="60">
        <v>98.28</v>
      </c>
      <c r="X93" s="60">
        <v>0.114</v>
      </c>
      <c r="Y93" s="10" t="e">
        <f>#REF!</f>
        <v>#REF!</v>
      </c>
      <c r="Z93" s="11">
        <f t="shared" si="77"/>
        <v>2.7300000000000001E-2</v>
      </c>
      <c r="AA93" s="10">
        <f t="shared" si="78"/>
        <v>1.4386509353865973</v>
      </c>
      <c r="AB93" s="15">
        <f t="shared" si="96"/>
        <v>1.0857142857142859</v>
      </c>
      <c r="AC93" s="15" t="e">
        <f t="shared" si="96"/>
        <v>#REF!</v>
      </c>
      <c r="AD93" s="11">
        <f t="shared" si="79"/>
        <v>2.3419203747073489E-3</v>
      </c>
      <c r="AE93" s="12"/>
      <c r="AF93" s="25">
        <f t="shared" ref="AF93:AK93" si="109">bdRateExtend($D93:$D97,E93:E97,$P93:$P97,Q93:Q97)</f>
        <v>-2.0291566429186947E-4</v>
      </c>
      <c r="AG93" s="30">
        <f t="shared" si="109"/>
        <v>-3.05594532855058E-4</v>
      </c>
      <c r="AH93" s="31">
        <f t="shared" si="109"/>
        <v>-6.3820555350444508E-3</v>
      </c>
      <c r="AI93" s="25">
        <f t="shared" si="109"/>
        <v>-7.5047802535741504E-3</v>
      </c>
      <c r="AJ93" s="30">
        <f t="shared" si="109"/>
        <v>7.452045962802023E-3</v>
      </c>
      <c r="AK93" s="30">
        <f t="shared" si="109"/>
        <v>8.1013336622217658E-3</v>
      </c>
      <c r="AL93" s="26"/>
      <c r="AM93" s="21"/>
      <c r="AN93" s="36"/>
      <c r="AO93" s="21"/>
      <c r="AP93" s="21"/>
      <c r="AQ93" s="36"/>
      <c r="AR93" s="30">
        <f t="shared" ref="AR93:AW93" si="110">bdrate($D93:$D96,E93:E96,$P93:$P96,Q93:Q96)</f>
        <v>-1.0208485742646545E-4</v>
      </c>
      <c r="AS93" s="30">
        <f t="shared" si="110"/>
        <v>4.6852756540904927E-4</v>
      </c>
      <c r="AT93" s="31">
        <f t="shared" si="110"/>
        <v>-7.678550412894003E-4</v>
      </c>
      <c r="AU93" s="25">
        <f t="shared" si="110"/>
        <v>-3.6713121399115645E-3</v>
      </c>
      <c r="AV93" s="30">
        <f t="shared" si="110"/>
        <v>-9.3294939046506542E-4</v>
      </c>
      <c r="AW93" s="31">
        <f t="shared" si="110"/>
        <v>1.5866118280141173E-2</v>
      </c>
      <c r="AX93" s="15"/>
      <c r="AY93" s="15"/>
      <c r="AZ93" s="15"/>
      <c r="BA93" s="15">
        <f>V93/J93</f>
        <v>0.99991948129892916</v>
      </c>
      <c r="BB93" s="15">
        <f t="shared" ref="BB93:BB96" si="111">X93/L93</f>
        <v>1.0857142857142859</v>
      </c>
      <c r="BC93" s="15">
        <f t="shared" si="83"/>
        <v>1.4386509353865973</v>
      </c>
      <c r="BD93" s="1">
        <f t="shared" si="84"/>
        <v>0</v>
      </c>
    </row>
    <row r="94" spans="1:56" ht="15.75" thickBot="1" x14ac:dyDescent="0.25">
      <c r="A94" s="13"/>
      <c r="B94" s="13"/>
      <c r="C94" s="43">
        <v>27</v>
      </c>
      <c r="D94" s="55">
        <v>381.78</v>
      </c>
      <c r="E94" s="55">
        <v>39.198900000000002</v>
      </c>
      <c r="F94" s="55">
        <v>39.681600000000003</v>
      </c>
      <c r="G94" s="55">
        <v>40.721800000000002</v>
      </c>
      <c r="H94" s="55">
        <v>0.99590559999999995</v>
      </c>
      <c r="I94" s="55">
        <v>0.98895730000000004</v>
      </c>
      <c r="J94" s="55">
        <v>0.99018079999999997</v>
      </c>
      <c r="K94" s="55">
        <v>56.927999999999997</v>
      </c>
      <c r="L94" s="55">
        <v>9.5000000000000001E-2</v>
      </c>
      <c r="M94" s="15" t="e">
        <f>#REF!</f>
        <v>#REF!</v>
      </c>
      <c r="N94" s="16">
        <f t="shared" si="76"/>
        <v>1.5813333333333332E-2</v>
      </c>
      <c r="P94" s="60">
        <v>383.76</v>
      </c>
      <c r="Q94" s="60">
        <v>39.258099999999999</v>
      </c>
      <c r="R94" s="60">
        <v>39.761600000000001</v>
      </c>
      <c r="S94" s="60">
        <v>40.776000000000003</v>
      </c>
      <c r="T94" s="60">
        <v>0.99591399999999997</v>
      </c>
      <c r="U94" s="60">
        <v>0.98894820000000005</v>
      </c>
      <c r="V94" s="60">
        <v>0.99007800000000001</v>
      </c>
      <c r="W94" s="60">
        <v>89.456999999999994</v>
      </c>
      <c r="X94" s="60">
        <v>0.114</v>
      </c>
      <c r="Y94" s="15" t="e">
        <f>#REF!</f>
        <v>#REF!</v>
      </c>
      <c r="Z94" s="16">
        <f t="shared" si="77"/>
        <v>2.4849166666666665E-2</v>
      </c>
      <c r="AA94" s="10">
        <f t="shared" si="78"/>
        <v>1.5714059865092749</v>
      </c>
      <c r="AB94" s="15">
        <f t="shared" si="96"/>
        <v>1.2</v>
      </c>
      <c r="AC94" s="15" t="e">
        <f t="shared" si="96"/>
        <v>#REF!</v>
      </c>
      <c r="AD94" s="16">
        <f t="shared" si="79"/>
        <v>5.1862329090052346E-3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6.560497733487658E-4</v>
      </c>
      <c r="AM94" s="21">
        <f>bdrate($D94:$D97,F94:F97,$P94:$P97,R94:R97)</f>
        <v>2.4898725821862477E-3</v>
      </c>
      <c r="AN94" s="36">
        <f t="shared" ref="AN94" si="112">bdrate($D94:$D97,G94:G97,$P94:$P97,S94:S97)</f>
        <v>-5.2522260077191296E-3</v>
      </c>
      <c r="AO94" s="26">
        <f>bdrate($D94:$D97,H94:H97,$P94:$P97,T94:T97)</f>
        <v>-7.9653600090514587E-3</v>
      </c>
      <c r="AP94" s="21">
        <f>bdrate($D94:$D97,I94:I97,$P94:$P97,U94:U97)</f>
        <v>6.432473587379528E-3</v>
      </c>
      <c r="AQ94" s="36">
        <f>bdrate($D94:$D97,J94:J97,$P94:$P97,V94:V97)</f>
        <v>8.3637889761047912E-3</v>
      </c>
      <c r="AR94" s="21"/>
      <c r="AS94" s="21"/>
      <c r="AT94" s="36"/>
      <c r="AU94" s="26"/>
      <c r="AV94" s="21"/>
      <c r="AW94" s="36"/>
      <c r="AX94" s="15">
        <f>V94/J94</f>
        <v>0.99989618057631502</v>
      </c>
      <c r="AY94" s="15">
        <f t="shared" ref="AY94:AY97" si="113">X94/L94</f>
        <v>1.2</v>
      </c>
      <c r="AZ94" s="15">
        <f t="shared" si="87"/>
        <v>1.5714059865092749</v>
      </c>
      <c r="BA94" s="15">
        <f>V94/J94</f>
        <v>0.99989618057631502</v>
      </c>
      <c r="BB94" s="15">
        <f t="shared" si="111"/>
        <v>1.2</v>
      </c>
      <c r="BC94" s="15">
        <f t="shared" si="83"/>
        <v>1.5714059865092749</v>
      </c>
      <c r="BD94" s="1">
        <f t="shared" si="84"/>
        <v>0</v>
      </c>
    </row>
    <row r="95" spans="1:56" ht="15.75" thickBot="1" x14ac:dyDescent="0.25">
      <c r="A95" s="13"/>
      <c r="B95" s="13"/>
      <c r="C95" s="43">
        <v>32</v>
      </c>
      <c r="D95" s="55">
        <v>223.32</v>
      </c>
      <c r="E95" s="55">
        <v>35.270000000000003</v>
      </c>
      <c r="F95" s="55">
        <v>37.107700000000001</v>
      </c>
      <c r="G95" s="55">
        <v>37.690399999999997</v>
      </c>
      <c r="H95" s="55">
        <v>0.9897435</v>
      </c>
      <c r="I95" s="55">
        <v>0.97705739999999996</v>
      </c>
      <c r="J95" s="55">
        <v>0.97805070000000005</v>
      </c>
      <c r="K95" s="55">
        <v>46.463999999999999</v>
      </c>
      <c r="L95" s="55">
        <v>9.5000000000000001E-2</v>
      </c>
      <c r="M95" s="15" t="e">
        <f>#REF!</f>
        <v>#REF!</v>
      </c>
      <c r="N95" s="16">
        <f t="shared" si="76"/>
        <v>1.2906666666666667E-2</v>
      </c>
      <c r="P95" s="60">
        <v>223.08</v>
      </c>
      <c r="Q95" s="60">
        <v>35.242899999999999</v>
      </c>
      <c r="R95" s="60">
        <v>37.0854</v>
      </c>
      <c r="S95" s="60">
        <v>37.652900000000002</v>
      </c>
      <c r="T95" s="60">
        <v>0.98964790000000002</v>
      </c>
      <c r="U95" s="60">
        <v>0.97731040000000002</v>
      </c>
      <c r="V95" s="60">
        <v>0.97747479999999998</v>
      </c>
      <c r="W95" s="60">
        <v>88.039000000000001</v>
      </c>
      <c r="X95" s="60">
        <v>0.10100000000000001</v>
      </c>
      <c r="Y95" s="15" t="e">
        <f>#REF!</f>
        <v>#REF!</v>
      </c>
      <c r="Z95" s="16">
        <f t="shared" si="77"/>
        <v>2.4455277777777777E-2</v>
      </c>
      <c r="AA95" s="10">
        <f t="shared" si="78"/>
        <v>1.8947787534435263</v>
      </c>
      <c r="AB95" s="15">
        <f t="shared" si="96"/>
        <v>1.0631578947368421</v>
      </c>
      <c r="AC95" s="15" t="e">
        <f t="shared" si="96"/>
        <v>#REF!</v>
      </c>
      <c r="AD95" s="16">
        <f t="shared" si="79"/>
        <v>1.0746910263298437E-3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>
        <f>V95/J95</f>
        <v>0.99941117571921367</v>
      </c>
      <c r="AY95" s="15">
        <f t="shared" si="113"/>
        <v>1.0631578947368421</v>
      </c>
      <c r="AZ95" s="15">
        <f t="shared" si="87"/>
        <v>1.8947787534435261</v>
      </c>
      <c r="BA95" s="15">
        <f>V95/J95</f>
        <v>0.99941117571921367</v>
      </c>
      <c r="BB95" s="15">
        <f t="shared" si="111"/>
        <v>1.0631578947368421</v>
      </c>
      <c r="BC95" s="15">
        <f t="shared" si="83"/>
        <v>1.8947787534435261</v>
      </c>
      <c r="BD95" s="1">
        <f t="shared" si="84"/>
        <v>0</v>
      </c>
    </row>
    <row r="96" spans="1:56" ht="15.75" thickBot="1" x14ac:dyDescent="0.25">
      <c r="A96" s="13"/>
      <c r="B96" s="13"/>
      <c r="C96" s="43">
        <v>37</v>
      </c>
      <c r="D96" s="55">
        <v>121.17</v>
      </c>
      <c r="E96" s="55">
        <v>31.674099999999999</v>
      </c>
      <c r="F96" s="55">
        <v>35.848300000000002</v>
      </c>
      <c r="G96" s="55">
        <v>35.845700000000001</v>
      </c>
      <c r="H96" s="55">
        <v>0.97123689999999996</v>
      </c>
      <c r="I96" s="55">
        <v>0.96652320000000003</v>
      </c>
      <c r="J96" s="55">
        <v>0.96313110000000002</v>
      </c>
      <c r="K96" s="55">
        <v>33.92</v>
      </c>
      <c r="L96" s="55">
        <v>0.09</v>
      </c>
      <c r="M96" s="15" t="e">
        <f>#REF!</f>
        <v>#REF!</v>
      </c>
      <c r="N96" s="16">
        <f t="shared" si="76"/>
        <v>9.4222222222222225E-3</v>
      </c>
      <c r="P96" s="60">
        <v>120.78</v>
      </c>
      <c r="Q96" s="60">
        <v>31.677800000000001</v>
      </c>
      <c r="R96" s="60">
        <v>35.809399999999997</v>
      </c>
      <c r="S96" s="60">
        <v>35.874000000000002</v>
      </c>
      <c r="T96" s="60">
        <v>0.97197440000000002</v>
      </c>
      <c r="U96" s="60">
        <v>0.96614650000000002</v>
      </c>
      <c r="V96" s="60">
        <v>0.96296000000000004</v>
      </c>
      <c r="W96" s="60">
        <v>73.397000000000006</v>
      </c>
      <c r="X96" s="60">
        <v>0.111</v>
      </c>
      <c r="Y96" s="15" t="e">
        <f>#REF!</f>
        <v>#REF!</v>
      </c>
      <c r="Z96" s="16">
        <f t="shared" si="77"/>
        <v>2.0388055555555559E-2</v>
      </c>
      <c r="AA96" s="10">
        <f t="shared" si="78"/>
        <v>2.1638266509433963</v>
      </c>
      <c r="AB96" s="15">
        <f t="shared" si="96"/>
        <v>1.2333333333333334</v>
      </c>
      <c r="AC96" s="15" t="e">
        <f t="shared" si="96"/>
        <v>#REF!</v>
      </c>
      <c r="AD96" s="16">
        <f t="shared" si="79"/>
        <v>3.2186184699183012E-3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>
        <f>V96/J96</f>
        <v>0.99982235024909905</v>
      </c>
      <c r="AY96" s="15">
        <f t="shared" si="113"/>
        <v>1.2333333333333334</v>
      </c>
      <c r="AZ96" s="15">
        <f t="shared" si="87"/>
        <v>2.1638266509433963</v>
      </c>
      <c r="BA96" s="15">
        <f>V96/J96</f>
        <v>0.99982235024909905</v>
      </c>
      <c r="BB96" s="15">
        <f t="shared" si="111"/>
        <v>1.2333333333333334</v>
      </c>
      <c r="BC96" s="15">
        <f t="shared" si="83"/>
        <v>2.1638266509433963</v>
      </c>
      <c r="BD96" s="1">
        <f t="shared" si="84"/>
        <v>0</v>
      </c>
    </row>
    <row r="97" spans="1:56" ht="15.75" thickBot="1" x14ac:dyDescent="0.25">
      <c r="A97" s="17"/>
      <c r="B97" s="17"/>
      <c r="C97" s="44">
        <v>42</v>
      </c>
      <c r="D97" s="55">
        <v>67.2</v>
      </c>
      <c r="E97" s="55">
        <v>28.841899999999999</v>
      </c>
      <c r="F97" s="55">
        <v>34.042000000000002</v>
      </c>
      <c r="G97" s="55">
        <v>33.8142</v>
      </c>
      <c r="H97" s="55">
        <v>0.94230170000000002</v>
      </c>
      <c r="I97" s="55">
        <v>0.94628509999999999</v>
      </c>
      <c r="J97" s="55">
        <v>0.94435749999999996</v>
      </c>
      <c r="K97" s="55">
        <v>23.587</v>
      </c>
      <c r="L97" s="55">
        <v>8.7999999999999995E-2</v>
      </c>
      <c r="M97" s="19" t="e">
        <f>#REF!</f>
        <v>#REF!</v>
      </c>
      <c r="N97" s="20">
        <f t="shared" si="76"/>
        <v>6.5519444444444444E-3</v>
      </c>
      <c r="P97" s="60">
        <v>67.08</v>
      </c>
      <c r="Q97" s="60">
        <v>28.7925</v>
      </c>
      <c r="R97" s="60">
        <v>34.154000000000003</v>
      </c>
      <c r="S97" s="60">
        <v>34.018999999999998</v>
      </c>
      <c r="T97" s="60">
        <v>0.94054190000000004</v>
      </c>
      <c r="U97" s="60">
        <v>0.94515590000000005</v>
      </c>
      <c r="V97" s="60">
        <v>0.94461550000000005</v>
      </c>
      <c r="W97" s="60">
        <v>60.853999999999999</v>
      </c>
      <c r="X97" s="60">
        <v>9.6000000000000002E-2</v>
      </c>
      <c r="Y97" s="19" t="e">
        <f>#REF!</f>
        <v>#REF!</v>
      </c>
      <c r="Z97" s="20">
        <f t="shared" si="77"/>
        <v>1.6903888888888888E-2</v>
      </c>
      <c r="AA97" s="10">
        <f t="shared" si="78"/>
        <v>2.5799804977318015</v>
      </c>
      <c r="AB97" s="19">
        <f t="shared" si="96"/>
        <v>1.0909090909090911</v>
      </c>
      <c r="AC97" s="19" t="e">
        <f t="shared" si="96"/>
        <v>#REF!</v>
      </c>
      <c r="AD97" s="20">
        <f t="shared" si="79"/>
        <v>1.7857142857143533E-3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>
        <f>V97/J97</f>
        <v>1.0002732016212081</v>
      </c>
      <c r="AY97" s="19">
        <f t="shared" si="113"/>
        <v>1.0909090909090911</v>
      </c>
      <c r="AZ97" s="19">
        <f t="shared" si="87"/>
        <v>2.5799804977318015</v>
      </c>
      <c r="BA97" s="19"/>
      <c r="BB97" s="19"/>
      <c r="BC97" s="19"/>
      <c r="BD97" s="1">
        <f t="shared" si="84"/>
        <v>0</v>
      </c>
    </row>
    <row r="98" spans="1:56" ht="15.75" thickBot="1" x14ac:dyDescent="0.25">
      <c r="A98" s="48" t="s">
        <v>23</v>
      </c>
      <c r="B98" s="8" t="s">
        <v>32</v>
      </c>
      <c r="C98" s="39">
        <v>22</v>
      </c>
      <c r="D98" s="55">
        <v>3393.9</v>
      </c>
      <c r="E98" s="55">
        <v>44.671999999999997</v>
      </c>
      <c r="F98" s="55">
        <v>47.747399999999999</v>
      </c>
      <c r="G98" s="55">
        <v>49.038800000000002</v>
      </c>
      <c r="H98" s="55">
        <v>0.99685259999999998</v>
      </c>
      <c r="I98" s="55">
        <v>0.9960985</v>
      </c>
      <c r="J98" s="55">
        <v>0.99697709999999995</v>
      </c>
      <c r="K98" s="55">
        <v>351.83300000000003</v>
      </c>
      <c r="L98" s="55">
        <v>0.19600000000000001</v>
      </c>
      <c r="M98" s="10" t="e">
        <f>#REF!</f>
        <v>#REF!</v>
      </c>
      <c r="N98" s="11">
        <f t="shared" si="76"/>
        <v>9.7731388888888895E-2</v>
      </c>
      <c r="P98" s="60">
        <v>3392.88</v>
      </c>
      <c r="Q98" s="60">
        <v>44.659700000000001</v>
      </c>
      <c r="R98" s="60">
        <v>47.731400000000001</v>
      </c>
      <c r="S98" s="60">
        <v>49.014899999999997</v>
      </c>
      <c r="T98" s="60">
        <v>0.99685179999999995</v>
      </c>
      <c r="U98" s="60">
        <v>0.99607760000000001</v>
      </c>
      <c r="V98" s="60">
        <v>0.9969867</v>
      </c>
      <c r="W98" s="60">
        <v>738.21299999999997</v>
      </c>
      <c r="X98" s="60">
        <v>0.215</v>
      </c>
      <c r="Y98" s="10" t="e">
        <f>#REF!</f>
        <v>#REF!</v>
      </c>
      <c r="Z98" s="11">
        <f t="shared" si="77"/>
        <v>0.20505916666666665</v>
      </c>
      <c r="AA98" s="10">
        <f t="shared" si="78"/>
        <v>2.098191471522</v>
      </c>
      <c r="AB98" s="10">
        <f>X98/L98</f>
        <v>1.096938775510204</v>
      </c>
      <c r="AC98" s="10" t="e">
        <f>Y98/M98</f>
        <v>#REF!</v>
      </c>
      <c r="AD98" s="11">
        <f t="shared" si="79"/>
        <v>3.005392026871687E-4</v>
      </c>
      <c r="AE98" s="40"/>
      <c r="AF98" s="25">
        <f t="shared" ref="AF98:AK98" si="114">bdRateExtend($D98:$D102,E98:E102,$P98:$P102,Q98:Q102)</f>
        <v>2.0709282413644559E-3</v>
      </c>
      <c r="AG98" s="30">
        <f t="shared" si="114"/>
        <v>-3.4368279296915771E-3</v>
      </c>
      <c r="AH98" s="31">
        <f t="shared" si="114"/>
        <v>-1.309926883406054E-2</v>
      </c>
      <c r="AI98" s="25">
        <f t="shared" si="114"/>
        <v>1.8144914629660835E-3</v>
      </c>
      <c r="AJ98" s="30">
        <f t="shared" si="114"/>
        <v>1.311546685084819E-3</v>
      </c>
      <c r="AK98" s="30">
        <f t="shared" si="114"/>
        <v>-2.1982233091658143E-2</v>
      </c>
      <c r="AL98" s="45"/>
      <c r="AM98" s="46"/>
      <c r="AN98" s="47"/>
      <c r="AO98" s="46"/>
      <c r="AP98" s="46"/>
      <c r="AQ98" s="47"/>
      <c r="AR98" s="30">
        <f t="shared" ref="AR98:AW98" si="115">bdrate($D98:$D101,E98:E101,$P98:$P101,Q98:Q101)</f>
        <v>2.0680659791054712E-3</v>
      </c>
      <c r="AS98" s="30">
        <f t="shared" si="115"/>
        <v>-1.3094788785816824E-4</v>
      </c>
      <c r="AT98" s="31">
        <f t="shared" si="115"/>
        <v>-1.6109941284897289E-2</v>
      </c>
      <c r="AU98" s="25">
        <f t="shared" si="115"/>
        <v>3.0317514392743661E-3</v>
      </c>
      <c r="AV98" s="30">
        <f t="shared" si="115"/>
        <v>1.9153017136737116E-3</v>
      </c>
      <c r="AW98" s="31">
        <f t="shared" si="115"/>
        <v>-2.3973462071196439E-2</v>
      </c>
      <c r="AX98" s="10"/>
      <c r="AY98" s="10"/>
      <c r="AZ98" s="10"/>
      <c r="BA98" s="10">
        <f>V98/J98</f>
        <v>1.0000096291078302</v>
      </c>
      <c r="BB98" s="10">
        <f>X98/L98</f>
        <v>1.096938775510204</v>
      </c>
      <c r="BC98" s="10">
        <f t="shared" ref="BC98:BC101" si="116">Z98/N98</f>
        <v>2.098191471522</v>
      </c>
      <c r="BD98" s="1">
        <f t="shared" si="84"/>
        <v>0</v>
      </c>
    </row>
    <row r="99" spans="1:56" ht="15.75" thickBot="1" x14ac:dyDescent="0.25">
      <c r="A99" s="13" t="s">
        <v>24</v>
      </c>
      <c r="B99" s="13"/>
      <c r="C99" s="43">
        <v>27</v>
      </c>
      <c r="D99" s="55">
        <v>2070.96</v>
      </c>
      <c r="E99" s="55">
        <v>42.299199999999999</v>
      </c>
      <c r="F99" s="55">
        <v>45.571399999999997</v>
      </c>
      <c r="G99" s="55">
        <v>46.682099999999998</v>
      </c>
      <c r="H99" s="55">
        <v>0.99524789999999996</v>
      </c>
      <c r="I99" s="55">
        <v>0.99248619999999999</v>
      </c>
      <c r="J99" s="55">
        <v>0.99402400000000002</v>
      </c>
      <c r="K99" s="55">
        <v>227.33199999999999</v>
      </c>
      <c r="L99" s="55">
        <v>0.16900000000000001</v>
      </c>
      <c r="M99" s="15" t="e">
        <f>#REF!</f>
        <v>#REF!</v>
      </c>
      <c r="N99" s="16">
        <f t="shared" si="76"/>
        <v>6.3147777777777775E-2</v>
      </c>
      <c r="P99" s="60">
        <v>2068.7399999999998</v>
      </c>
      <c r="Q99" s="60">
        <v>42.286700000000003</v>
      </c>
      <c r="R99" s="60">
        <v>45.527700000000003</v>
      </c>
      <c r="S99" s="60">
        <v>46.753500000000003</v>
      </c>
      <c r="T99" s="60">
        <v>0.9952453</v>
      </c>
      <c r="U99" s="60">
        <v>0.99251129999999999</v>
      </c>
      <c r="V99" s="60">
        <v>0.99421159999999997</v>
      </c>
      <c r="W99" s="60">
        <v>546.67499999999995</v>
      </c>
      <c r="X99" s="60">
        <v>0.26900000000000002</v>
      </c>
      <c r="Y99" s="15" t="e">
        <f>#REF!</f>
        <v>#REF!</v>
      </c>
      <c r="Z99" s="16">
        <f t="shared" si="77"/>
        <v>0.15185416666666665</v>
      </c>
      <c r="AA99" s="10">
        <f t="shared" si="78"/>
        <v>2.4047428430665283</v>
      </c>
      <c r="AB99" s="15">
        <f t="shared" ref="AB99:AC112" si="117">X99/L99</f>
        <v>1.5917159763313609</v>
      </c>
      <c r="AC99" s="15" t="e">
        <f t="shared" si="117"/>
        <v>#REF!</v>
      </c>
      <c r="AD99" s="16">
        <f t="shared" si="79"/>
        <v>1.0719666241744189E-3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2.2496899451960317E-3</v>
      </c>
      <c r="AM99" s="21">
        <f>bdrate($D99:$D102,F99:F102,$P99:$P102,R99:R102)</f>
        <v>-8.2382973087072875E-3</v>
      </c>
      <c r="AN99" s="36">
        <f t="shared" ref="AN99" si="118">bdrate($D99:$D102,G99:G102,$P99:$P102,S99:S102)</f>
        <v>-1.622610802056712E-2</v>
      </c>
      <c r="AO99" s="26">
        <f>bdrate($D99:$D102,H99:H102,$P99:$P102,T99:T102)</f>
        <v>2.0663292196705374E-3</v>
      </c>
      <c r="AP99" s="21">
        <f>bdrate($D99:$D102,I99:I102,$P99:$P102,U99:U102)</f>
        <v>2.3361481782850912E-3</v>
      </c>
      <c r="AQ99" s="36">
        <f>bdrate($D99:$D102,J99:J102,$P99:$P102,V99:V102)</f>
        <v>-2.2002427998099372E-2</v>
      </c>
      <c r="AR99" s="21"/>
      <c r="AS99" s="21"/>
      <c r="AT99" s="36"/>
      <c r="AU99" s="26"/>
      <c r="AV99" s="21"/>
      <c r="AW99" s="36"/>
      <c r="AX99" s="15">
        <f>V99/J99</f>
        <v>1.0001887278375572</v>
      </c>
      <c r="AY99" s="15">
        <f>X99/L99</f>
        <v>1.5917159763313609</v>
      </c>
      <c r="AZ99" s="15">
        <f t="shared" ref="AZ99:AZ102" si="119">Z99/N99</f>
        <v>2.4047428430665283</v>
      </c>
      <c r="BA99" s="15">
        <f>V99/J99</f>
        <v>1.0001887278375572</v>
      </c>
      <c r="BB99" s="15">
        <f>X99/L99</f>
        <v>1.5917159763313609</v>
      </c>
      <c r="BC99" s="15">
        <f t="shared" si="116"/>
        <v>2.4047428430665283</v>
      </c>
      <c r="BD99" s="1">
        <f t="shared" si="84"/>
        <v>0</v>
      </c>
    </row>
    <row r="100" spans="1:56" ht="15.75" thickBot="1" x14ac:dyDescent="0.25">
      <c r="A100" s="13"/>
      <c r="B100" s="13"/>
      <c r="C100" s="43">
        <v>32</v>
      </c>
      <c r="D100" s="55">
        <v>1285.32</v>
      </c>
      <c r="E100" s="55">
        <v>39.610599999999998</v>
      </c>
      <c r="F100" s="55">
        <v>43.560699999999997</v>
      </c>
      <c r="G100" s="55">
        <v>44.486899999999999</v>
      </c>
      <c r="H100" s="55">
        <v>0.99207469999999998</v>
      </c>
      <c r="I100" s="55">
        <v>0.98738000000000004</v>
      </c>
      <c r="J100" s="55">
        <v>0.9892225</v>
      </c>
      <c r="K100" s="55">
        <v>160.42099999999999</v>
      </c>
      <c r="L100" s="55">
        <v>0.16</v>
      </c>
      <c r="M100" s="15" t="e">
        <f>#REF!</f>
        <v>#REF!</v>
      </c>
      <c r="N100" s="16">
        <f t="shared" si="76"/>
        <v>4.4561388888888886E-2</v>
      </c>
      <c r="P100" s="60">
        <v>1281.48</v>
      </c>
      <c r="Q100" s="60">
        <v>39.575299999999999</v>
      </c>
      <c r="R100" s="60">
        <v>43.560499999999998</v>
      </c>
      <c r="S100" s="60">
        <v>44.576500000000003</v>
      </c>
      <c r="T100" s="60">
        <v>0.99199760000000003</v>
      </c>
      <c r="U100" s="60">
        <v>0.98720980000000003</v>
      </c>
      <c r="V100" s="60">
        <v>0.98940229999999996</v>
      </c>
      <c r="W100" s="60">
        <v>434.99400000000003</v>
      </c>
      <c r="X100" s="60">
        <v>0.18</v>
      </c>
      <c r="Y100" s="15" t="e">
        <f>#REF!</f>
        <v>#REF!</v>
      </c>
      <c r="Z100" s="16">
        <f t="shared" si="77"/>
        <v>0.12083166666666667</v>
      </c>
      <c r="AA100" s="10">
        <f t="shared" si="78"/>
        <v>2.7115776612787608</v>
      </c>
      <c r="AB100" s="15">
        <f t="shared" si="117"/>
        <v>1.125</v>
      </c>
      <c r="AC100" s="15" t="e">
        <f t="shared" si="117"/>
        <v>#REF!</v>
      </c>
      <c r="AD100" s="16">
        <f t="shared" si="79"/>
        <v>2.9875828587432843E-3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>
        <f>V100/J100</f>
        <v>1.000181758906616</v>
      </c>
      <c r="AY100" s="15">
        <f>X100/L100</f>
        <v>1.125</v>
      </c>
      <c r="AZ100" s="15">
        <f t="shared" si="119"/>
        <v>2.7115776612787603</v>
      </c>
      <c r="BA100" s="15">
        <f>V100/J100</f>
        <v>1.000181758906616</v>
      </c>
      <c r="BB100" s="15">
        <f>X100/L100</f>
        <v>1.125</v>
      </c>
      <c r="BC100" s="15">
        <f t="shared" si="116"/>
        <v>2.7115776612787603</v>
      </c>
      <c r="BD100" s="1">
        <f t="shared" si="84"/>
        <v>0</v>
      </c>
    </row>
    <row r="101" spans="1:56" ht="15.75" thickBot="1" x14ac:dyDescent="0.25">
      <c r="A101" s="13"/>
      <c r="B101" s="13"/>
      <c r="C101" s="43">
        <v>37</v>
      </c>
      <c r="D101" s="55">
        <v>786.6</v>
      </c>
      <c r="E101" s="55">
        <v>36.534199999999998</v>
      </c>
      <c r="F101" s="55">
        <v>41.607500000000002</v>
      </c>
      <c r="G101" s="55">
        <v>42.946399999999997</v>
      </c>
      <c r="H101" s="55">
        <v>0.98525870000000004</v>
      </c>
      <c r="I101" s="55">
        <v>0.97912960000000004</v>
      </c>
      <c r="J101" s="55">
        <v>0.98361399999999999</v>
      </c>
      <c r="K101" s="55">
        <v>104.828</v>
      </c>
      <c r="L101" s="55">
        <v>0.14799999999999999</v>
      </c>
      <c r="M101" s="15" t="e">
        <f>#REF!</f>
        <v>#REF!</v>
      </c>
      <c r="N101" s="16">
        <f t="shared" si="76"/>
        <v>2.9118888888888889E-2</v>
      </c>
      <c r="P101" s="60">
        <v>782.16</v>
      </c>
      <c r="Q101" s="60">
        <v>36.490499999999997</v>
      </c>
      <c r="R101" s="60">
        <v>41.692900000000002</v>
      </c>
      <c r="S101" s="60">
        <v>42.966799999999999</v>
      </c>
      <c r="T101" s="60">
        <v>0.9851413</v>
      </c>
      <c r="U101" s="60">
        <v>0.97928859999999995</v>
      </c>
      <c r="V101" s="60">
        <v>0.98410750000000002</v>
      </c>
      <c r="W101" s="60">
        <v>320.839</v>
      </c>
      <c r="X101" s="60">
        <v>0.17199999999999999</v>
      </c>
      <c r="Y101" s="15" t="e">
        <f>#REF!</f>
        <v>#REF!</v>
      </c>
      <c r="Z101" s="16">
        <f t="shared" si="77"/>
        <v>8.9121944444444448E-2</v>
      </c>
      <c r="AA101" s="10">
        <f t="shared" si="78"/>
        <v>3.0606231159613841</v>
      </c>
      <c r="AB101" s="15">
        <f t="shared" si="117"/>
        <v>1.1621621621621621</v>
      </c>
      <c r="AC101" s="15" t="e">
        <f t="shared" si="117"/>
        <v>#REF!</v>
      </c>
      <c r="AD101" s="16">
        <f t="shared" si="79"/>
        <v>5.6445461479787112E-3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>
        <f>V101/J101</f>
        <v>1.0005017212036429</v>
      </c>
      <c r="AY101" s="15">
        <f>X101/L101</f>
        <v>1.1621621621621621</v>
      </c>
      <c r="AZ101" s="15">
        <f t="shared" si="119"/>
        <v>3.0606231159613846</v>
      </c>
      <c r="BA101" s="15">
        <f>V101/J101</f>
        <v>1.0005017212036429</v>
      </c>
      <c r="BB101" s="15">
        <f>X101/L101</f>
        <v>1.1621621621621621</v>
      </c>
      <c r="BC101" s="15">
        <f t="shared" si="116"/>
        <v>3.0606231159613846</v>
      </c>
      <c r="BD101" s="1">
        <f t="shared" si="84"/>
        <v>0</v>
      </c>
    </row>
    <row r="102" spans="1:56" ht="15.75" thickBot="1" x14ac:dyDescent="0.25">
      <c r="A102" s="13"/>
      <c r="B102" s="17"/>
      <c r="C102" s="44">
        <v>42</v>
      </c>
      <c r="D102" s="55">
        <v>460.44</v>
      </c>
      <c r="E102" s="55">
        <v>33.287500000000001</v>
      </c>
      <c r="F102" s="55">
        <v>40.337899999999998</v>
      </c>
      <c r="G102" s="55">
        <v>41.402900000000002</v>
      </c>
      <c r="H102" s="55">
        <v>0.97023440000000005</v>
      </c>
      <c r="I102" s="55">
        <v>0.97151419999999999</v>
      </c>
      <c r="J102" s="55">
        <v>0.97649949999999996</v>
      </c>
      <c r="K102" s="55">
        <v>66.787000000000006</v>
      </c>
      <c r="L102" s="55">
        <v>0.13400000000000001</v>
      </c>
      <c r="M102" s="19" t="e">
        <f>#REF!</f>
        <v>#REF!</v>
      </c>
      <c r="N102" s="20">
        <f t="shared" si="76"/>
        <v>1.8551944444444447E-2</v>
      </c>
      <c r="P102" s="60">
        <v>457.8</v>
      </c>
      <c r="Q102" s="60">
        <v>33.229199999999999</v>
      </c>
      <c r="R102" s="60">
        <v>40.259399999999999</v>
      </c>
      <c r="S102" s="60">
        <v>41.3568</v>
      </c>
      <c r="T102" s="60">
        <v>0.96973180000000003</v>
      </c>
      <c r="U102" s="60">
        <v>0.97068500000000002</v>
      </c>
      <c r="V102" s="60">
        <v>0.97566850000000005</v>
      </c>
      <c r="W102" s="60">
        <v>240.983</v>
      </c>
      <c r="X102" s="60">
        <v>0.13900000000000001</v>
      </c>
      <c r="Y102" s="19" t="e">
        <f>#REF!</f>
        <v>#REF!</v>
      </c>
      <c r="Z102" s="20">
        <f t="shared" si="77"/>
        <v>6.693972222222222E-2</v>
      </c>
      <c r="AA102" s="10">
        <f t="shared" si="78"/>
        <v>3.6082321409855207</v>
      </c>
      <c r="AB102" s="15">
        <f t="shared" si="117"/>
        <v>1.0373134328358209</v>
      </c>
      <c r="AC102" s="15" t="e">
        <f t="shared" si="117"/>
        <v>#REF!</v>
      </c>
      <c r="AD102" s="20">
        <f t="shared" si="79"/>
        <v>5.7336460776648123E-3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>
        <f>V102/J102</f>
        <v>0.99914900110035909</v>
      </c>
      <c r="AY102" s="15">
        <f>X102/L102</f>
        <v>1.0373134328358209</v>
      </c>
      <c r="AZ102" s="15">
        <f t="shared" si="119"/>
        <v>3.6082321409855203</v>
      </c>
      <c r="BA102" s="15"/>
      <c r="BB102" s="15"/>
      <c r="BC102" s="15"/>
      <c r="BD102" s="1">
        <f t="shared" si="84"/>
        <v>0</v>
      </c>
    </row>
    <row r="103" spans="1:56" ht="15.75" thickBot="1" x14ac:dyDescent="0.25">
      <c r="A103" s="13"/>
      <c r="B103" s="8" t="s">
        <v>33</v>
      </c>
      <c r="C103" s="39">
        <v>22</v>
      </c>
      <c r="D103" s="55">
        <v>2290.56</v>
      </c>
      <c r="E103" s="55">
        <v>44.8446</v>
      </c>
      <c r="F103" s="55">
        <v>49.043300000000002</v>
      </c>
      <c r="G103" s="55">
        <v>49.591500000000003</v>
      </c>
      <c r="H103" s="55">
        <v>0.99577329999999997</v>
      </c>
      <c r="I103" s="55">
        <v>0.99726079999999995</v>
      </c>
      <c r="J103" s="55">
        <v>0.99759909999999996</v>
      </c>
      <c r="K103" s="55">
        <v>243.17099999999999</v>
      </c>
      <c r="L103" s="55">
        <v>0.16300000000000001</v>
      </c>
      <c r="M103" s="10" t="e">
        <f>#REF!</f>
        <v>#REF!</v>
      </c>
      <c r="N103" s="11">
        <f t="shared" si="76"/>
        <v>6.7547499999999996E-2</v>
      </c>
      <c r="P103" s="60">
        <v>2270.2800000000002</v>
      </c>
      <c r="Q103" s="60">
        <v>44.82</v>
      </c>
      <c r="R103" s="60">
        <v>48.938800000000001</v>
      </c>
      <c r="S103" s="60">
        <v>49.598199999999999</v>
      </c>
      <c r="T103" s="60">
        <v>0.99574010000000002</v>
      </c>
      <c r="U103" s="60">
        <v>0.99720410000000004</v>
      </c>
      <c r="V103" s="60">
        <v>0.99757370000000001</v>
      </c>
      <c r="W103" s="60">
        <v>571.82600000000002</v>
      </c>
      <c r="X103" s="60">
        <v>0.19400000000000001</v>
      </c>
      <c r="Y103" s="10" t="e">
        <f>#REF!</f>
        <v>#REF!</v>
      </c>
      <c r="Z103" s="11">
        <f t="shared" si="77"/>
        <v>0.15884055555555557</v>
      </c>
      <c r="AA103" s="10">
        <f t="shared" si="78"/>
        <v>2.3515386291950935</v>
      </c>
      <c r="AB103" s="15">
        <f t="shared" si="117"/>
        <v>1.1901840490797546</v>
      </c>
      <c r="AC103" s="15" t="e">
        <f t="shared" si="117"/>
        <v>#REF!</v>
      </c>
      <c r="AD103" s="11">
        <f t="shared" si="79"/>
        <v>8.8537300922044149E-3</v>
      </c>
      <c r="AE103" s="12"/>
      <c r="AF103" s="25">
        <f t="shared" ref="AF103:AK103" si="120">bdRateExtend($D103:$D107,E103:E107,$P103:$P107,Q103:Q107)</f>
        <v>3.4132934744655063E-3</v>
      </c>
      <c r="AG103" s="30">
        <f t="shared" si="120"/>
        <v>-7.1260075607286755E-3</v>
      </c>
      <c r="AH103" s="31">
        <f t="shared" si="120"/>
        <v>-1.4590913527372518E-2</v>
      </c>
      <c r="AI103" s="25">
        <f t="shared" si="120"/>
        <v>7.918544130860905E-3</v>
      </c>
      <c r="AJ103" s="30">
        <f t="shared" si="120"/>
        <v>-1.3505893185153495E-2</v>
      </c>
      <c r="AK103" s="30">
        <f t="shared" si="120"/>
        <v>-1.3963031507876478E-2</v>
      </c>
      <c r="AL103" s="26"/>
      <c r="AM103" s="21"/>
      <c r="AN103" s="36"/>
      <c r="AO103" s="21"/>
      <c r="AP103" s="21"/>
      <c r="AQ103" s="36"/>
      <c r="AR103" s="30">
        <f t="shared" ref="AR103:AW103" si="121">bdrate($D103:$D106,E103:E106,$P103:$P106,Q103:Q106)</f>
        <v>3.889765201440909E-3</v>
      </c>
      <c r="AS103" s="30">
        <f t="shared" si="121"/>
        <v>3.4352707989460107E-4</v>
      </c>
      <c r="AT103" s="31">
        <f t="shared" si="121"/>
        <v>-7.9287824979749066E-3</v>
      </c>
      <c r="AU103" s="25">
        <f t="shared" si="121"/>
        <v>8.8051177630210642E-3</v>
      </c>
      <c r="AV103" s="30">
        <f t="shared" si="121"/>
        <v>-7.165598191705258E-3</v>
      </c>
      <c r="AW103" s="31">
        <f t="shared" si="121"/>
        <v>-1.5616091647507879E-4</v>
      </c>
      <c r="AX103" s="15"/>
      <c r="AY103" s="15"/>
      <c r="AZ103" s="15"/>
      <c r="BA103" s="15">
        <f>V103/J103</f>
        <v>0.99997453887037391</v>
      </c>
      <c r="BB103" s="15">
        <f>X103/L103</f>
        <v>1.1901840490797546</v>
      </c>
      <c r="BC103" s="15">
        <f t="shared" ref="BC103:BC106" si="122">Z103/N103</f>
        <v>2.3515386291950935</v>
      </c>
      <c r="BD103" s="1">
        <f t="shared" si="84"/>
        <v>0</v>
      </c>
    </row>
    <row r="104" spans="1:56" ht="15.75" thickBot="1" x14ac:dyDescent="0.25">
      <c r="A104" s="13"/>
      <c r="B104" s="13"/>
      <c r="C104" s="43">
        <v>27</v>
      </c>
      <c r="D104" s="55">
        <v>1217.4000000000001</v>
      </c>
      <c r="E104" s="55">
        <v>42.804000000000002</v>
      </c>
      <c r="F104" s="55">
        <v>47.090899999999998</v>
      </c>
      <c r="G104" s="55">
        <v>47.558900000000001</v>
      </c>
      <c r="H104" s="55">
        <v>0.99371480000000001</v>
      </c>
      <c r="I104" s="55">
        <v>0.99536000000000002</v>
      </c>
      <c r="J104" s="55">
        <v>0.99584720000000004</v>
      </c>
      <c r="K104" s="55">
        <v>141.613</v>
      </c>
      <c r="L104" s="55">
        <v>0.14399999999999999</v>
      </c>
      <c r="M104" s="15" t="e">
        <f>#REF!</f>
        <v>#REF!</v>
      </c>
      <c r="N104" s="16">
        <f t="shared" si="76"/>
        <v>3.9336944444444445E-2</v>
      </c>
      <c r="P104" s="60">
        <v>1223.46</v>
      </c>
      <c r="Q104" s="60">
        <v>42.803100000000001</v>
      </c>
      <c r="R104" s="60">
        <v>47.136200000000002</v>
      </c>
      <c r="S104" s="60">
        <v>47.627099999999999</v>
      </c>
      <c r="T104" s="60">
        <v>0.99369479999999999</v>
      </c>
      <c r="U104" s="60">
        <v>0.99548479999999995</v>
      </c>
      <c r="V104" s="60">
        <v>0.99596019999999996</v>
      </c>
      <c r="W104" s="60">
        <v>395.12</v>
      </c>
      <c r="X104" s="60">
        <v>0.187</v>
      </c>
      <c r="Y104" s="15" t="e">
        <f>#REF!</f>
        <v>#REF!</v>
      </c>
      <c r="Z104" s="16">
        <f t="shared" si="77"/>
        <v>0.10975555555555555</v>
      </c>
      <c r="AA104" s="10">
        <f t="shared" si="78"/>
        <v>2.7901393233672049</v>
      </c>
      <c r="AB104" s="15">
        <f t="shared" si="117"/>
        <v>1.2986111111111112</v>
      </c>
      <c r="AC104" s="15" t="e">
        <f t="shared" si="117"/>
        <v>#REF!</v>
      </c>
      <c r="AD104" s="16">
        <f t="shared" si="79"/>
        <v>4.9778215869886195E-3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3.5287008114510687E-3</v>
      </c>
      <c r="AM104" s="21">
        <f>bdrate($D104:$D107,F104:F107,$P104:$P107,R104:R107)</f>
        <v>-9.5569252729299503E-3</v>
      </c>
      <c r="AN104" s="36">
        <f t="shared" ref="AN104" si="123">bdrate($D104:$D107,G104:G107,$P104:$P107,S104:S107)</f>
        <v>-1.2763183057554417E-2</v>
      </c>
      <c r="AO104" s="26">
        <f>bdrate($D104:$D107,H104:H107,$P104:$P107,T104:T107)</f>
        <v>7.9187454269644686E-3</v>
      </c>
      <c r="AP104" s="21">
        <f>bdrate($D104:$D107,I104:I107,$P104:$P107,U104:U107)</f>
        <v>-1.2449388890105051E-2</v>
      </c>
      <c r="AQ104" s="36">
        <f>bdrate($D104:$D107,J104:J107,$P104:$P107,V104:V107)</f>
        <v>-1.0632591879867204E-2</v>
      </c>
      <c r="AR104" s="21"/>
      <c r="AS104" s="21"/>
      <c r="AT104" s="36"/>
      <c r="AU104" s="26"/>
      <c r="AV104" s="21"/>
      <c r="AW104" s="36"/>
      <c r="AX104" s="15">
        <f>V104/J104</f>
        <v>1.000113471223296</v>
      </c>
      <c r="AY104" s="15">
        <f>X104/L104</f>
        <v>1.2986111111111112</v>
      </c>
      <c r="AZ104" s="15">
        <f t="shared" ref="AZ104:AZ107" si="124">Z104/N104</f>
        <v>2.7901393233672049</v>
      </c>
      <c r="BA104" s="15">
        <f>V104/J104</f>
        <v>1.000113471223296</v>
      </c>
      <c r="BB104" s="15">
        <f>X104/L104</f>
        <v>1.2986111111111112</v>
      </c>
      <c r="BC104" s="15">
        <f t="shared" si="122"/>
        <v>2.7901393233672049</v>
      </c>
      <c r="BD104" s="1">
        <f t="shared" si="84"/>
        <v>0</v>
      </c>
    </row>
    <row r="105" spans="1:56" ht="15.75" thickBot="1" x14ac:dyDescent="0.25">
      <c r="A105" s="13"/>
      <c r="B105" s="13"/>
      <c r="C105" s="43">
        <v>32</v>
      </c>
      <c r="D105" s="55">
        <v>681.54</v>
      </c>
      <c r="E105" s="55">
        <v>40.671599999999998</v>
      </c>
      <c r="F105" s="55">
        <v>45.2102</v>
      </c>
      <c r="G105" s="55">
        <v>45.449800000000003</v>
      </c>
      <c r="H105" s="55">
        <v>0.9904345</v>
      </c>
      <c r="I105" s="55">
        <v>0.99259399999999998</v>
      </c>
      <c r="J105" s="55">
        <v>0.99292570000000002</v>
      </c>
      <c r="K105" s="55">
        <v>94.966999999999999</v>
      </c>
      <c r="L105" s="55">
        <v>0.14299999999999999</v>
      </c>
      <c r="M105" s="15" t="e">
        <f>#REF!</f>
        <v>#REF!</v>
      </c>
      <c r="N105" s="16">
        <f t="shared" si="76"/>
        <v>2.6379722222222221E-2</v>
      </c>
      <c r="P105" s="60">
        <v>690.48</v>
      </c>
      <c r="Q105" s="60">
        <v>40.705599999999997</v>
      </c>
      <c r="R105" s="60">
        <v>45.229599999999998</v>
      </c>
      <c r="S105" s="60">
        <v>45.478499999999997</v>
      </c>
      <c r="T105" s="60">
        <v>0.99045780000000005</v>
      </c>
      <c r="U105" s="60">
        <v>0.99265479999999995</v>
      </c>
      <c r="V105" s="60">
        <v>0.99285590000000001</v>
      </c>
      <c r="W105" s="60">
        <v>302.29000000000002</v>
      </c>
      <c r="X105" s="60">
        <v>0.26700000000000002</v>
      </c>
      <c r="Y105" s="15" t="e">
        <f>#REF!</f>
        <v>#REF!</v>
      </c>
      <c r="Z105" s="16">
        <f t="shared" si="77"/>
        <v>8.3969444444444444E-2</v>
      </c>
      <c r="AA105" s="10">
        <f t="shared" si="78"/>
        <v>3.1831057104046669</v>
      </c>
      <c r="AB105" s="15">
        <f t="shared" si="117"/>
        <v>1.8671328671328673</v>
      </c>
      <c r="AC105" s="15" t="e">
        <f t="shared" si="117"/>
        <v>#REF!</v>
      </c>
      <c r="AD105" s="16">
        <f t="shared" si="79"/>
        <v>1.3117351879566945E-2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>
        <f>V105/J105</f>
        <v>0.99992970269578074</v>
      </c>
      <c r="AY105" s="15">
        <f>X105/L105</f>
        <v>1.8671328671328673</v>
      </c>
      <c r="AZ105" s="15">
        <f t="shared" si="124"/>
        <v>3.1831057104046669</v>
      </c>
      <c r="BA105" s="15">
        <f>V105/J105</f>
        <v>0.99992970269578074</v>
      </c>
      <c r="BB105" s="15">
        <f>X105/L105</f>
        <v>1.8671328671328673</v>
      </c>
      <c r="BC105" s="15">
        <f t="shared" si="122"/>
        <v>3.1831057104046669</v>
      </c>
      <c r="BD105" s="1">
        <f t="shared" si="84"/>
        <v>0</v>
      </c>
    </row>
    <row r="106" spans="1:56" ht="15.75" thickBot="1" x14ac:dyDescent="0.25">
      <c r="A106" s="13"/>
      <c r="B106" s="13"/>
      <c r="C106" s="43">
        <v>37</v>
      </c>
      <c r="D106" s="55">
        <v>398.52</v>
      </c>
      <c r="E106" s="55">
        <v>38.295099999999998</v>
      </c>
      <c r="F106" s="55">
        <v>43.133899999999997</v>
      </c>
      <c r="G106" s="55">
        <v>43.976799999999997</v>
      </c>
      <c r="H106" s="55">
        <v>0.98446140000000004</v>
      </c>
      <c r="I106" s="55">
        <v>0.98737730000000001</v>
      </c>
      <c r="J106" s="55">
        <v>0.98958279999999998</v>
      </c>
      <c r="K106" s="55">
        <v>55.127000000000002</v>
      </c>
      <c r="L106" s="55">
        <v>0.14599999999999999</v>
      </c>
      <c r="M106" s="15" t="e">
        <f>#REF!</f>
        <v>#REF!</v>
      </c>
      <c r="N106" s="16">
        <f t="shared" si="76"/>
        <v>1.5313055555555555E-2</v>
      </c>
      <c r="P106" s="60">
        <v>401.1</v>
      </c>
      <c r="Q106" s="60">
        <v>38.314100000000003</v>
      </c>
      <c r="R106" s="60">
        <v>43.232300000000002</v>
      </c>
      <c r="S106" s="60">
        <v>44.039200000000001</v>
      </c>
      <c r="T106" s="60">
        <v>0.98445780000000005</v>
      </c>
      <c r="U106" s="60">
        <v>0.9877804</v>
      </c>
      <c r="V106" s="60">
        <v>0.98983540000000003</v>
      </c>
      <c r="W106" s="60">
        <v>214.792</v>
      </c>
      <c r="X106" s="60">
        <v>0.155</v>
      </c>
      <c r="Y106" s="15" t="e">
        <f>#REF!</f>
        <v>#REF!</v>
      </c>
      <c r="Z106" s="16">
        <f t="shared" si="77"/>
        <v>5.9664444444444444E-2</v>
      </c>
      <c r="AA106" s="10">
        <f t="shared" si="78"/>
        <v>3.8963121519400654</v>
      </c>
      <c r="AB106" s="15">
        <f t="shared" si="117"/>
        <v>1.0616438356164384</v>
      </c>
      <c r="AC106" s="15" t="e">
        <f t="shared" si="117"/>
        <v>#REF!</v>
      </c>
      <c r="AD106" s="16">
        <f t="shared" si="79"/>
        <v>6.4739536284252764E-3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>
        <f>V106/J106</f>
        <v>1.0002552590849396</v>
      </c>
      <c r="AY106" s="15">
        <f>X106/L106</f>
        <v>1.0616438356164384</v>
      </c>
      <c r="AZ106" s="15">
        <f t="shared" si="124"/>
        <v>3.8963121519400654</v>
      </c>
      <c r="BA106" s="15">
        <f>V106/J106</f>
        <v>1.0002552590849396</v>
      </c>
      <c r="BB106" s="15">
        <f>X106/L106</f>
        <v>1.0616438356164384</v>
      </c>
      <c r="BC106" s="15">
        <f t="shared" si="122"/>
        <v>3.8963121519400654</v>
      </c>
      <c r="BD106" s="1">
        <f t="shared" si="84"/>
        <v>0</v>
      </c>
    </row>
    <row r="107" spans="1:56" ht="15.75" thickBot="1" x14ac:dyDescent="0.25">
      <c r="A107" s="13"/>
      <c r="B107" s="17"/>
      <c r="C107" s="44">
        <v>42</v>
      </c>
      <c r="D107" s="55">
        <v>234.96</v>
      </c>
      <c r="E107" s="55">
        <v>35.710500000000003</v>
      </c>
      <c r="F107" s="55">
        <v>41.799100000000003</v>
      </c>
      <c r="G107" s="55">
        <v>42.5214</v>
      </c>
      <c r="H107" s="55">
        <v>0.97419140000000004</v>
      </c>
      <c r="I107" s="55">
        <v>0.98263889999999998</v>
      </c>
      <c r="J107" s="55">
        <v>0.9858808</v>
      </c>
      <c r="K107" s="55">
        <v>33.137999999999998</v>
      </c>
      <c r="L107" s="55">
        <v>0.123</v>
      </c>
      <c r="M107" s="19" t="e">
        <f>#REF!</f>
        <v>#REF!</v>
      </c>
      <c r="N107" s="20">
        <f t="shared" si="76"/>
        <v>9.2049999999999996E-3</v>
      </c>
      <c r="P107" s="60">
        <v>231.3</v>
      </c>
      <c r="Q107" s="60">
        <v>35.613999999999997</v>
      </c>
      <c r="R107" s="60">
        <v>41.843000000000004</v>
      </c>
      <c r="S107" s="60">
        <v>42.695599999999999</v>
      </c>
      <c r="T107" s="60">
        <v>0.97342139999999999</v>
      </c>
      <c r="U107" s="60">
        <v>0.98214749999999995</v>
      </c>
      <c r="V107" s="60">
        <v>0.98596220000000001</v>
      </c>
      <c r="W107" s="60">
        <v>146.65899999999999</v>
      </c>
      <c r="X107" s="60">
        <v>0.155</v>
      </c>
      <c r="Y107" s="19" t="e">
        <f>#REF!</f>
        <v>#REF!</v>
      </c>
      <c r="Z107" s="20">
        <f t="shared" si="77"/>
        <v>4.0738611111111107E-2</v>
      </c>
      <c r="AA107" s="10">
        <f t="shared" si="78"/>
        <v>4.4257046291266819</v>
      </c>
      <c r="AB107" s="15">
        <f t="shared" si="117"/>
        <v>1.2601626016260163</v>
      </c>
      <c r="AC107" s="15" t="e">
        <f t="shared" si="117"/>
        <v>#REF!</v>
      </c>
      <c r="AD107" s="20">
        <f t="shared" si="79"/>
        <v>1.5577119509703764E-2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>
        <f>V107/J107</f>
        <v>1.0000825657625141</v>
      </c>
      <c r="AY107" s="15">
        <f>X107/L107</f>
        <v>1.2601626016260163</v>
      </c>
      <c r="AZ107" s="15">
        <f t="shared" si="124"/>
        <v>4.4257046291266819</v>
      </c>
      <c r="BA107" s="15"/>
      <c r="BB107" s="15"/>
      <c r="BC107" s="15"/>
      <c r="BD107" s="1">
        <f t="shared" si="84"/>
        <v>0</v>
      </c>
    </row>
    <row r="108" spans="1:56" ht="15.75" thickBot="1" x14ac:dyDescent="0.25">
      <c r="A108" s="13"/>
      <c r="B108" s="8" t="s">
        <v>34</v>
      </c>
      <c r="C108" s="39">
        <v>22</v>
      </c>
      <c r="D108" s="55">
        <v>2496.06</v>
      </c>
      <c r="E108" s="55">
        <v>45.2742</v>
      </c>
      <c r="F108" s="55">
        <v>48.440800000000003</v>
      </c>
      <c r="G108" s="55">
        <v>49.355200000000004</v>
      </c>
      <c r="H108" s="55">
        <v>0.99635969999999996</v>
      </c>
      <c r="I108" s="55">
        <v>0.99690210000000001</v>
      </c>
      <c r="J108" s="55">
        <v>0.99735450000000003</v>
      </c>
      <c r="K108" s="55">
        <v>241.46100000000001</v>
      </c>
      <c r="L108" s="55">
        <v>0.22500000000000001</v>
      </c>
      <c r="M108" s="10" t="e">
        <f>#REF!</f>
        <v>#REF!</v>
      </c>
      <c r="N108" s="11">
        <f t="shared" si="76"/>
        <v>6.7072500000000007E-2</v>
      </c>
      <c r="P108" s="60">
        <v>2489.64</v>
      </c>
      <c r="Q108" s="60">
        <v>45.277799999999999</v>
      </c>
      <c r="R108" s="60">
        <v>48.383000000000003</v>
      </c>
      <c r="S108" s="60">
        <v>49.267800000000001</v>
      </c>
      <c r="T108" s="60">
        <v>0.99635779999999996</v>
      </c>
      <c r="U108" s="60">
        <v>0.99687289999999995</v>
      </c>
      <c r="V108" s="60">
        <v>0.99730799999999997</v>
      </c>
      <c r="W108" s="60">
        <v>580.41499999999996</v>
      </c>
      <c r="X108" s="60">
        <v>0.20100000000000001</v>
      </c>
      <c r="Y108" s="10" t="e">
        <f>#REF!</f>
        <v>#REF!</v>
      </c>
      <c r="Z108" s="11">
        <f t="shared" si="77"/>
        <v>0.16122638888888888</v>
      </c>
      <c r="AA108" s="10">
        <f t="shared" si="78"/>
        <v>2.4037629265181537</v>
      </c>
      <c r="AB108" s="15">
        <f t="shared" si="117"/>
        <v>0.89333333333333331</v>
      </c>
      <c r="AC108" s="15" t="e">
        <f t="shared" si="117"/>
        <v>#REF!</v>
      </c>
      <c r="AD108" s="11">
        <f t="shared" si="79"/>
        <v>2.5720535564049234E-3</v>
      </c>
      <c r="AE108" s="12"/>
      <c r="AF108" s="25">
        <f t="shared" ref="AF108:AK108" si="125">bdRateExtend($D108:$D112,E108:E112,$P108:$P112,Q108:Q112)</f>
        <v>-6.4820684239197401E-4</v>
      </c>
      <c r="AG108" s="30">
        <f t="shared" si="125"/>
        <v>1.1345233183478687E-2</v>
      </c>
      <c r="AH108" s="31">
        <f t="shared" si="125"/>
        <v>3.9390147006141962E-3</v>
      </c>
      <c r="AI108" s="25">
        <f t="shared" si="125"/>
        <v>-7.1998286230423592E-3</v>
      </c>
      <c r="AJ108" s="30">
        <f t="shared" si="125"/>
        <v>4.1742099001675914E-3</v>
      </c>
      <c r="AK108" s="30">
        <f t="shared" si="125"/>
        <v>1.6434206065543133E-3</v>
      </c>
      <c r="AL108" s="45"/>
      <c r="AM108" s="46"/>
      <c r="AN108" s="47"/>
      <c r="AO108" s="46"/>
      <c r="AP108" s="46"/>
      <c r="AQ108" s="47"/>
      <c r="AR108" s="30">
        <f t="shared" ref="AR108:AW108" si="126">bdrate($D108:$D111,E108:E111,$P108:$P111,Q108:Q111)</f>
        <v>-1.043255615514771E-3</v>
      </c>
      <c r="AS108" s="30">
        <f t="shared" si="126"/>
        <v>4.7642145564021909E-3</v>
      </c>
      <c r="AT108" s="31">
        <f t="shared" si="126"/>
        <v>4.4821487846948838E-3</v>
      </c>
      <c r="AU108" s="25">
        <f t="shared" si="126"/>
        <v>-2.8437224316490983E-3</v>
      </c>
      <c r="AV108" s="30">
        <f t="shared" si="126"/>
        <v>-4.4054010500436114E-3</v>
      </c>
      <c r="AW108" s="31">
        <f t="shared" si="126"/>
        <v>1.4217249914215024E-2</v>
      </c>
      <c r="AX108" s="15"/>
      <c r="AY108" s="15"/>
      <c r="AZ108" s="15"/>
      <c r="BA108" s="15">
        <f>V108/J108</f>
        <v>0.99995337665794859</v>
      </c>
      <c r="BB108" s="15">
        <f>X108/L108</f>
        <v>0.89333333333333331</v>
      </c>
      <c r="BC108" s="15">
        <f t="shared" ref="BC108:BC111" si="127">Z108/N108</f>
        <v>2.4037629265181537</v>
      </c>
      <c r="BD108" s="1">
        <f t="shared" si="84"/>
        <v>1</v>
      </c>
    </row>
    <row r="109" spans="1:56" ht="15.75" thickBot="1" x14ac:dyDescent="0.25">
      <c r="A109" s="13"/>
      <c r="B109" s="13"/>
      <c r="C109" s="43">
        <v>27</v>
      </c>
      <c r="D109" s="55">
        <v>1481.22</v>
      </c>
      <c r="E109" s="55">
        <v>43.173699999999997</v>
      </c>
      <c r="F109" s="55">
        <v>46.3294</v>
      </c>
      <c r="G109" s="55">
        <v>47.240600000000001</v>
      </c>
      <c r="H109" s="55">
        <v>0.99471069999999995</v>
      </c>
      <c r="I109" s="55">
        <v>0.99463449999999998</v>
      </c>
      <c r="J109" s="55">
        <v>0.99533850000000001</v>
      </c>
      <c r="K109" s="55">
        <v>146.16900000000001</v>
      </c>
      <c r="L109" s="55">
        <v>0.161</v>
      </c>
      <c r="M109" s="15" t="e">
        <f>#REF!</f>
        <v>#REF!</v>
      </c>
      <c r="N109" s="16">
        <f t="shared" si="76"/>
        <v>4.06025E-2</v>
      </c>
      <c r="P109" s="60">
        <v>1481.58</v>
      </c>
      <c r="Q109" s="60">
        <v>43.181800000000003</v>
      </c>
      <c r="R109" s="60">
        <v>46.261899999999997</v>
      </c>
      <c r="S109" s="60">
        <v>47.308399999999999</v>
      </c>
      <c r="T109" s="60">
        <v>0.99470610000000004</v>
      </c>
      <c r="U109" s="60">
        <v>0.9945136</v>
      </c>
      <c r="V109" s="60">
        <v>0.99531670000000005</v>
      </c>
      <c r="W109" s="60">
        <v>401.529</v>
      </c>
      <c r="X109" s="60">
        <v>0.16900000000000001</v>
      </c>
      <c r="Y109" s="15" t="e">
        <f>#REF!</f>
        <v>#REF!</v>
      </c>
      <c r="Z109" s="16">
        <f t="shared" si="77"/>
        <v>0.11153583333333333</v>
      </c>
      <c r="AA109" s="10">
        <f t="shared" si="78"/>
        <v>2.7470188617285469</v>
      </c>
      <c r="AB109" s="15">
        <f t="shared" si="117"/>
        <v>1.0496894409937889</v>
      </c>
      <c r="AC109" s="15" t="e">
        <f t="shared" si="117"/>
        <v>#REF!</v>
      </c>
      <c r="AD109" s="16">
        <f t="shared" si="79"/>
        <v>2.4304289707126553E-4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-2.472421018491211E-4</v>
      </c>
      <c r="AM109" s="21">
        <f>bdrate($D109:$D112,F109:F112,$P109:$P112,R109:R112)</f>
        <v>6.3159629767233216E-3</v>
      </c>
      <c r="AN109" s="36">
        <f t="shared" ref="AN109" si="128">bdrate($D109:$D112,G109:G112,$P109:$P112,S109:S112)</f>
        <v>1.138351918362468E-2</v>
      </c>
      <c r="AO109" s="26">
        <f>bdrate($D109:$D112,H109:H112,$P109:$P112,T109:T112)</f>
        <v>-7.8677501899682145E-3</v>
      </c>
      <c r="AP109" s="21">
        <f>bdrate($D109:$D112,I109:I112,$P109:$P112,U109:U112)</f>
        <v>2.2493021997216367E-4</v>
      </c>
      <c r="AQ109" s="36">
        <f>bdrate($D109:$D112,J109:J112,$P109:$P112,V109:V112)</f>
        <v>2.4087946489497192E-3</v>
      </c>
      <c r="AR109" s="21"/>
      <c r="AS109" s="21"/>
      <c r="AT109" s="36"/>
      <c r="AU109" s="26"/>
      <c r="AV109" s="21"/>
      <c r="AW109" s="36"/>
      <c r="AX109" s="15">
        <f>V109/J109</f>
        <v>0.99997809790337666</v>
      </c>
      <c r="AY109" s="15">
        <f>X109/L109</f>
        <v>1.0496894409937889</v>
      </c>
      <c r="AZ109" s="15">
        <f t="shared" ref="AZ109:AZ112" si="129">Z109/N109</f>
        <v>2.7470188617285469</v>
      </c>
      <c r="BA109" s="15">
        <f>V109/J109</f>
        <v>0.99997809790337666</v>
      </c>
      <c r="BB109" s="15">
        <f>X109/L109</f>
        <v>1.0496894409937889</v>
      </c>
      <c r="BC109" s="15">
        <f t="shared" si="127"/>
        <v>2.7470188617285469</v>
      </c>
      <c r="BD109" s="1">
        <f t="shared" si="84"/>
        <v>0</v>
      </c>
    </row>
    <row r="110" spans="1:56" ht="15.75" thickBot="1" x14ac:dyDescent="0.25">
      <c r="A110" s="13"/>
      <c r="B110" s="13"/>
      <c r="C110" s="43">
        <v>32</v>
      </c>
      <c r="D110" s="55">
        <v>892.56</v>
      </c>
      <c r="E110" s="55">
        <v>40.710500000000003</v>
      </c>
      <c r="F110" s="55">
        <v>44.283299999999997</v>
      </c>
      <c r="G110" s="55">
        <v>45.131900000000002</v>
      </c>
      <c r="H110" s="55">
        <v>0.99138440000000005</v>
      </c>
      <c r="I110" s="55">
        <v>0.99081339999999996</v>
      </c>
      <c r="J110" s="55">
        <v>0.99189190000000005</v>
      </c>
      <c r="K110" s="55">
        <v>101.536</v>
      </c>
      <c r="L110" s="55">
        <v>0.14699999999999999</v>
      </c>
      <c r="M110" s="15" t="e">
        <f>#REF!</f>
        <v>#REF!</v>
      </c>
      <c r="N110" s="16">
        <f t="shared" si="76"/>
        <v>2.8204444444444445E-2</v>
      </c>
      <c r="P110" s="60">
        <v>890.7</v>
      </c>
      <c r="Q110" s="60">
        <v>40.706600000000002</v>
      </c>
      <c r="R110" s="60">
        <v>44.350700000000003</v>
      </c>
      <c r="S110" s="60">
        <v>45.028300000000002</v>
      </c>
      <c r="T110" s="60">
        <v>0.99140200000000001</v>
      </c>
      <c r="U110" s="60">
        <v>0.99103850000000004</v>
      </c>
      <c r="V110" s="60">
        <v>0.99163939999999995</v>
      </c>
      <c r="W110" s="60">
        <v>309.154</v>
      </c>
      <c r="X110" s="60">
        <v>0.151</v>
      </c>
      <c r="Y110" s="15" t="e">
        <f>#REF!</f>
        <v>#REF!</v>
      </c>
      <c r="Z110" s="16">
        <f t="shared" si="77"/>
        <v>8.5876111111111111E-2</v>
      </c>
      <c r="AA110" s="10">
        <f t="shared" si="78"/>
        <v>3.0447722975102427</v>
      </c>
      <c r="AB110" s="15">
        <f t="shared" si="117"/>
        <v>1.0272108843537415</v>
      </c>
      <c r="AC110" s="15" t="e">
        <f t="shared" si="117"/>
        <v>#REF!</v>
      </c>
      <c r="AD110" s="16">
        <f t="shared" si="79"/>
        <v>2.0838935197632653E-3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>
        <f>V110/J110</f>
        <v>0.99974543596938326</v>
      </c>
      <c r="AY110" s="15">
        <f>X110/L110</f>
        <v>1.0272108843537415</v>
      </c>
      <c r="AZ110" s="15">
        <f t="shared" si="129"/>
        <v>3.0447722975102427</v>
      </c>
      <c r="BA110" s="15">
        <f>V110/J110</f>
        <v>0.99974543596938326</v>
      </c>
      <c r="BB110" s="15">
        <f>X110/L110</f>
        <v>1.0272108843537415</v>
      </c>
      <c r="BC110" s="15">
        <f t="shared" si="127"/>
        <v>3.0447722975102427</v>
      </c>
      <c r="BD110" s="1">
        <f t="shared" si="84"/>
        <v>0</v>
      </c>
    </row>
    <row r="111" spans="1:56" ht="15.75" thickBot="1" x14ac:dyDescent="0.25">
      <c r="A111" s="13"/>
      <c r="B111" s="13"/>
      <c r="C111" s="43">
        <v>37</v>
      </c>
      <c r="D111" s="55">
        <v>544.38</v>
      </c>
      <c r="E111" s="55">
        <v>37.991900000000001</v>
      </c>
      <c r="F111" s="55">
        <v>42.526800000000001</v>
      </c>
      <c r="G111" s="55">
        <v>43.553100000000001</v>
      </c>
      <c r="H111" s="55">
        <v>0.98513200000000001</v>
      </c>
      <c r="I111" s="55">
        <v>0.98602339999999999</v>
      </c>
      <c r="J111" s="55">
        <v>0.98793399999999998</v>
      </c>
      <c r="K111" s="55">
        <v>67.066000000000003</v>
      </c>
      <c r="L111" s="55">
        <v>0.16300000000000001</v>
      </c>
      <c r="M111" s="15" t="e">
        <f>#REF!</f>
        <v>#REF!</v>
      </c>
      <c r="N111" s="16">
        <f t="shared" si="76"/>
        <v>1.8629444444444445E-2</v>
      </c>
      <c r="P111" s="60">
        <v>543.72</v>
      </c>
      <c r="Q111" s="60">
        <v>37.967100000000002</v>
      </c>
      <c r="R111" s="60">
        <v>42.404800000000002</v>
      </c>
      <c r="S111" s="60">
        <v>43.561799999999998</v>
      </c>
      <c r="T111" s="60">
        <v>0.98516720000000002</v>
      </c>
      <c r="U111" s="60">
        <v>0.98573149999999998</v>
      </c>
      <c r="V111" s="60">
        <v>0.98809309999999995</v>
      </c>
      <c r="W111" s="60">
        <v>283.928</v>
      </c>
      <c r="X111" s="60">
        <v>0.14299999999999999</v>
      </c>
      <c r="Y111" s="15" t="e">
        <f>#REF!</f>
        <v>#REF!</v>
      </c>
      <c r="Z111" s="16">
        <f t="shared" si="77"/>
        <v>7.8868888888888891E-2</v>
      </c>
      <c r="AA111" s="10">
        <f t="shared" si="78"/>
        <v>4.2335609697909522</v>
      </c>
      <c r="AB111" s="15">
        <f t="shared" si="117"/>
        <v>0.87730061349693245</v>
      </c>
      <c r="AC111" s="15" t="e">
        <f t="shared" si="117"/>
        <v>#REF!</v>
      </c>
      <c r="AD111" s="16">
        <f t="shared" si="79"/>
        <v>1.212388405158103E-3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>
        <f>V111/J111</f>
        <v>1.000161043146607</v>
      </c>
      <c r="AY111" s="15">
        <f>X111/L111</f>
        <v>0.87730061349693245</v>
      </c>
      <c r="AZ111" s="15">
        <f t="shared" si="129"/>
        <v>4.2335609697909522</v>
      </c>
      <c r="BA111" s="15">
        <f>V111/J111</f>
        <v>1.000161043146607</v>
      </c>
      <c r="BB111" s="15">
        <f>X111/L111</f>
        <v>0.87730061349693245</v>
      </c>
      <c r="BC111" s="15">
        <f t="shared" si="127"/>
        <v>4.2335609697909522</v>
      </c>
      <c r="BD111" s="1">
        <f t="shared" si="84"/>
        <v>0</v>
      </c>
    </row>
    <row r="112" spans="1:56" ht="15.75" thickBot="1" x14ac:dyDescent="0.25">
      <c r="A112" s="17"/>
      <c r="B112" s="17"/>
      <c r="C112" s="44">
        <v>42</v>
      </c>
      <c r="D112" s="55">
        <v>330.36</v>
      </c>
      <c r="E112" s="55">
        <v>35.096200000000003</v>
      </c>
      <c r="F112" s="55">
        <v>41.045400000000001</v>
      </c>
      <c r="G112" s="55">
        <v>41.97</v>
      </c>
      <c r="H112" s="55">
        <v>0.97322540000000002</v>
      </c>
      <c r="I112" s="55">
        <v>0.98004530000000001</v>
      </c>
      <c r="J112" s="55">
        <v>0.98187029999999997</v>
      </c>
      <c r="K112" s="55">
        <v>43.497</v>
      </c>
      <c r="L112" s="55">
        <v>0.13300000000000001</v>
      </c>
      <c r="M112" s="19" t="e">
        <f>#REF!</f>
        <v>#REF!</v>
      </c>
      <c r="N112" s="20">
        <f t="shared" si="76"/>
        <v>1.2082499999999999E-2</v>
      </c>
      <c r="P112" s="60">
        <v>325.26</v>
      </c>
      <c r="Q112" s="60">
        <v>35.043900000000001</v>
      </c>
      <c r="R112" s="60">
        <v>40.999299999999998</v>
      </c>
      <c r="S112" s="60">
        <v>41.819499999999998</v>
      </c>
      <c r="T112" s="60">
        <v>0.97355990000000003</v>
      </c>
      <c r="U112" s="60">
        <v>0.98018620000000001</v>
      </c>
      <c r="V112" s="60">
        <v>0.98134049999999995</v>
      </c>
      <c r="W112" s="60">
        <v>175.98500000000001</v>
      </c>
      <c r="X112" s="60">
        <v>0.17299999999999999</v>
      </c>
      <c r="Y112" s="19" t="e">
        <f>#REF!</f>
        <v>#REF!</v>
      </c>
      <c r="Z112" s="20">
        <f t="shared" si="77"/>
        <v>4.8884722222222225E-2</v>
      </c>
      <c r="AA112" s="10">
        <f t="shared" si="78"/>
        <v>4.0459112122675132</v>
      </c>
      <c r="AB112" s="15">
        <f t="shared" si="117"/>
        <v>1.3007518796992479</v>
      </c>
      <c r="AC112" s="15" t="e">
        <f t="shared" si="117"/>
        <v>#REF!</v>
      </c>
      <c r="AD112" s="20">
        <f t="shared" si="79"/>
        <v>1.5437704322557278E-2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>
        <f>V112/J112</f>
        <v>0.99946041753172488</v>
      </c>
      <c r="AY112" s="19">
        <f>X112/L112</f>
        <v>1.3007518796992479</v>
      </c>
      <c r="AZ112" s="19">
        <f t="shared" si="129"/>
        <v>4.0459112122675132</v>
      </c>
      <c r="BA112" s="19"/>
      <c r="BB112" s="19"/>
      <c r="BC112" s="19"/>
      <c r="BD112" s="1">
        <f t="shared" si="84"/>
        <v>0</v>
      </c>
    </row>
    <row r="113" spans="1:56" ht="15.75" thickBot="1" x14ac:dyDescent="0.25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45.136899999999997</v>
      </c>
      <c r="F113" s="55">
        <v>45.8872</v>
      </c>
      <c r="G113" s="55">
        <v>46.416699999999999</v>
      </c>
      <c r="H113" s="55">
        <v>0.99725490000000006</v>
      </c>
      <c r="I113" s="55">
        <v>0.99586549999999996</v>
      </c>
      <c r="J113" s="55">
        <v>0.99654909999999997</v>
      </c>
      <c r="K113" s="55">
        <v>1016.052</v>
      </c>
      <c r="L113" s="55">
        <v>0.47</v>
      </c>
      <c r="M113" s="10" t="e">
        <f>#REF!</f>
        <v>#REF!</v>
      </c>
      <c r="N113" s="11">
        <f t="shared" si="76"/>
        <v>0.28223666666666669</v>
      </c>
      <c r="P113" s="60">
        <v>12910.98</v>
      </c>
      <c r="Q113" s="60">
        <v>45.147199999999998</v>
      </c>
      <c r="R113" s="60">
        <v>45.853200000000001</v>
      </c>
      <c r="S113" s="60">
        <v>46.410600000000002</v>
      </c>
      <c r="T113" s="60">
        <v>0.99726099999999995</v>
      </c>
      <c r="U113" s="60">
        <v>0.99582999999999999</v>
      </c>
      <c r="V113" s="60">
        <v>0.99655649999999996</v>
      </c>
      <c r="W113" s="60">
        <v>1807.711</v>
      </c>
      <c r="X113" s="60">
        <v>0.63200000000000001</v>
      </c>
      <c r="Y113" s="10" t="e">
        <f>#REF!</f>
        <v>#REF!</v>
      </c>
      <c r="Z113" s="11">
        <f t="shared" si="77"/>
        <v>0.50214194444444449</v>
      </c>
      <c r="AA113" s="10">
        <f t="shared" si="78"/>
        <v>1.7791520512729664</v>
      </c>
      <c r="AB113" s="10">
        <f>X113/L113</f>
        <v>1.34468085106383</v>
      </c>
      <c r="AC113" s="10" t="e">
        <f>Y113/M113</f>
        <v>#REF!</v>
      </c>
      <c r="AD113" s="11">
        <f t="shared" si="79"/>
        <v>1.0653442131804776E-3</v>
      </c>
      <c r="AE113" s="40"/>
      <c r="AF113" s="25">
        <f t="shared" ref="AF113:AK113" si="130">bdRateExtend($D113:$D117,E113:E117,$P113:$P117,Q113:Q117)</f>
        <v>-3.2158129449122441E-4</v>
      </c>
      <c r="AG113" s="30">
        <f t="shared" si="130"/>
        <v>-3.1310549802325838E-3</v>
      </c>
      <c r="AH113" s="31">
        <f t="shared" si="130"/>
        <v>-8.0269063986619926E-3</v>
      </c>
      <c r="AI113" s="25">
        <f t="shared" si="130"/>
        <v>1.1436208307793461E-3</v>
      </c>
      <c r="AJ113" s="30">
        <f t="shared" si="130"/>
        <v>9.8826299822127872E-3</v>
      </c>
      <c r="AK113" s="30">
        <f t="shared" si="130"/>
        <v>-1.3106634397824113E-2</v>
      </c>
      <c r="AL113" s="26"/>
      <c r="AM113" s="21"/>
      <c r="AN113" s="36"/>
      <c r="AO113" s="21"/>
      <c r="AP113" s="21"/>
      <c r="AQ113" s="36"/>
      <c r="AR113" s="30">
        <f t="shared" ref="AR113:AW113" si="131">bdrate($D113:$D116,E113:E116,$P113:$P116,Q113:Q116)</f>
        <v>8.5688339094236454E-4</v>
      </c>
      <c r="AS113" s="30">
        <f t="shared" si="131"/>
        <v>-5.3899295290976701E-3</v>
      </c>
      <c r="AT113" s="31">
        <f t="shared" si="131"/>
        <v>-2.7164873341930518E-3</v>
      </c>
      <c r="AU113" s="25">
        <f t="shared" si="131"/>
        <v>3.2039982689637814E-3</v>
      </c>
      <c r="AV113" s="30">
        <f t="shared" si="131"/>
        <v>5.4809963252471228E-3</v>
      </c>
      <c r="AW113" s="31">
        <f t="shared" si="131"/>
        <v>2.7024236346533392E-3</v>
      </c>
      <c r="AX113" s="10"/>
      <c r="AY113" s="10"/>
      <c r="AZ113" s="10"/>
      <c r="BA113" s="10">
        <f>V113/J113</f>
        <v>1.0000074256250897</v>
      </c>
      <c r="BB113" s="10">
        <f t="shared" ref="BB113:BB116" si="132">X113/L113</f>
        <v>1.34468085106383</v>
      </c>
      <c r="BC113" s="10">
        <f t="shared" ref="BC113:BC151" si="133">Z113/N113</f>
        <v>1.7791520512729664</v>
      </c>
      <c r="BD113" s="1">
        <f t="shared" si="84"/>
        <v>0</v>
      </c>
    </row>
    <row r="114" spans="1:56" ht="15.75" thickBot="1" x14ac:dyDescent="0.25">
      <c r="A114" s="13"/>
      <c r="C114" s="43">
        <v>27</v>
      </c>
      <c r="D114" s="55">
        <v>7534.32</v>
      </c>
      <c r="E114" s="55">
        <v>41.636400000000002</v>
      </c>
      <c r="F114" s="55">
        <v>42.677700000000002</v>
      </c>
      <c r="G114" s="55">
        <v>42.948099999999997</v>
      </c>
      <c r="H114" s="55">
        <v>0.99340700000000004</v>
      </c>
      <c r="I114" s="55">
        <v>0.99040150000000005</v>
      </c>
      <c r="J114" s="55">
        <v>0.99211260000000001</v>
      </c>
      <c r="K114" s="55">
        <v>640.76800000000003</v>
      </c>
      <c r="L114" s="55">
        <v>0.39500000000000002</v>
      </c>
      <c r="M114" s="15" t="e">
        <f>#REF!</f>
        <v>#REF!</v>
      </c>
      <c r="N114" s="16">
        <f t="shared" si="76"/>
        <v>0.17799111111111113</v>
      </c>
      <c r="P114" s="60">
        <v>7532.22</v>
      </c>
      <c r="Q114" s="60">
        <v>41.634900000000002</v>
      </c>
      <c r="R114" s="60">
        <v>42.733400000000003</v>
      </c>
      <c r="S114" s="60">
        <v>42.913699999999999</v>
      </c>
      <c r="T114" s="60">
        <v>0.99340539999999999</v>
      </c>
      <c r="U114" s="60">
        <v>0.99052560000000001</v>
      </c>
      <c r="V114" s="60">
        <v>0.99208779999999996</v>
      </c>
      <c r="W114" s="60">
        <v>1407.684</v>
      </c>
      <c r="X114" s="60">
        <v>0.42</v>
      </c>
      <c r="Y114" s="15" t="e">
        <f>#REF!</f>
        <v>#REF!</v>
      </c>
      <c r="Z114" s="16">
        <f t="shared" si="77"/>
        <v>0.39102333333333333</v>
      </c>
      <c r="AA114" s="10">
        <f t="shared" si="78"/>
        <v>2.1968700059928086</v>
      </c>
      <c r="AB114" s="15">
        <f t="shared" ref="AB114:AC132" si="134">X114/L114</f>
        <v>1.0632911392405062</v>
      </c>
      <c r="AC114" s="15" t="e">
        <f t="shared" si="134"/>
        <v>#REF!</v>
      </c>
      <c r="AD114" s="16">
        <f t="shared" si="79"/>
        <v>2.7872455642970493E-4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-4.886374486146039E-5</v>
      </c>
      <c r="AM114" s="21">
        <f>bdrate($D114:$D117,F114:F117,$P114:$P117,R114:R117)</f>
        <v>-1.9016937320952554E-3</v>
      </c>
      <c r="AN114" s="36">
        <f t="shared" ref="AN114" si="135">bdrate($D114:$D117,G114:G117,$P114:$P117,S114:S117)</f>
        <v>-1.4545371060493806E-2</v>
      </c>
      <c r="AO114" s="26">
        <f>bdrate($D114:$D117,H114:H117,$P114:$P117,T114:T117)</f>
        <v>1.3366962127254745E-3</v>
      </c>
      <c r="AP114" s="21">
        <f>bdrate($D114:$D117,I114:I117,$P114:$P117,U114:U117)</f>
        <v>1.3633384969186979E-2</v>
      </c>
      <c r="AQ114" s="36">
        <f>bdrate($D114:$D117,J114:J117,$P114:$P117,V114:V117)</f>
        <v>-1.4226654504517766E-2</v>
      </c>
      <c r="AR114" s="21"/>
      <c r="AS114" s="21"/>
      <c r="AT114" s="36"/>
      <c r="AU114" s="26"/>
      <c r="AV114" s="21"/>
      <c r="AW114" s="36"/>
      <c r="AX114" s="15">
        <f>V114/J114</f>
        <v>0.9999750028373795</v>
      </c>
      <c r="AY114" s="15">
        <f t="shared" ref="AY114:AY117" si="136">X114/L114</f>
        <v>1.0632911392405062</v>
      </c>
      <c r="AZ114" s="15">
        <f t="shared" ref="AZ114:AZ152" si="137">Z114/N114</f>
        <v>2.1968700059928086</v>
      </c>
      <c r="BA114" s="15">
        <f>V114/J114</f>
        <v>0.9999750028373795</v>
      </c>
      <c r="BB114" s="15">
        <f t="shared" si="132"/>
        <v>1.0632911392405062</v>
      </c>
      <c r="BC114" s="15">
        <f t="shared" si="133"/>
        <v>2.1968700059928086</v>
      </c>
      <c r="BD114" s="1">
        <f t="shared" si="84"/>
        <v>0</v>
      </c>
    </row>
    <row r="115" spans="1:56" ht="15.75" thickBot="1" x14ac:dyDescent="0.25">
      <c r="A115" s="13"/>
      <c r="B115" s="13"/>
      <c r="C115" s="43">
        <v>32</v>
      </c>
      <c r="D115" s="55">
        <v>4293.3599999999997</v>
      </c>
      <c r="E115" s="55">
        <v>38.362000000000002</v>
      </c>
      <c r="F115" s="55">
        <v>40.078000000000003</v>
      </c>
      <c r="G115" s="55">
        <v>39.909700000000001</v>
      </c>
      <c r="H115" s="55">
        <v>0.9856528</v>
      </c>
      <c r="I115" s="55">
        <v>0.98156279999999996</v>
      </c>
      <c r="J115" s="55">
        <v>0.98463800000000001</v>
      </c>
      <c r="K115" s="55">
        <v>464.60899999999998</v>
      </c>
      <c r="L115" s="55">
        <v>0.34499999999999997</v>
      </c>
      <c r="M115" s="15" t="e">
        <f>#REF!</f>
        <v>#REF!</v>
      </c>
      <c r="N115" s="16">
        <f t="shared" si="76"/>
        <v>0.12905805555555555</v>
      </c>
      <c r="P115" s="60">
        <v>4297.92</v>
      </c>
      <c r="Q115" s="60">
        <v>38.347900000000003</v>
      </c>
      <c r="R115" s="60">
        <v>40.1</v>
      </c>
      <c r="S115" s="60">
        <v>39.947400000000002</v>
      </c>
      <c r="T115" s="60">
        <v>0.98556880000000002</v>
      </c>
      <c r="U115" s="60">
        <v>0.98134869999999996</v>
      </c>
      <c r="V115" s="60">
        <v>0.98440190000000005</v>
      </c>
      <c r="W115" s="60">
        <v>1193.2270000000001</v>
      </c>
      <c r="X115" s="60">
        <v>0.34799999999999998</v>
      </c>
      <c r="Y115" s="15" t="e">
        <f>#REF!</f>
        <v>#REF!</v>
      </c>
      <c r="Z115" s="16">
        <f t="shared" si="77"/>
        <v>0.33145194444444448</v>
      </c>
      <c r="AA115" s="10">
        <f t="shared" si="78"/>
        <v>2.5682390999743872</v>
      </c>
      <c r="AB115" s="15">
        <f t="shared" si="134"/>
        <v>1.008695652173913</v>
      </c>
      <c r="AC115" s="15" t="e">
        <f t="shared" si="134"/>
        <v>#REF!</v>
      </c>
      <c r="AD115" s="16">
        <f t="shared" si="79"/>
        <v>1.0621052043155944E-3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>
        <f>V115/J115</f>
        <v>0.99976021644502855</v>
      </c>
      <c r="AY115" s="15">
        <f t="shared" si="136"/>
        <v>1.008695652173913</v>
      </c>
      <c r="AZ115" s="15">
        <f t="shared" si="137"/>
        <v>2.5682390999743876</v>
      </c>
      <c r="BA115" s="15">
        <f>V115/J115</f>
        <v>0.99976021644502855</v>
      </c>
      <c r="BB115" s="15">
        <f t="shared" si="132"/>
        <v>1.008695652173913</v>
      </c>
      <c r="BC115" s="15">
        <f t="shared" si="133"/>
        <v>2.5682390999743876</v>
      </c>
      <c r="BD115" s="1">
        <f t="shared" si="84"/>
        <v>0</v>
      </c>
    </row>
    <row r="116" spans="1:56" ht="15.75" thickBot="1" x14ac:dyDescent="0.25">
      <c r="A116" s="13"/>
      <c r="B116" s="13"/>
      <c r="C116" s="43">
        <v>37</v>
      </c>
      <c r="D116" s="55">
        <v>2448.96</v>
      </c>
      <c r="E116" s="55">
        <v>35.2363</v>
      </c>
      <c r="F116" s="55">
        <v>38.418500000000002</v>
      </c>
      <c r="G116" s="55">
        <v>38.004600000000003</v>
      </c>
      <c r="H116" s="55">
        <v>0.97073050000000005</v>
      </c>
      <c r="I116" s="55">
        <v>0.97243760000000001</v>
      </c>
      <c r="J116" s="55">
        <v>0.97633230000000004</v>
      </c>
      <c r="K116" s="55">
        <v>265.315</v>
      </c>
      <c r="L116" s="55">
        <v>0.27600000000000002</v>
      </c>
      <c r="M116" s="15" t="e">
        <f>#REF!</f>
        <v>#REF!</v>
      </c>
      <c r="N116" s="16">
        <f t="shared" si="76"/>
        <v>7.3698611111111104E-2</v>
      </c>
      <c r="P116" s="60">
        <v>2438.94</v>
      </c>
      <c r="Q116" s="60">
        <v>35.229799999999997</v>
      </c>
      <c r="R116" s="60">
        <v>38.4026</v>
      </c>
      <c r="S116" s="60">
        <v>38.122500000000002</v>
      </c>
      <c r="T116" s="60">
        <v>0.97055440000000004</v>
      </c>
      <c r="U116" s="60">
        <v>0.97216069999999999</v>
      </c>
      <c r="V116" s="60">
        <v>0.97692959999999995</v>
      </c>
      <c r="W116" s="60">
        <v>908.48199999999997</v>
      </c>
      <c r="X116" s="60">
        <v>0.27100000000000002</v>
      </c>
      <c r="Y116" s="15" t="e">
        <f>#REF!</f>
        <v>#REF!</v>
      </c>
      <c r="Z116" s="16">
        <f t="shared" si="77"/>
        <v>0.25235611111111111</v>
      </c>
      <c r="AA116" s="10">
        <f t="shared" si="78"/>
        <v>3.4241637299059606</v>
      </c>
      <c r="AB116" s="15">
        <f t="shared" si="134"/>
        <v>0.98188405797101452</v>
      </c>
      <c r="AC116" s="15" t="e">
        <f t="shared" si="134"/>
        <v>#REF!</v>
      </c>
      <c r="AD116" s="16">
        <f t="shared" si="79"/>
        <v>4.0915327322618503E-3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>
        <f>V116/J116</f>
        <v>1.0006117794115794</v>
      </c>
      <c r="AY116" s="15">
        <f t="shared" si="136"/>
        <v>0.98188405797101452</v>
      </c>
      <c r="AZ116" s="15">
        <f t="shared" si="137"/>
        <v>3.4241637299059611</v>
      </c>
      <c r="BA116" s="15">
        <f>V116/J116</f>
        <v>1.0006117794115794</v>
      </c>
      <c r="BB116" s="15">
        <f t="shared" si="132"/>
        <v>0.98188405797101452</v>
      </c>
      <c r="BC116" s="15">
        <f t="shared" si="133"/>
        <v>3.4241637299059611</v>
      </c>
      <c r="BD116" s="1">
        <f t="shared" si="84"/>
        <v>0</v>
      </c>
    </row>
    <row r="117" spans="1:56" ht="15.75" thickBot="1" x14ac:dyDescent="0.25">
      <c r="A117" s="13"/>
      <c r="B117" s="17"/>
      <c r="C117" s="44">
        <v>42</v>
      </c>
      <c r="D117" s="55">
        <v>1360.26</v>
      </c>
      <c r="E117" s="55">
        <v>32.244999999999997</v>
      </c>
      <c r="F117" s="55">
        <v>36.755400000000002</v>
      </c>
      <c r="G117" s="55">
        <v>36.187600000000003</v>
      </c>
      <c r="H117" s="55">
        <v>0.94172829999999996</v>
      </c>
      <c r="I117" s="55">
        <v>0.95984619999999998</v>
      </c>
      <c r="J117" s="55">
        <v>0.96536730000000004</v>
      </c>
      <c r="K117" s="55">
        <v>161.02099999999999</v>
      </c>
      <c r="L117" s="55">
        <v>0.224</v>
      </c>
      <c r="M117" s="19" t="e">
        <f>#REF!</f>
        <v>#REF!</v>
      </c>
      <c r="N117" s="20">
        <f t="shared" si="76"/>
        <v>4.4728055555555549E-2</v>
      </c>
      <c r="P117" s="60">
        <v>1355.1</v>
      </c>
      <c r="Q117" s="60">
        <v>32.242400000000004</v>
      </c>
      <c r="R117" s="60">
        <v>36.703099999999999</v>
      </c>
      <c r="S117" s="60">
        <v>36.186999999999998</v>
      </c>
      <c r="T117" s="60">
        <v>0.94149459999999996</v>
      </c>
      <c r="U117" s="60">
        <v>0.95882840000000003</v>
      </c>
      <c r="V117" s="60">
        <v>0.96554989999999996</v>
      </c>
      <c r="W117" s="60">
        <v>596.44200000000001</v>
      </c>
      <c r="X117" s="60">
        <v>0.23200000000000001</v>
      </c>
      <c r="Y117" s="19" t="e">
        <f>#REF!</f>
        <v>#REF!</v>
      </c>
      <c r="Z117" s="20">
        <f t="shared" si="77"/>
        <v>0.16567833333333334</v>
      </c>
      <c r="AA117" s="10">
        <f t="shared" si="78"/>
        <v>3.7041255488414557</v>
      </c>
      <c r="AB117" s="15">
        <f t="shared" si="134"/>
        <v>1.0357142857142858</v>
      </c>
      <c r="AC117" s="15" t="e">
        <f t="shared" si="134"/>
        <v>#REF!</v>
      </c>
      <c r="AD117" s="20">
        <f t="shared" si="79"/>
        <v>3.7933924396807094E-3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>
        <f>V117/J117</f>
        <v>1.0001891508030156</v>
      </c>
      <c r="AY117" s="15">
        <f t="shared" si="136"/>
        <v>1.0357142857142858</v>
      </c>
      <c r="AZ117" s="15">
        <f t="shared" si="137"/>
        <v>3.7041255488414562</v>
      </c>
      <c r="BA117" s="15"/>
      <c r="BB117" s="15"/>
      <c r="BC117" s="15"/>
      <c r="BD117" s="1">
        <f t="shared" si="84"/>
        <v>0</v>
      </c>
    </row>
    <row r="118" spans="1:56" ht="15.75" thickBot="1" x14ac:dyDescent="0.25">
      <c r="A118" s="13"/>
      <c r="B118" s="8" t="s">
        <v>35</v>
      </c>
      <c r="C118" s="39">
        <v>22</v>
      </c>
      <c r="D118" s="55">
        <v>2025.35</v>
      </c>
      <c r="E118" s="55">
        <v>42.6081</v>
      </c>
      <c r="F118" s="55">
        <v>44.563800000000001</v>
      </c>
      <c r="G118" s="55">
        <v>45.7455</v>
      </c>
      <c r="H118" s="55">
        <v>0.99617489999999997</v>
      </c>
      <c r="I118" s="55">
        <v>0.99600900000000003</v>
      </c>
      <c r="J118" s="55">
        <v>0.99699459999999995</v>
      </c>
      <c r="K118" s="55">
        <v>163.12200000000001</v>
      </c>
      <c r="L118" s="55">
        <v>0.19</v>
      </c>
      <c r="M118" s="10" t="e">
        <f>#REF!</f>
        <v>#REF!</v>
      </c>
      <c r="N118" s="11">
        <f t="shared" si="76"/>
        <v>4.5311666666666674E-2</v>
      </c>
      <c r="P118" s="60">
        <v>2042.85</v>
      </c>
      <c r="Q118" s="60">
        <v>42.642899999999997</v>
      </c>
      <c r="R118" s="60">
        <v>44.516199999999998</v>
      </c>
      <c r="S118" s="60">
        <v>45.809600000000003</v>
      </c>
      <c r="T118" s="60">
        <v>0.99621459999999995</v>
      </c>
      <c r="U118" s="60">
        <v>0.99598719999999996</v>
      </c>
      <c r="V118" s="60">
        <v>0.99694059999999995</v>
      </c>
      <c r="W118" s="60">
        <v>282.495</v>
      </c>
      <c r="X118" s="60">
        <v>0.16600000000000001</v>
      </c>
      <c r="Y118" s="10" t="e">
        <f>#REF!</f>
        <v>#REF!</v>
      </c>
      <c r="Z118" s="11">
        <f t="shared" si="77"/>
        <v>7.8470833333333337E-2</v>
      </c>
      <c r="AA118" s="10">
        <f t="shared" si="78"/>
        <v>1.7318019641740536</v>
      </c>
      <c r="AB118" s="15">
        <f t="shared" si="134"/>
        <v>0.87368421052631584</v>
      </c>
      <c r="AC118" s="15" t="e">
        <f t="shared" si="134"/>
        <v>#REF!</v>
      </c>
      <c r="AD118" s="11">
        <f t="shared" si="79"/>
        <v>8.640481892018664E-3</v>
      </c>
      <c r="AE118" s="12"/>
      <c r="AF118" s="25">
        <f t="shared" ref="AF118:AK118" si="138">bdRateExtend($D118:$D122,E118:E122,$P118:$P122,Q118:Q122)</f>
        <v>-1.9793259524079065E-3</v>
      </c>
      <c r="AG118" s="30">
        <f t="shared" si="138"/>
        <v>4.2420442009618586E-3</v>
      </c>
      <c r="AH118" s="31">
        <f t="shared" si="138"/>
        <v>-9.4385530031261267E-3</v>
      </c>
      <c r="AI118" s="25">
        <f t="shared" si="138"/>
        <v>-2.8458263847539467E-3</v>
      </c>
      <c r="AJ118" s="30">
        <f t="shared" si="138"/>
        <v>-1.4975736034528842E-2</v>
      </c>
      <c r="AK118" s="30">
        <f t="shared" si="138"/>
        <v>-6.4163957955920559E-4</v>
      </c>
      <c r="AL118" s="45"/>
      <c r="AM118" s="46"/>
      <c r="AN118" s="47"/>
      <c r="AO118" s="46"/>
      <c r="AP118" s="46"/>
      <c r="AQ118" s="47"/>
      <c r="AR118" s="30">
        <f t="shared" ref="AR118:AW118" si="139">bdrate($D118:$D121,E118:E121,$P118:$P121,Q118:Q121)</f>
        <v>-7.6613665499014605E-4</v>
      </c>
      <c r="AS118" s="30">
        <f t="shared" si="139"/>
        <v>8.1038715450099108E-3</v>
      </c>
      <c r="AT118" s="31">
        <f t="shared" si="139"/>
        <v>-1.9371623685589201E-2</v>
      </c>
      <c r="AU118" s="25">
        <f t="shared" si="139"/>
        <v>-2.4208505069932551E-3</v>
      </c>
      <c r="AV118" s="30">
        <f t="shared" si="139"/>
        <v>1.2024807239810587E-2</v>
      </c>
      <c r="AW118" s="31">
        <f t="shared" si="139"/>
        <v>-6.0051885328679777E-2</v>
      </c>
      <c r="AX118" s="15"/>
      <c r="AY118" s="15"/>
      <c r="AZ118" s="15"/>
      <c r="BA118" s="15">
        <f>V118/J118</f>
        <v>0.99994583721917851</v>
      </c>
      <c r="BB118" s="15">
        <f t="shared" ref="BB118:BB121" si="140">X118/L118</f>
        <v>0.87368421052631584</v>
      </c>
      <c r="BC118" s="15">
        <f t="shared" si="133"/>
        <v>1.7318019641740536</v>
      </c>
      <c r="BD118" s="1">
        <f t="shared" si="84"/>
        <v>1</v>
      </c>
    </row>
    <row r="119" spans="1:56" ht="15.75" thickBot="1" x14ac:dyDescent="0.25">
      <c r="A119" s="13"/>
      <c r="B119" s="13"/>
      <c r="C119" s="43">
        <v>27</v>
      </c>
      <c r="D119" s="55">
        <v>1106.8499999999999</v>
      </c>
      <c r="E119" s="55">
        <v>39.372199999999999</v>
      </c>
      <c r="F119" s="55">
        <v>41.816099999999999</v>
      </c>
      <c r="G119" s="55">
        <v>42.840200000000003</v>
      </c>
      <c r="H119" s="55">
        <v>0.99081980000000003</v>
      </c>
      <c r="I119" s="55">
        <v>0.99245399999999995</v>
      </c>
      <c r="J119" s="55">
        <v>0.99405949999999998</v>
      </c>
      <c r="K119" s="55">
        <v>112.285</v>
      </c>
      <c r="L119" s="55">
        <v>0.14599999999999999</v>
      </c>
      <c r="M119" s="15" t="e">
        <f>#REF!</f>
        <v>#REF!</v>
      </c>
      <c r="N119" s="16">
        <f t="shared" si="76"/>
        <v>3.1190277777777775E-2</v>
      </c>
      <c r="P119" s="60">
        <v>1102.8</v>
      </c>
      <c r="Q119" s="60">
        <v>39.351999999999997</v>
      </c>
      <c r="R119" s="60">
        <v>41.889899999999997</v>
      </c>
      <c r="S119" s="60">
        <v>42.915799999999997</v>
      </c>
      <c r="T119" s="60">
        <v>0.99085719999999999</v>
      </c>
      <c r="U119" s="60">
        <v>0.9924423</v>
      </c>
      <c r="V119" s="60">
        <v>0.99402509999999999</v>
      </c>
      <c r="W119" s="60">
        <v>266.33600000000001</v>
      </c>
      <c r="X119" s="60">
        <v>0.14000000000000001</v>
      </c>
      <c r="Y119" s="15" t="e">
        <f>#REF!</f>
        <v>#REF!</v>
      </c>
      <c r="Z119" s="16">
        <f t="shared" si="77"/>
        <v>7.3982222222222227E-2</v>
      </c>
      <c r="AA119" s="10">
        <f t="shared" si="78"/>
        <v>2.3719641982455362</v>
      </c>
      <c r="AB119" s="15">
        <f t="shared" si="134"/>
        <v>0.95890410958904126</v>
      </c>
      <c r="AC119" s="15" t="e">
        <f t="shared" si="134"/>
        <v>#REF!</v>
      </c>
      <c r="AD119" s="16">
        <f t="shared" si="79"/>
        <v>3.6590323892125897E-3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-3.4084143878899686E-3</v>
      </c>
      <c r="AM119" s="21">
        <f>bdrate($D119:$D122,F119:F122,$P119:$P122,R119:R122)</f>
        <v>1.7419338624786951E-2</v>
      </c>
      <c r="AN119" s="36">
        <f t="shared" ref="AN119" si="141">bdrate($D119:$D122,G119:G122,$P119:$P122,S119:S122)</f>
        <v>-9.8508927727186668E-3</v>
      </c>
      <c r="AO119" s="26">
        <f>bdrate($D119:$D122,H119:H122,$P119:$P122,T119:T122)</f>
        <v>-2.6360668624606509E-3</v>
      </c>
      <c r="AP119" s="21">
        <f>bdrate($D119:$D122,I119:I122,$P119:$P122,U119:U122)</f>
        <v>-1.5335689254442619E-2</v>
      </c>
      <c r="AQ119" s="36">
        <f>bdrate($D119:$D122,J119:J122,$P119:$P122,V119:V122)</f>
        <v>-8.019579915183872E-3</v>
      </c>
      <c r="AR119" s="21"/>
      <c r="AS119" s="21"/>
      <c r="AT119" s="36"/>
      <c r="AU119" s="26"/>
      <c r="AV119" s="21"/>
      <c r="AW119" s="36"/>
      <c r="AX119" s="15">
        <f>V119/J119</f>
        <v>0.99996539442558519</v>
      </c>
      <c r="AY119" s="15">
        <f t="shared" ref="AY119:AY122" si="142">X119/L119</f>
        <v>0.95890410958904126</v>
      </c>
      <c r="AZ119" s="15">
        <f t="shared" si="137"/>
        <v>2.3719641982455362</v>
      </c>
      <c r="BA119" s="15">
        <f>V119/J119</f>
        <v>0.99996539442558519</v>
      </c>
      <c r="BB119" s="15">
        <f t="shared" si="140"/>
        <v>0.95890410958904126</v>
      </c>
      <c r="BC119" s="15">
        <f t="shared" si="133"/>
        <v>2.3719641982455362</v>
      </c>
      <c r="BD119" s="1">
        <f t="shared" si="84"/>
        <v>0</v>
      </c>
    </row>
    <row r="120" spans="1:56" ht="15.75" thickBot="1" x14ac:dyDescent="0.25">
      <c r="A120" s="13"/>
      <c r="B120" s="13"/>
      <c r="C120" s="43">
        <v>32</v>
      </c>
      <c r="D120" s="55">
        <v>608.95000000000005</v>
      </c>
      <c r="E120" s="55">
        <v>36.406199999999998</v>
      </c>
      <c r="F120" s="55">
        <v>39.645299999999999</v>
      </c>
      <c r="G120" s="55">
        <v>40.228000000000002</v>
      </c>
      <c r="H120" s="55">
        <v>0.98012129999999997</v>
      </c>
      <c r="I120" s="55">
        <v>0.98676609999999998</v>
      </c>
      <c r="J120" s="55">
        <v>0.98758400000000002</v>
      </c>
      <c r="K120" s="55">
        <v>71.325999999999993</v>
      </c>
      <c r="L120" s="55">
        <v>0.122</v>
      </c>
      <c r="M120" s="15" t="e">
        <f>#REF!</f>
        <v>#REF!</v>
      </c>
      <c r="N120" s="16">
        <f t="shared" si="76"/>
        <v>1.9812777777777776E-2</v>
      </c>
      <c r="P120" s="60">
        <v>604.1</v>
      </c>
      <c r="Q120" s="60">
        <v>36.382800000000003</v>
      </c>
      <c r="R120" s="60">
        <v>39.449399999999997</v>
      </c>
      <c r="S120" s="60">
        <v>40.339500000000001</v>
      </c>
      <c r="T120" s="60">
        <v>0.97998470000000004</v>
      </c>
      <c r="U120" s="60">
        <v>0.98620229999999998</v>
      </c>
      <c r="V120" s="60">
        <v>0.98904020000000004</v>
      </c>
      <c r="W120" s="60">
        <v>216.45</v>
      </c>
      <c r="X120" s="60">
        <v>0.126</v>
      </c>
      <c r="Y120" s="15" t="e">
        <f>#REF!</f>
        <v>#REF!</v>
      </c>
      <c r="Z120" s="16">
        <f t="shared" si="77"/>
        <v>6.0124999999999998E-2</v>
      </c>
      <c r="AA120" s="10">
        <f t="shared" si="78"/>
        <v>3.034657768555646</v>
      </c>
      <c r="AB120" s="15">
        <f t="shared" si="134"/>
        <v>1.0327868852459017</v>
      </c>
      <c r="AC120" s="15" t="e">
        <f t="shared" si="134"/>
        <v>#REF!</v>
      </c>
      <c r="AD120" s="16">
        <f t="shared" si="79"/>
        <v>7.9645291074801252E-3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>
        <f>V120/J120</f>
        <v>1.0014745074849329</v>
      </c>
      <c r="AY120" s="15">
        <f t="shared" si="142"/>
        <v>1.0327868852459017</v>
      </c>
      <c r="AZ120" s="15">
        <f t="shared" si="137"/>
        <v>3.034657768555646</v>
      </c>
      <c r="BA120" s="15">
        <f>V120/J120</f>
        <v>1.0014745074849329</v>
      </c>
      <c r="BB120" s="15">
        <f t="shared" si="140"/>
        <v>1.0327868852459017</v>
      </c>
      <c r="BC120" s="15">
        <f t="shared" si="133"/>
        <v>3.034657768555646</v>
      </c>
      <c r="BD120" s="1">
        <f t="shared" si="84"/>
        <v>0</v>
      </c>
    </row>
    <row r="121" spans="1:56" ht="15.75" thickBot="1" x14ac:dyDescent="0.25">
      <c r="A121" s="13"/>
      <c r="B121" s="13"/>
      <c r="C121" s="43">
        <v>37</v>
      </c>
      <c r="D121" s="55">
        <v>352.45</v>
      </c>
      <c r="E121" s="55">
        <v>33.764699999999998</v>
      </c>
      <c r="F121" s="55">
        <v>37.900799999999997</v>
      </c>
      <c r="G121" s="55">
        <v>38.3431</v>
      </c>
      <c r="H121" s="55">
        <v>0.96252890000000002</v>
      </c>
      <c r="I121" s="55">
        <v>0.9792071</v>
      </c>
      <c r="J121" s="55">
        <v>0.98224630000000002</v>
      </c>
      <c r="K121" s="55">
        <v>40.923999999999999</v>
      </c>
      <c r="L121" s="55">
        <v>0.11700000000000001</v>
      </c>
      <c r="M121" s="15" t="e">
        <f>#REF!</f>
        <v>#REF!</v>
      </c>
      <c r="N121" s="16">
        <f t="shared" si="76"/>
        <v>1.1367777777777777E-2</v>
      </c>
      <c r="P121" s="60">
        <v>352.3</v>
      </c>
      <c r="Q121" s="60">
        <v>33.767499999999998</v>
      </c>
      <c r="R121" s="60">
        <v>37.911299999999997</v>
      </c>
      <c r="S121" s="60">
        <v>38.276699999999998</v>
      </c>
      <c r="T121" s="60">
        <v>0.9625281</v>
      </c>
      <c r="U121" s="60">
        <v>0.98009809999999997</v>
      </c>
      <c r="V121" s="60">
        <v>0.98150099999999996</v>
      </c>
      <c r="W121" s="60">
        <v>151.672</v>
      </c>
      <c r="X121" s="60">
        <v>0.11700000000000001</v>
      </c>
      <c r="Y121" s="15" t="e">
        <f>#REF!</f>
        <v>#REF!</v>
      </c>
      <c r="Z121" s="16">
        <f t="shared" si="77"/>
        <v>4.2131111111111112E-2</v>
      </c>
      <c r="AA121" s="10">
        <f t="shared" si="78"/>
        <v>3.7061870784869515</v>
      </c>
      <c r="AB121" s="15">
        <f t="shared" si="134"/>
        <v>1</v>
      </c>
      <c r="AC121" s="15" t="e">
        <f t="shared" si="134"/>
        <v>#REF!</v>
      </c>
      <c r="AD121" s="16">
        <f t="shared" si="79"/>
        <v>4.2559228259321112E-4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>
        <f>V121/J121</f>
        <v>0.99924122900742918</v>
      </c>
      <c r="AY121" s="15">
        <f t="shared" si="142"/>
        <v>1</v>
      </c>
      <c r="AZ121" s="15">
        <f t="shared" si="137"/>
        <v>3.7061870784869519</v>
      </c>
      <c r="BA121" s="15">
        <f>V121/J121</f>
        <v>0.99924122900742918</v>
      </c>
      <c r="BB121" s="15">
        <f t="shared" si="140"/>
        <v>1</v>
      </c>
      <c r="BC121" s="15">
        <f t="shared" si="133"/>
        <v>3.7061870784869519</v>
      </c>
      <c r="BD121" s="1">
        <f t="shared" si="84"/>
        <v>0</v>
      </c>
    </row>
    <row r="122" spans="1:56" ht="15.75" thickBot="1" x14ac:dyDescent="0.25">
      <c r="A122" s="13"/>
      <c r="B122" s="17"/>
      <c r="C122" s="44">
        <v>42</v>
      </c>
      <c r="D122" s="55">
        <v>200</v>
      </c>
      <c r="E122" s="55">
        <v>30.876999999999999</v>
      </c>
      <c r="F122" s="55">
        <v>36.096699999999998</v>
      </c>
      <c r="G122" s="55">
        <v>36.253599999999999</v>
      </c>
      <c r="H122" s="55">
        <v>0.93129340000000005</v>
      </c>
      <c r="I122" s="55">
        <v>0.96917889999999995</v>
      </c>
      <c r="J122" s="55">
        <v>0.96975500000000003</v>
      </c>
      <c r="K122" s="55">
        <v>22.529</v>
      </c>
      <c r="L122" s="55">
        <v>0.112</v>
      </c>
      <c r="M122" s="19" t="e">
        <f>#REF!</f>
        <v>#REF!</v>
      </c>
      <c r="N122" s="20">
        <f t="shared" si="76"/>
        <v>6.2580555555555558E-3</v>
      </c>
      <c r="P122" s="60">
        <v>197.35</v>
      </c>
      <c r="Q122" s="60">
        <v>30.8842</v>
      </c>
      <c r="R122" s="60">
        <v>36.028500000000001</v>
      </c>
      <c r="S122" s="60">
        <v>36.142099999999999</v>
      </c>
      <c r="T122" s="60">
        <v>0.93084739999999999</v>
      </c>
      <c r="U122" s="60">
        <v>0.96856089999999995</v>
      </c>
      <c r="V122" s="60">
        <v>0.96947760000000005</v>
      </c>
      <c r="W122" s="60">
        <v>106.48099999999999</v>
      </c>
      <c r="X122" s="60">
        <v>0.128</v>
      </c>
      <c r="Y122" s="19" t="e">
        <f>#REF!</f>
        <v>#REF!</v>
      </c>
      <c r="Z122" s="20">
        <f t="shared" si="77"/>
        <v>2.9578055555555555E-2</v>
      </c>
      <c r="AA122" s="10">
        <f t="shared" si="78"/>
        <v>4.7263970881974338</v>
      </c>
      <c r="AB122" s="15">
        <f t="shared" si="134"/>
        <v>1.1428571428571428</v>
      </c>
      <c r="AC122" s="15" t="e">
        <f t="shared" si="134"/>
        <v>#REF!</v>
      </c>
      <c r="AD122" s="20">
        <f t="shared" si="79"/>
        <v>1.3250000000000029E-2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>
        <f>V122/J122</f>
        <v>0.99971394836840233</v>
      </c>
      <c r="AY122" s="15">
        <f t="shared" si="142"/>
        <v>1.1428571428571428</v>
      </c>
      <c r="AZ122" s="15">
        <f t="shared" si="137"/>
        <v>4.7263970881974346</v>
      </c>
      <c r="BA122" s="15"/>
      <c r="BB122" s="15"/>
      <c r="BC122" s="15"/>
      <c r="BD122" s="1">
        <f t="shared" si="84"/>
        <v>0</v>
      </c>
    </row>
    <row r="123" spans="1:56" ht="15.75" thickBot="1" x14ac:dyDescent="0.25">
      <c r="A123" s="13"/>
      <c r="B123" s="8" t="s">
        <v>36</v>
      </c>
      <c r="C123" s="39">
        <v>22</v>
      </c>
      <c r="D123" s="55">
        <v>3163.41</v>
      </c>
      <c r="E123" s="55">
        <v>48.1145</v>
      </c>
      <c r="F123" s="55">
        <v>46.468200000000003</v>
      </c>
      <c r="G123" s="55">
        <v>47.260100000000001</v>
      </c>
      <c r="H123" s="55">
        <v>0.99968869999999999</v>
      </c>
      <c r="I123" s="55">
        <v>0.99663919999999995</v>
      </c>
      <c r="J123" s="55">
        <v>0.99756400000000001</v>
      </c>
      <c r="K123" s="55">
        <v>210.18899999999999</v>
      </c>
      <c r="L123" s="55">
        <v>0.214</v>
      </c>
      <c r="M123" s="10" t="e">
        <f>#REF!</f>
        <v>#REF!</v>
      </c>
      <c r="N123" s="11">
        <f t="shared" si="76"/>
        <v>5.8385833333333331E-2</v>
      </c>
      <c r="P123" s="60">
        <v>3159.27</v>
      </c>
      <c r="Q123" s="60">
        <v>48.087600000000002</v>
      </c>
      <c r="R123" s="60">
        <v>46.455599999999997</v>
      </c>
      <c r="S123" s="60">
        <v>47.279000000000003</v>
      </c>
      <c r="T123" s="60">
        <v>0.9996853</v>
      </c>
      <c r="U123" s="60">
        <v>0.99664839999999999</v>
      </c>
      <c r="V123" s="60">
        <v>0.99755110000000002</v>
      </c>
      <c r="W123" s="60">
        <v>488.93700000000001</v>
      </c>
      <c r="X123" s="60">
        <v>0.214</v>
      </c>
      <c r="Y123" s="10" t="e">
        <f>#REF!</f>
        <v>#REF!</v>
      </c>
      <c r="Z123" s="11">
        <f t="shared" si="77"/>
        <v>0.13581583333333333</v>
      </c>
      <c r="AA123" s="10">
        <f t="shared" si="78"/>
        <v>2.326177868489788</v>
      </c>
      <c r="AB123" s="15">
        <f t="shared" si="134"/>
        <v>1</v>
      </c>
      <c r="AC123" s="15" t="e">
        <f t="shared" si="134"/>
        <v>#REF!</v>
      </c>
      <c r="AD123" s="11">
        <f t="shared" si="79"/>
        <v>1.3087143304218779E-3</v>
      </c>
      <c r="AE123" s="12"/>
      <c r="AF123" s="25">
        <f t="shared" ref="AF123:AK123" si="143">bdRateExtend($D123:$D127,E123:E127,$P123:$P127,Q123:Q127)</f>
        <v>-2.3989182919195162E-3</v>
      </c>
      <c r="AG123" s="30">
        <f t="shared" si="143"/>
        <v>-3.8765561507985158E-3</v>
      </c>
      <c r="AH123" s="31">
        <f t="shared" si="143"/>
        <v>-4.865117971985744E-3</v>
      </c>
      <c r="AI123" s="25">
        <f t="shared" si="143"/>
        <v>-2.221721386945763E-3</v>
      </c>
      <c r="AJ123" s="30">
        <f t="shared" si="143"/>
        <v>-1.3887789455637956E-2</v>
      </c>
      <c r="AK123" s="30">
        <f t="shared" si="143"/>
        <v>-5.0814724960505098E-3</v>
      </c>
      <c r="AL123" s="26"/>
      <c r="AM123" s="21"/>
      <c r="AN123" s="36"/>
      <c r="AO123" s="21"/>
      <c r="AP123" s="21"/>
      <c r="AQ123" s="36"/>
      <c r="AR123" s="30">
        <f t="shared" ref="AR123:AW123" si="144">bdrate($D123:$D126,E123:E126,$P123:$P126,Q123:Q126)</f>
        <v>-2.1999067155442642E-3</v>
      </c>
      <c r="AS123" s="30">
        <f t="shared" si="144"/>
        <v>-2.4678189205228351E-3</v>
      </c>
      <c r="AT123" s="31">
        <f t="shared" si="144"/>
        <v>-7.3921042146595228E-3</v>
      </c>
      <c r="AU123" s="25">
        <f t="shared" si="144"/>
        <v>-1.7232010957158872E-3</v>
      </c>
      <c r="AV123" s="30">
        <f t="shared" si="144"/>
        <v>-1.2630629419357553E-2</v>
      </c>
      <c r="AW123" s="31">
        <f t="shared" si="144"/>
        <v>-1.7043701462859939E-2</v>
      </c>
      <c r="AX123" s="15"/>
      <c r="AY123" s="15"/>
      <c r="AZ123" s="15"/>
      <c r="BA123" s="15">
        <f>V123/J123</f>
        <v>0.99998706849886321</v>
      </c>
      <c r="BB123" s="15">
        <f t="shared" ref="BB123:BB126" si="145">X123/L123</f>
        <v>1</v>
      </c>
      <c r="BC123" s="15">
        <f t="shared" si="133"/>
        <v>2.3261778684897876</v>
      </c>
      <c r="BD123" s="1">
        <f t="shared" si="84"/>
        <v>1</v>
      </c>
    </row>
    <row r="124" spans="1:56" ht="15.75" thickBot="1" x14ac:dyDescent="0.25">
      <c r="A124" s="13"/>
      <c r="B124" s="13"/>
      <c r="C124" s="43">
        <v>27</v>
      </c>
      <c r="D124" s="55">
        <v>2318.61</v>
      </c>
      <c r="E124" s="55">
        <v>44.007800000000003</v>
      </c>
      <c r="F124" s="55">
        <v>42.647500000000001</v>
      </c>
      <c r="G124" s="55">
        <v>44.015700000000002</v>
      </c>
      <c r="H124" s="55">
        <v>0.99934040000000002</v>
      </c>
      <c r="I124" s="55">
        <v>0.99181269999999999</v>
      </c>
      <c r="J124" s="55">
        <v>0.99457969999999996</v>
      </c>
      <c r="K124" s="55">
        <v>168.88</v>
      </c>
      <c r="L124" s="55">
        <v>0.19700000000000001</v>
      </c>
      <c r="M124" s="15" t="e">
        <f>#REF!</f>
        <v>#REF!</v>
      </c>
      <c r="N124" s="16">
        <f t="shared" si="76"/>
        <v>4.6911111111111112E-2</v>
      </c>
      <c r="P124" s="60">
        <v>2311.8000000000002</v>
      </c>
      <c r="Q124" s="60">
        <v>44.053100000000001</v>
      </c>
      <c r="R124" s="60">
        <v>42.6706</v>
      </c>
      <c r="S124" s="60">
        <v>44.08</v>
      </c>
      <c r="T124" s="60">
        <v>0.9993533</v>
      </c>
      <c r="U124" s="60">
        <v>0.99191019999999996</v>
      </c>
      <c r="V124" s="60">
        <v>0.9948167</v>
      </c>
      <c r="W124" s="60">
        <v>431.012</v>
      </c>
      <c r="X124" s="60">
        <v>0.19400000000000001</v>
      </c>
      <c r="Y124" s="15" t="e">
        <f>#REF!</f>
        <v>#REF!</v>
      </c>
      <c r="Z124" s="16">
        <f t="shared" si="77"/>
        <v>0.11972555555555556</v>
      </c>
      <c r="AA124" s="10">
        <f t="shared" si="78"/>
        <v>2.552179062055898</v>
      </c>
      <c r="AB124" s="15">
        <f t="shared" si="134"/>
        <v>0.98477157360406087</v>
      </c>
      <c r="AC124" s="15" t="e">
        <f t="shared" si="134"/>
        <v>#REF!</v>
      </c>
      <c r="AD124" s="16">
        <f t="shared" si="79"/>
        <v>2.9371045583344957E-3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-1.6894031286563971E-3</v>
      </c>
      <c r="AM124" s="21">
        <f>bdrate($D124:$D127,F124:F127,$P124:$P127,R124:R127)</f>
        <v>-3.9090668332630862E-3</v>
      </c>
      <c r="AN124" s="36">
        <f t="shared" ref="AN124" si="146">bdrate($D124:$D127,G124:G127,$P124:$P127,S124:S127)</f>
        <v>-2.5577681347274117E-3</v>
      </c>
      <c r="AO124" s="26">
        <f>bdrate($D124:$D127,H124:H127,$P124:$P127,T124:T127)</f>
        <v>-2.016952266395089E-3</v>
      </c>
      <c r="AP124" s="21">
        <f>bdrate($D124:$D127,I124:I127,$P124:$P127,U124:U127)</f>
        <v>-1.5659922839830864E-2</v>
      </c>
      <c r="AQ124" s="36">
        <f>bdrate($D124:$D127,J124:J127,$P124:$P127,V124:V127)</f>
        <v>-2.5592147394312148E-3</v>
      </c>
      <c r="AR124" s="21"/>
      <c r="AS124" s="21"/>
      <c r="AT124" s="36"/>
      <c r="AU124" s="26"/>
      <c r="AV124" s="21"/>
      <c r="AW124" s="36"/>
      <c r="AX124" s="15">
        <f>V124/J124</f>
        <v>1.0002382916120247</v>
      </c>
      <c r="AY124" s="15">
        <f t="shared" ref="AY124:AY127" si="147">X124/L124</f>
        <v>0.98477157360406087</v>
      </c>
      <c r="AZ124" s="15">
        <f t="shared" si="137"/>
        <v>2.5521790620558975</v>
      </c>
      <c r="BA124" s="15">
        <f>V124/J124</f>
        <v>1.0002382916120247</v>
      </c>
      <c r="BB124" s="15">
        <f t="shared" si="145"/>
        <v>0.98477157360406087</v>
      </c>
      <c r="BC124" s="15">
        <f t="shared" si="133"/>
        <v>2.5521790620558975</v>
      </c>
      <c r="BD124" s="1">
        <f t="shared" si="84"/>
        <v>0</v>
      </c>
    </row>
    <row r="125" spans="1:56" ht="15.75" thickBot="1" x14ac:dyDescent="0.25">
      <c r="A125" s="13"/>
      <c r="B125" s="13"/>
      <c r="C125" s="43">
        <v>32</v>
      </c>
      <c r="D125" s="55">
        <v>1738.71</v>
      </c>
      <c r="E125" s="55">
        <v>40.036099999999998</v>
      </c>
      <c r="F125" s="55">
        <v>41.477800000000002</v>
      </c>
      <c r="G125" s="55">
        <v>42.627899999999997</v>
      </c>
      <c r="H125" s="55">
        <v>0.99850280000000002</v>
      </c>
      <c r="I125" s="55">
        <v>0.98815960000000003</v>
      </c>
      <c r="J125" s="55">
        <v>0.99222750000000004</v>
      </c>
      <c r="K125" s="55">
        <v>129.71</v>
      </c>
      <c r="L125" s="55">
        <v>0.2</v>
      </c>
      <c r="M125" s="15" t="e">
        <f>#REF!</f>
        <v>#REF!</v>
      </c>
      <c r="N125" s="16">
        <f t="shared" si="76"/>
        <v>3.6030555555555559E-2</v>
      </c>
      <c r="P125" s="60">
        <v>1740.33</v>
      </c>
      <c r="Q125" s="60">
        <v>40.047400000000003</v>
      </c>
      <c r="R125" s="60">
        <v>41.457299999999996</v>
      </c>
      <c r="S125" s="60">
        <v>42.680999999999997</v>
      </c>
      <c r="T125" s="60">
        <v>0.99851849999999998</v>
      </c>
      <c r="U125" s="60">
        <v>0.98839829999999995</v>
      </c>
      <c r="V125" s="60">
        <v>0.99255110000000002</v>
      </c>
      <c r="W125" s="60">
        <v>397.79</v>
      </c>
      <c r="X125" s="60">
        <v>0.17299999999999999</v>
      </c>
      <c r="Y125" s="15" t="e">
        <f>#REF!</f>
        <v>#REF!</v>
      </c>
      <c r="Z125" s="16">
        <f t="shared" si="77"/>
        <v>0.11049722222222223</v>
      </c>
      <c r="AA125" s="10">
        <f t="shared" si="78"/>
        <v>3.0667643204070618</v>
      </c>
      <c r="AB125" s="15">
        <f t="shared" si="134"/>
        <v>0.86499999999999988</v>
      </c>
      <c r="AC125" s="15" t="e">
        <f t="shared" si="134"/>
        <v>#REF!</v>
      </c>
      <c r="AD125" s="16">
        <f t="shared" si="79"/>
        <v>9.3172524457781395E-4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>
        <f>V125/J125</f>
        <v>1.000326134883381</v>
      </c>
      <c r="AY125" s="15">
        <f t="shared" si="147"/>
        <v>0.86499999999999988</v>
      </c>
      <c r="AZ125" s="15">
        <f t="shared" si="137"/>
        <v>3.0667643204070618</v>
      </c>
      <c r="BA125" s="15">
        <f>V125/J125</f>
        <v>1.000326134883381</v>
      </c>
      <c r="BB125" s="15">
        <f t="shared" si="145"/>
        <v>0.86499999999999988</v>
      </c>
      <c r="BC125" s="15">
        <f t="shared" si="133"/>
        <v>3.0667643204070618</v>
      </c>
      <c r="BD125" s="1">
        <f t="shared" si="84"/>
        <v>0</v>
      </c>
    </row>
    <row r="126" spans="1:56" ht="15.75" thickBot="1" x14ac:dyDescent="0.25">
      <c r="A126" s="13"/>
      <c r="B126" s="13"/>
      <c r="C126" s="43">
        <v>37</v>
      </c>
      <c r="D126" s="55">
        <v>1309.1400000000001</v>
      </c>
      <c r="E126" s="55">
        <v>35.3596</v>
      </c>
      <c r="F126" s="55">
        <v>38.0002</v>
      </c>
      <c r="G126" s="55">
        <v>39.411499999999997</v>
      </c>
      <c r="H126" s="55">
        <v>0.99601899999999999</v>
      </c>
      <c r="I126" s="55">
        <v>0.97571419999999998</v>
      </c>
      <c r="J126" s="55">
        <v>0.9844193</v>
      </c>
      <c r="K126" s="55">
        <v>126.825</v>
      </c>
      <c r="L126" s="55">
        <v>0.16</v>
      </c>
      <c r="M126" s="15" t="e">
        <f>#REF!</f>
        <v>#REF!</v>
      </c>
      <c r="N126" s="16">
        <f t="shared" si="76"/>
        <v>3.5229166666666666E-2</v>
      </c>
      <c r="P126" s="60">
        <v>1305.8699999999999</v>
      </c>
      <c r="Q126" s="60">
        <v>35.337699999999998</v>
      </c>
      <c r="R126" s="60">
        <v>38.089399999999998</v>
      </c>
      <c r="S126" s="60">
        <v>39.430799999999998</v>
      </c>
      <c r="T126" s="60">
        <v>0.99594249999999995</v>
      </c>
      <c r="U126" s="60">
        <v>0.97700609999999999</v>
      </c>
      <c r="V126" s="60">
        <v>0.98459470000000004</v>
      </c>
      <c r="W126" s="60">
        <v>379.14100000000002</v>
      </c>
      <c r="X126" s="60">
        <v>0.23100000000000001</v>
      </c>
      <c r="Y126" s="15" t="e">
        <f>#REF!</f>
        <v>#REF!</v>
      </c>
      <c r="Z126" s="16">
        <f t="shared" si="77"/>
        <v>0.10531694444444445</v>
      </c>
      <c r="AA126" s="10">
        <f t="shared" si="78"/>
        <v>2.9894815690912675</v>
      </c>
      <c r="AB126" s="15">
        <f t="shared" si="134"/>
        <v>1.4437500000000001</v>
      </c>
      <c r="AC126" s="15" t="e">
        <f t="shared" si="134"/>
        <v>#REF!</v>
      </c>
      <c r="AD126" s="16">
        <f t="shared" si="79"/>
        <v>2.4978229983043899E-3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>
        <f>V126/J126</f>
        <v>1.0001781761084936</v>
      </c>
      <c r="AY126" s="15">
        <f t="shared" si="147"/>
        <v>1.4437500000000001</v>
      </c>
      <c r="AZ126" s="15">
        <f t="shared" si="137"/>
        <v>2.9894815690912675</v>
      </c>
      <c r="BA126" s="15">
        <f>V126/J126</f>
        <v>1.0001781761084936</v>
      </c>
      <c r="BB126" s="15">
        <f t="shared" si="145"/>
        <v>1.4437500000000001</v>
      </c>
      <c r="BC126" s="15">
        <f t="shared" si="133"/>
        <v>2.9894815690912675</v>
      </c>
      <c r="BD126" s="1">
        <f t="shared" si="84"/>
        <v>0</v>
      </c>
    </row>
    <row r="127" spans="1:56" ht="15.75" thickBot="1" x14ac:dyDescent="0.25">
      <c r="A127" s="13"/>
      <c r="B127" s="17"/>
      <c r="C127" s="44">
        <v>42</v>
      </c>
      <c r="D127" s="55">
        <v>952.92</v>
      </c>
      <c r="E127" s="55">
        <v>30.5686</v>
      </c>
      <c r="F127" s="55">
        <v>37.146500000000003</v>
      </c>
      <c r="G127" s="55">
        <v>38.102899999999998</v>
      </c>
      <c r="H127" s="55">
        <v>0.9885275</v>
      </c>
      <c r="I127" s="55">
        <v>0.96999820000000003</v>
      </c>
      <c r="J127" s="55">
        <v>0.97883149999999997</v>
      </c>
      <c r="K127" s="55">
        <v>105.218</v>
      </c>
      <c r="L127" s="55">
        <v>0.156</v>
      </c>
      <c r="M127" s="19" t="e">
        <f>#REF!</f>
        <v>#REF!</v>
      </c>
      <c r="N127" s="20">
        <f t="shared" si="76"/>
        <v>2.9227222222222224E-2</v>
      </c>
      <c r="P127" s="60">
        <v>951.39</v>
      </c>
      <c r="Q127" s="60">
        <v>30.612200000000001</v>
      </c>
      <c r="R127" s="60">
        <v>37.049100000000003</v>
      </c>
      <c r="S127" s="60">
        <v>37.913699999999999</v>
      </c>
      <c r="T127" s="60">
        <v>0.98879150000000005</v>
      </c>
      <c r="U127" s="60">
        <v>0.96801479999999995</v>
      </c>
      <c r="V127" s="60">
        <v>0.9769909</v>
      </c>
      <c r="W127" s="60">
        <v>359.87299999999999</v>
      </c>
      <c r="X127" s="60">
        <v>0.17899999999999999</v>
      </c>
      <c r="Y127" s="19" t="e">
        <f>#REF!</f>
        <v>#REF!</v>
      </c>
      <c r="Z127" s="20">
        <f t="shared" si="77"/>
        <v>9.9964722222222219E-2</v>
      </c>
      <c r="AA127" s="10">
        <f t="shared" si="78"/>
        <v>3.4202607918797163</v>
      </c>
      <c r="AB127" s="15">
        <f t="shared" si="134"/>
        <v>1.1474358974358974</v>
      </c>
      <c r="AC127" s="15" t="e">
        <f t="shared" si="134"/>
        <v>#REF!</v>
      </c>
      <c r="AD127" s="20">
        <f t="shared" si="79"/>
        <v>1.6055912353607573E-3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>
        <f>V127/J127</f>
        <v>0.99811959463911826</v>
      </c>
      <c r="AY127" s="15">
        <f t="shared" si="147"/>
        <v>1.1474358974358974</v>
      </c>
      <c r="AZ127" s="15">
        <f t="shared" si="137"/>
        <v>3.4202607918797159</v>
      </c>
      <c r="BA127" s="15"/>
      <c r="BB127" s="15"/>
      <c r="BC127" s="15"/>
      <c r="BD127" s="1">
        <f t="shared" si="84"/>
        <v>0</v>
      </c>
    </row>
    <row r="128" spans="1:56" ht="15.75" thickBot="1" x14ac:dyDescent="0.25">
      <c r="A128" s="13"/>
      <c r="B128" s="8" t="s">
        <v>37</v>
      </c>
      <c r="C128" s="39">
        <v>22</v>
      </c>
      <c r="D128" s="55">
        <v>830.86</v>
      </c>
      <c r="E128" s="55">
        <v>48.371899999999997</v>
      </c>
      <c r="F128" s="55">
        <v>50.153500000000001</v>
      </c>
      <c r="G128" s="55">
        <v>51.168599999999998</v>
      </c>
      <c r="H128" s="55">
        <v>0.99875860000000005</v>
      </c>
      <c r="I128" s="55">
        <v>0.99879390000000001</v>
      </c>
      <c r="J128" s="55">
        <v>0.99891039999999998</v>
      </c>
      <c r="K128" s="55">
        <v>127.925</v>
      </c>
      <c r="L128" s="55">
        <v>0.16900000000000001</v>
      </c>
      <c r="M128" s="10" t="e">
        <f>#REF!</f>
        <v>#REF!</v>
      </c>
      <c r="N128" s="11">
        <f t="shared" si="76"/>
        <v>3.5534722222222224E-2</v>
      </c>
      <c r="P128" s="60">
        <v>831.7</v>
      </c>
      <c r="Q128" s="60">
        <v>48.421999999999997</v>
      </c>
      <c r="R128" s="60">
        <v>50.097200000000001</v>
      </c>
      <c r="S128" s="60">
        <v>51.310600000000001</v>
      </c>
      <c r="T128" s="60">
        <v>0.99877539999999998</v>
      </c>
      <c r="U128" s="60">
        <v>0.99882090000000001</v>
      </c>
      <c r="V128" s="60">
        <v>0.99895990000000001</v>
      </c>
      <c r="W128" s="60">
        <v>358.71199999999999</v>
      </c>
      <c r="X128" s="60">
        <v>0.20799999999999999</v>
      </c>
      <c r="Y128" s="10" t="e">
        <f>#REF!</f>
        <v>#REF!</v>
      </c>
      <c r="Z128" s="11">
        <f t="shared" si="77"/>
        <v>9.9642222222222215E-2</v>
      </c>
      <c r="AA128" s="10">
        <f t="shared" si="78"/>
        <v>2.8040805159273012</v>
      </c>
      <c r="AB128" s="15">
        <f t="shared" si="134"/>
        <v>1.2307692307692306</v>
      </c>
      <c r="AC128" s="15" t="e">
        <f t="shared" si="134"/>
        <v>#REF!</v>
      </c>
      <c r="AD128" s="11">
        <f t="shared" si="79"/>
        <v>1.0110006499290274E-3</v>
      </c>
      <c r="AE128" s="12"/>
      <c r="AF128" s="25">
        <f t="shared" ref="AF128:AK128" si="148">bdRateExtend($D128:$D132,E128:E132,$P128:$P132,Q128:Q132)</f>
        <v>-2.5594548751913804E-3</v>
      </c>
      <c r="AG128" s="30">
        <f t="shared" si="148"/>
        <v>-8.7895845153651564E-3</v>
      </c>
      <c r="AH128" s="31">
        <f t="shared" si="148"/>
        <v>1.2962078299540547E-2</v>
      </c>
      <c r="AI128" s="25">
        <f t="shared" si="148"/>
        <v>2.8186704745436497E-3</v>
      </c>
      <c r="AJ128" s="30">
        <f t="shared" si="148"/>
        <v>-1.9440999452569052E-3</v>
      </c>
      <c r="AK128" s="30">
        <f t="shared" si="148"/>
        <v>6.0146683924362954E-2</v>
      </c>
      <c r="AL128" s="45"/>
      <c r="AM128" s="46"/>
      <c r="AN128" s="47"/>
      <c r="AO128" s="46"/>
      <c r="AP128" s="46"/>
      <c r="AQ128" s="47"/>
      <c r="AR128" s="30">
        <f t="shared" ref="AR128:AW128" si="149">bdrate($D128:$D131,E128:E131,$P128:$P131,Q128:Q131)</f>
        <v>-1.4182357107842547E-3</v>
      </c>
      <c r="AS128" s="30">
        <f t="shared" si="149"/>
        <v>-3.2836021206631427E-3</v>
      </c>
      <c r="AT128" s="31">
        <f t="shared" si="149"/>
        <v>-3.7738587984159633E-4</v>
      </c>
      <c r="AU128" s="25">
        <f t="shared" si="149"/>
        <v>-1.0604267920166777E-3</v>
      </c>
      <c r="AV128" s="30">
        <f t="shared" si="149"/>
        <v>1.360885321910299E-2</v>
      </c>
      <c r="AW128" s="31">
        <f t="shared" si="149"/>
        <v>2.0124191756045295E-2</v>
      </c>
      <c r="AX128" s="15"/>
      <c r="AY128" s="15"/>
      <c r="AZ128" s="15"/>
      <c r="BA128" s="15">
        <f>V128/J128</f>
        <v>1.0000495539940319</v>
      </c>
      <c r="BB128" s="15">
        <f t="shared" ref="BB128:BB131" si="150">X128/L128</f>
        <v>1.2307692307692306</v>
      </c>
      <c r="BC128" s="15">
        <f t="shared" si="133"/>
        <v>2.8040805159273008</v>
      </c>
      <c r="BD128" s="1">
        <f t="shared" si="84"/>
        <v>1</v>
      </c>
    </row>
    <row r="129" spans="1:56" ht="15.75" thickBot="1" x14ac:dyDescent="0.25">
      <c r="A129" s="13"/>
      <c r="B129" s="13"/>
      <c r="C129" s="43">
        <v>27</v>
      </c>
      <c r="D129" s="55">
        <v>588.34</v>
      </c>
      <c r="E129" s="55">
        <v>45.082700000000003</v>
      </c>
      <c r="F129" s="55">
        <v>46.841099999999997</v>
      </c>
      <c r="G129" s="55">
        <v>48.142600000000002</v>
      </c>
      <c r="H129" s="55">
        <v>0.99735339999999995</v>
      </c>
      <c r="I129" s="55">
        <v>0.99746250000000003</v>
      </c>
      <c r="J129" s="55">
        <v>0.99792449999999999</v>
      </c>
      <c r="K129" s="55">
        <v>95.745999999999995</v>
      </c>
      <c r="L129" s="55">
        <v>0.16</v>
      </c>
      <c r="M129" s="15" t="e">
        <f>#REF!</f>
        <v>#REF!</v>
      </c>
      <c r="N129" s="16">
        <f t="shared" si="76"/>
        <v>2.6596111111111109E-2</v>
      </c>
      <c r="P129" s="60">
        <v>588.67999999999995</v>
      </c>
      <c r="Q129" s="60">
        <v>45.091700000000003</v>
      </c>
      <c r="R129" s="60">
        <v>46.953499999999998</v>
      </c>
      <c r="S129" s="60">
        <v>48.105699999999999</v>
      </c>
      <c r="T129" s="60">
        <v>0.99736139999999995</v>
      </c>
      <c r="U129" s="60">
        <v>0.99773060000000002</v>
      </c>
      <c r="V129" s="60">
        <v>0.99780760000000002</v>
      </c>
      <c r="W129" s="60">
        <v>308.99</v>
      </c>
      <c r="X129" s="60">
        <v>0.16800000000000001</v>
      </c>
      <c r="Y129" s="15" t="e">
        <f>#REF!</f>
        <v>#REF!</v>
      </c>
      <c r="Z129" s="16">
        <f t="shared" si="77"/>
        <v>8.5830555555555563E-2</v>
      </c>
      <c r="AA129" s="10">
        <f t="shared" si="78"/>
        <v>3.2271844254590274</v>
      </c>
      <c r="AB129" s="15">
        <f t="shared" si="134"/>
        <v>1.05</v>
      </c>
      <c r="AC129" s="15" t="e">
        <f t="shared" si="134"/>
        <v>#REF!</v>
      </c>
      <c r="AD129" s="16">
        <f t="shared" si="79"/>
        <v>5.7789713430995363E-4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-2.7226769041891474E-3</v>
      </c>
      <c r="AM129" s="21">
        <f>bdrate($D129:$D132,F129:F132,$P129:$P132,R129:R132)</f>
        <v>-8.2845788185791358E-3</v>
      </c>
      <c r="AN129" s="36">
        <f t="shared" ref="AN129" si="151">bdrate($D129:$D132,G129:G132,$P129:$P132,S129:S132)</f>
        <v>1.4096708973450278E-2</v>
      </c>
      <c r="AO129" s="26">
        <f>bdrate($D129:$D132,H129:H132,$P129:$P132,T129:T132)</f>
        <v>3.3249810841864402E-3</v>
      </c>
      <c r="AP129" s="21">
        <f>bdrate($D129:$D132,I129:I132,$P129:$P132,U129:U132)</f>
        <v>8.9499417048690688E-3</v>
      </c>
      <c r="AQ129" s="36">
        <f>bdrate($D129:$D132,J129:J132,$P129:$P132,V129:V132)</f>
        <v>6.6462772400122772E-2</v>
      </c>
      <c r="AR129" s="21"/>
      <c r="AS129" s="21"/>
      <c r="AT129" s="36"/>
      <c r="AU129" s="26"/>
      <c r="AV129" s="21"/>
      <c r="AW129" s="36"/>
      <c r="AX129" s="15">
        <f>V129/J129</f>
        <v>0.99988285686943257</v>
      </c>
      <c r="AY129" s="15">
        <f t="shared" ref="AY129:AY132" si="152">X129/L129</f>
        <v>1.05</v>
      </c>
      <c r="AZ129" s="15">
        <f t="shared" si="137"/>
        <v>3.2271844254590274</v>
      </c>
      <c r="BA129" s="15">
        <f>V129/J129</f>
        <v>0.99988285686943257</v>
      </c>
      <c r="BB129" s="15">
        <f t="shared" si="150"/>
        <v>1.05</v>
      </c>
      <c r="BC129" s="15">
        <f t="shared" si="133"/>
        <v>3.2271844254590274</v>
      </c>
      <c r="BD129" s="1">
        <f t="shared" si="84"/>
        <v>0</v>
      </c>
    </row>
    <row r="130" spans="1:56" ht="15.75" thickBot="1" x14ac:dyDescent="0.25">
      <c r="A130" s="13"/>
      <c r="B130" s="13"/>
      <c r="C130" s="43">
        <v>32</v>
      </c>
      <c r="D130" s="55">
        <v>432.76</v>
      </c>
      <c r="E130" s="55">
        <v>41.683500000000002</v>
      </c>
      <c r="F130" s="55">
        <v>44.2622</v>
      </c>
      <c r="G130" s="55">
        <v>45.218899999999998</v>
      </c>
      <c r="H130" s="55">
        <v>0.99539920000000004</v>
      </c>
      <c r="I130" s="55">
        <v>0.99608669999999999</v>
      </c>
      <c r="J130" s="55">
        <v>0.99627469999999996</v>
      </c>
      <c r="K130" s="55">
        <v>83.462999999999994</v>
      </c>
      <c r="L130" s="55">
        <v>0.158</v>
      </c>
      <c r="M130" s="15" t="e">
        <f>#REF!</f>
        <v>#REF!</v>
      </c>
      <c r="N130" s="16">
        <f t="shared" si="76"/>
        <v>2.3184166666666665E-2</v>
      </c>
      <c r="P130" s="60">
        <v>432.3</v>
      </c>
      <c r="Q130" s="60">
        <v>41.674999999999997</v>
      </c>
      <c r="R130" s="60">
        <v>44.198399999999999</v>
      </c>
      <c r="S130" s="60">
        <v>45.344000000000001</v>
      </c>
      <c r="T130" s="60">
        <v>0.99540770000000001</v>
      </c>
      <c r="U130" s="60">
        <v>0.99571670000000001</v>
      </c>
      <c r="V130" s="60">
        <v>0.99629109999999999</v>
      </c>
      <c r="W130" s="60">
        <v>268.464</v>
      </c>
      <c r="X130" s="60">
        <v>0.222</v>
      </c>
      <c r="Y130" s="15" t="e">
        <f>#REF!</f>
        <v>#REF!</v>
      </c>
      <c r="Z130" s="16">
        <f t="shared" si="77"/>
        <v>7.4573333333333339E-2</v>
      </c>
      <c r="AA130" s="10">
        <f t="shared" si="78"/>
        <v>3.2165630279285433</v>
      </c>
      <c r="AB130" s="15">
        <f t="shared" si="134"/>
        <v>1.4050632911392404</v>
      </c>
      <c r="AC130" s="15" t="e">
        <f t="shared" si="134"/>
        <v>#REF!</v>
      </c>
      <c r="AD130" s="16">
        <f t="shared" si="79"/>
        <v>1.0629448192993334E-3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>
        <f>V130/J130</f>
        <v>1.000016461323368</v>
      </c>
      <c r="AY130" s="15">
        <f t="shared" si="152"/>
        <v>1.4050632911392404</v>
      </c>
      <c r="AZ130" s="15">
        <f t="shared" si="137"/>
        <v>3.2165630279285438</v>
      </c>
      <c r="BA130" s="15">
        <f>V130/J130</f>
        <v>1.000016461323368</v>
      </c>
      <c r="BB130" s="15">
        <f t="shared" si="150"/>
        <v>1.4050632911392404</v>
      </c>
      <c r="BC130" s="15">
        <f t="shared" si="133"/>
        <v>3.2165630279285438</v>
      </c>
      <c r="BD130" s="1">
        <f t="shared" si="84"/>
        <v>0</v>
      </c>
    </row>
    <row r="131" spans="1:56" ht="15.75" thickBot="1" x14ac:dyDescent="0.25">
      <c r="A131" s="13"/>
      <c r="B131" s="13"/>
      <c r="C131" s="43">
        <v>37</v>
      </c>
      <c r="D131" s="55">
        <v>318.45999999999998</v>
      </c>
      <c r="E131" s="55">
        <v>37.570599999999999</v>
      </c>
      <c r="F131" s="55">
        <v>42.1678</v>
      </c>
      <c r="G131" s="55">
        <v>43.664400000000001</v>
      </c>
      <c r="H131" s="55">
        <v>0.99175849999999999</v>
      </c>
      <c r="I131" s="55">
        <v>0.99302619999999997</v>
      </c>
      <c r="J131" s="55">
        <v>0.99492290000000005</v>
      </c>
      <c r="K131" s="55">
        <v>63.789000000000001</v>
      </c>
      <c r="L131" s="55">
        <v>0.152</v>
      </c>
      <c r="M131" s="15" t="e">
        <f>#REF!</f>
        <v>#REF!</v>
      </c>
      <c r="N131" s="16">
        <f t="shared" ref="N131:N152" si="153">K131/3600</f>
        <v>1.7719166666666668E-2</v>
      </c>
      <c r="P131" s="60">
        <v>316.60000000000002</v>
      </c>
      <c r="Q131" s="60">
        <v>37.550600000000003</v>
      </c>
      <c r="R131" s="60">
        <v>42.218499999999999</v>
      </c>
      <c r="S131" s="60">
        <v>43.1631</v>
      </c>
      <c r="T131" s="60">
        <v>0.99158000000000002</v>
      </c>
      <c r="U131" s="60">
        <v>0.99292210000000003</v>
      </c>
      <c r="V131" s="60">
        <v>0.99397749999999996</v>
      </c>
      <c r="W131" s="60">
        <v>239.11199999999999</v>
      </c>
      <c r="X131" s="60">
        <v>0.14899999999999999</v>
      </c>
      <c r="Y131" s="15" t="e">
        <f>#REF!</f>
        <v>#REF!</v>
      </c>
      <c r="Z131" s="16">
        <f t="shared" si="77"/>
        <v>6.6419999999999993E-2</v>
      </c>
      <c r="AA131" s="10">
        <f t="shared" si="78"/>
        <v>3.7484832808164414</v>
      </c>
      <c r="AB131" s="15">
        <f t="shared" si="134"/>
        <v>0.98026315789473684</v>
      </c>
      <c r="AC131" s="15" t="e">
        <f t="shared" si="134"/>
        <v>#REF!</v>
      </c>
      <c r="AD131" s="16">
        <f t="shared" si="79"/>
        <v>5.8406079256420173E-3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>
        <f>V131/J131</f>
        <v>0.99904977561577879</v>
      </c>
      <c r="AY131" s="15">
        <f t="shared" si="152"/>
        <v>0.98026315789473684</v>
      </c>
      <c r="AZ131" s="15">
        <f t="shared" si="137"/>
        <v>3.748483280816441</v>
      </c>
      <c r="BA131" s="15">
        <f>V131/J131</f>
        <v>0.99904977561577879</v>
      </c>
      <c r="BB131" s="15">
        <f t="shared" si="150"/>
        <v>0.98026315789473684</v>
      </c>
      <c r="BC131" s="15">
        <f t="shared" si="133"/>
        <v>3.748483280816441</v>
      </c>
      <c r="BD131" s="1">
        <f t="shared" si="84"/>
        <v>0</v>
      </c>
    </row>
    <row r="132" spans="1:56" ht="15.75" thickBot="1" x14ac:dyDescent="0.25">
      <c r="A132" s="17"/>
      <c r="B132" s="17"/>
      <c r="C132" s="44">
        <v>42</v>
      </c>
      <c r="D132" s="55">
        <v>228.22</v>
      </c>
      <c r="E132" s="55">
        <v>33.734499999999997</v>
      </c>
      <c r="F132" s="55">
        <v>39.915999999999997</v>
      </c>
      <c r="G132" s="55">
        <v>41.558799999999998</v>
      </c>
      <c r="H132" s="55">
        <v>0.98437010000000003</v>
      </c>
      <c r="I132" s="55">
        <v>0.9896431</v>
      </c>
      <c r="J132" s="55">
        <v>0.99251029999999996</v>
      </c>
      <c r="K132" s="55">
        <v>53.734999999999999</v>
      </c>
      <c r="L132" s="55">
        <v>0.14199999999999999</v>
      </c>
      <c r="M132" s="19" t="e">
        <f>#REF!</f>
        <v>#REF!</v>
      </c>
      <c r="N132" s="20">
        <f t="shared" si="153"/>
        <v>1.4926388888888888E-2</v>
      </c>
      <c r="P132" s="60">
        <v>226.4</v>
      </c>
      <c r="Q132" s="60">
        <v>33.721400000000003</v>
      </c>
      <c r="R132" s="60">
        <v>40.1922</v>
      </c>
      <c r="S132" s="60">
        <v>41.629300000000001</v>
      </c>
      <c r="T132" s="60">
        <v>0.98401649999999996</v>
      </c>
      <c r="U132" s="60">
        <v>0.98993549999999997</v>
      </c>
      <c r="V132" s="60">
        <v>0.99256069999999996</v>
      </c>
      <c r="W132" s="60">
        <v>204.197</v>
      </c>
      <c r="X132" s="60">
        <v>0.159</v>
      </c>
      <c r="Y132" s="19" t="e">
        <f>#REF!</f>
        <v>#REF!</v>
      </c>
      <c r="Z132" s="20">
        <f t="shared" ref="Z132:Z152" si="154">W132/3600</f>
        <v>5.6721388888888891E-2</v>
      </c>
      <c r="AA132" s="10">
        <f t="shared" ref="AA132" si="155">W132/K132</f>
        <v>3.8000744393784314</v>
      </c>
      <c r="AB132" s="19">
        <f t="shared" si="134"/>
        <v>1.119718309859155</v>
      </c>
      <c r="AC132" s="19" t="e">
        <f t="shared" si="134"/>
        <v>#REF!</v>
      </c>
      <c r="AD132" s="20">
        <f t="shared" ref="AD132:AD152" si="156">ABS(P132-D132)/D132</f>
        <v>7.9747611953378018E-3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>
        <f>V132/J132</f>
        <v>1.0000507803294334</v>
      </c>
      <c r="AY132" s="19">
        <f t="shared" si="152"/>
        <v>1.119718309859155</v>
      </c>
      <c r="AZ132" s="19">
        <f t="shared" si="137"/>
        <v>3.8000744393784314</v>
      </c>
      <c r="BA132" s="19"/>
      <c r="BB132" s="19"/>
      <c r="BC132" s="19"/>
      <c r="BD132" s="1">
        <f t="shared" ref="BD132" si="157">IF((((AF132&lt;0)*AND(AL133&lt;0)*AND(AR132&lt;0))),1,0)</f>
        <v>0</v>
      </c>
    </row>
    <row r="133" spans="1:56" x14ac:dyDescent="0.2">
      <c r="A133" s="8" t="s">
        <v>64</v>
      </c>
      <c r="B133" s="8" t="s">
        <v>65</v>
      </c>
      <c r="C133" s="39">
        <v>22</v>
      </c>
      <c r="D133" s="9" t="e">
        <f>#REF!</f>
        <v>#REF!</v>
      </c>
      <c r="E133" s="10" t="e">
        <f>#REF!</f>
        <v>#REF!</v>
      </c>
      <c r="F133" s="10" t="e">
        <f>#REF!</f>
        <v>#REF!</v>
      </c>
      <c r="G133" s="10" t="e">
        <f>#REF!</f>
        <v>#REF!</v>
      </c>
      <c r="H133" s="10" t="e">
        <f>#REF!</f>
        <v>#REF!</v>
      </c>
      <c r="I133" s="10" t="e">
        <f>#REF!</f>
        <v>#REF!</v>
      </c>
      <c r="J133" s="10" t="e">
        <f>#REF!</f>
        <v>#REF!</v>
      </c>
      <c r="K133" s="10" t="e">
        <f>#REF!</f>
        <v>#REF!</v>
      </c>
      <c r="L133" s="10" t="e">
        <f>#REF!</f>
        <v>#REF!</v>
      </c>
      <c r="M133" s="10" t="e">
        <f>#REF!</f>
        <v>#REF!</v>
      </c>
      <c r="N133" s="11" t="e">
        <f t="shared" si="153"/>
        <v>#REF!</v>
      </c>
      <c r="P133" s="9" t="e">
        <f>#REF!</f>
        <v>#REF!</v>
      </c>
      <c r="Q133" s="10" t="e">
        <f>#REF!</f>
        <v>#REF!</v>
      </c>
      <c r="R133" s="10" t="e">
        <f>#REF!</f>
        <v>#REF!</v>
      </c>
      <c r="S133" s="10" t="e">
        <f>#REF!</f>
        <v>#REF!</v>
      </c>
      <c r="T133" s="10" t="e">
        <f>#REF!</f>
        <v>#REF!</v>
      </c>
      <c r="U133" s="50" t="e">
        <f>#REF!</f>
        <v>#REF!</v>
      </c>
      <c r="V133" s="10" t="e">
        <f>#REF!</f>
        <v>#REF!</v>
      </c>
      <c r="W133" s="10" t="e">
        <f>#REF!</f>
        <v>#REF!</v>
      </c>
      <c r="X133" s="10" t="e">
        <f>#REF!</f>
        <v>#REF!</v>
      </c>
      <c r="Y133" s="10" t="e">
        <f>#REF!</f>
        <v>#REF!</v>
      </c>
      <c r="Z133" s="11" t="e">
        <f t="shared" si="154"/>
        <v>#REF!</v>
      </c>
      <c r="AA133" s="10" t="e">
        <f t="shared" ref="AA133:AA152" si="158">V133/J133</f>
        <v>#REF!</v>
      </c>
      <c r="AB133" s="10" t="e">
        <f>X133/L133</f>
        <v>#REF!</v>
      </c>
      <c r="AC133" s="10" t="e">
        <f>Y133/M133</f>
        <v>#REF!</v>
      </c>
      <c r="AD133" s="11" t="e">
        <f t="shared" si="156"/>
        <v>#REF!</v>
      </c>
      <c r="AE133" s="40"/>
      <c r="AF133" s="25" t="e">
        <f t="shared" ref="AF133:AH133" si="159">bdRateExtend($D133:$D137,E133:E137,$P133:$P137,Q133:Q137)</f>
        <v>#VALUE!</v>
      </c>
      <c r="AG133" s="30" t="e">
        <f t="shared" si="159"/>
        <v>#VALUE!</v>
      </c>
      <c r="AH133" s="31" t="e">
        <f t="shared" si="159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60">bdrate($D133:$D136,F133:F136,$P133:$P136,R133:R136)</f>
        <v>#VALUE!</v>
      </c>
      <c r="AT133" s="31" t="e">
        <f t="shared" si="160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#REF!</v>
      </c>
      <c r="BB133" s="10" t="e">
        <f t="shared" ref="BB133:BB136" si="161">X133/L133</f>
        <v>#REF!</v>
      </c>
      <c r="BC133" s="10" t="e">
        <f t="shared" si="133"/>
        <v>#REF!</v>
      </c>
    </row>
    <row r="134" spans="1:56" x14ac:dyDescent="0.2">
      <c r="A134" s="13"/>
      <c r="B134" s="13"/>
      <c r="C134" s="43">
        <v>27</v>
      </c>
      <c r="D134" s="14" t="e">
        <f>#REF!</f>
        <v>#REF!</v>
      </c>
      <c r="E134" s="15" t="e">
        <f>#REF!</f>
        <v>#REF!</v>
      </c>
      <c r="F134" s="15" t="e">
        <f>#REF!</f>
        <v>#REF!</v>
      </c>
      <c r="G134" s="15" t="e">
        <f>#REF!</f>
        <v>#REF!</v>
      </c>
      <c r="H134" s="15" t="e">
        <f>#REF!</f>
        <v>#REF!</v>
      </c>
      <c r="I134" s="15" t="e">
        <f>#REF!</f>
        <v>#REF!</v>
      </c>
      <c r="J134" s="15" t="e">
        <f>#REF!</f>
        <v>#REF!</v>
      </c>
      <c r="K134" s="15" t="e">
        <f>#REF!</f>
        <v>#REF!</v>
      </c>
      <c r="L134" s="15" t="e">
        <f>#REF!</f>
        <v>#REF!</v>
      </c>
      <c r="M134" s="15" t="e">
        <f>#REF!</f>
        <v>#REF!</v>
      </c>
      <c r="N134" s="16" t="e">
        <f t="shared" si="153"/>
        <v>#REF!</v>
      </c>
      <c r="P134" s="14" t="e">
        <f>#REF!</f>
        <v>#REF!</v>
      </c>
      <c r="Q134" s="15" t="e">
        <f>#REF!</f>
        <v>#REF!</v>
      </c>
      <c r="R134" s="15" t="e">
        <f>#REF!</f>
        <v>#REF!</v>
      </c>
      <c r="S134" s="15" t="e">
        <f>#REF!</f>
        <v>#REF!</v>
      </c>
      <c r="T134" s="15" t="e">
        <f>#REF!</f>
        <v>#REF!</v>
      </c>
      <c r="U134" s="51" t="e">
        <f>#REF!</f>
        <v>#REF!</v>
      </c>
      <c r="V134" s="15" t="e">
        <f>#REF!</f>
        <v>#REF!</v>
      </c>
      <c r="W134" s="15" t="e">
        <f>#REF!</f>
        <v>#REF!</v>
      </c>
      <c r="X134" s="15" t="e">
        <f>#REF!</f>
        <v>#REF!</v>
      </c>
      <c r="Y134" s="15" t="e">
        <f>#REF!</f>
        <v>#REF!</v>
      </c>
      <c r="Z134" s="16" t="e">
        <f t="shared" si="154"/>
        <v>#REF!</v>
      </c>
      <c r="AA134" s="15" t="e">
        <f t="shared" si="158"/>
        <v>#REF!</v>
      </c>
      <c r="AB134" s="15" t="e">
        <f t="shared" ref="AB134:AC152" si="162">X134/L134</f>
        <v>#REF!</v>
      </c>
      <c r="AC134" s="15" t="e">
        <f t="shared" si="162"/>
        <v>#REF!</v>
      </c>
      <c r="AD134" s="16" t="e">
        <f t="shared" si="156"/>
        <v>#REF!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63">bdrate($D134:$D137,E134:E137,$P134:$P137,Q134:Q137)</f>
        <v>#VALUE!</v>
      </c>
      <c r="AM134" s="21" t="e">
        <f t="shared" si="163"/>
        <v>#VALUE!</v>
      </c>
      <c r="AN134" s="36" t="e">
        <f t="shared" si="163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#REF!</v>
      </c>
      <c r="AY134" s="15" t="e">
        <f t="shared" ref="AY134:AY137" si="164">X134/L134</f>
        <v>#REF!</v>
      </c>
      <c r="AZ134" s="15" t="e">
        <f t="shared" si="137"/>
        <v>#REF!</v>
      </c>
      <c r="BA134" s="15" t="e">
        <f>V134/J134</f>
        <v>#REF!</v>
      </c>
      <c r="BB134" s="15" t="e">
        <f t="shared" si="161"/>
        <v>#REF!</v>
      </c>
      <c r="BC134" s="15" t="e">
        <f t="shared" si="133"/>
        <v>#REF!</v>
      </c>
    </row>
    <row r="135" spans="1:56" x14ac:dyDescent="0.2">
      <c r="A135" s="13"/>
      <c r="B135" s="13"/>
      <c r="C135" s="43">
        <v>32</v>
      </c>
      <c r="D135" s="14" t="e">
        <f>#REF!</f>
        <v>#REF!</v>
      </c>
      <c r="E135" s="15" t="e">
        <f>#REF!</f>
        <v>#REF!</v>
      </c>
      <c r="F135" s="15" t="e">
        <f>#REF!</f>
        <v>#REF!</v>
      </c>
      <c r="G135" s="15" t="e">
        <f>#REF!</f>
        <v>#REF!</v>
      </c>
      <c r="H135" s="15" t="e">
        <f>#REF!</f>
        <v>#REF!</v>
      </c>
      <c r="I135" s="15" t="e">
        <f>#REF!</f>
        <v>#REF!</v>
      </c>
      <c r="J135" s="15" t="e">
        <f>#REF!</f>
        <v>#REF!</v>
      </c>
      <c r="K135" s="15" t="e">
        <f>#REF!</f>
        <v>#REF!</v>
      </c>
      <c r="L135" s="15" t="e">
        <f>#REF!</f>
        <v>#REF!</v>
      </c>
      <c r="M135" s="15" t="e">
        <f>#REF!</f>
        <v>#REF!</v>
      </c>
      <c r="N135" s="16" t="e">
        <f t="shared" si="153"/>
        <v>#REF!</v>
      </c>
      <c r="P135" s="14" t="e">
        <f>#REF!</f>
        <v>#REF!</v>
      </c>
      <c r="Q135" s="15" t="e">
        <f>#REF!</f>
        <v>#REF!</v>
      </c>
      <c r="R135" s="15" t="e">
        <f>#REF!</f>
        <v>#REF!</v>
      </c>
      <c r="S135" s="15" t="e">
        <f>#REF!</f>
        <v>#REF!</v>
      </c>
      <c r="T135" s="15" t="e">
        <f>#REF!</f>
        <v>#REF!</v>
      </c>
      <c r="U135" s="51" t="e">
        <f>#REF!</f>
        <v>#REF!</v>
      </c>
      <c r="V135" s="15" t="e">
        <f>#REF!</f>
        <v>#REF!</v>
      </c>
      <c r="W135" s="15" t="e">
        <f>#REF!</f>
        <v>#REF!</v>
      </c>
      <c r="X135" s="15" t="e">
        <f>#REF!</f>
        <v>#REF!</v>
      </c>
      <c r="Y135" s="15" t="e">
        <f>#REF!</f>
        <v>#REF!</v>
      </c>
      <c r="Z135" s="16" t="e">
        <f t="shared" si="154"/>
        <v>#REF!</v>
      </c>
      <c r="AA135" s="15" t="e">
        <f t="shared" si="158"/>
        <v>#REF!</v>
      </c>
      <c r="AB135" s="15" t="e">
        <f t="shared" si="162"/>
        <v>#REF!</v>
      </c>
      <c r="AC135" s="15" t="e">
        <f t="shared" si="162"/>
        <v>#REF!</v>
      </c>
      <c r="AD135" s="16" t="e">
        <f t="shared" si="156"/>
        <v>#REF!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#REF!</v>
      </c>
      <c r="AY135" s="15" t="e">
        <f t="shared" si="164"/>
        <v>#REF!</v>
      </c>
      <c r="AZ135" s="15" t="e">
        <f t="shared" si="137"/>
        <v>#REF!</v>
      </c>
      <c r="BA135" s="15" t="e">
        <f>V135/J135</f>
        <v>#REF!</v>
      </c>
      <c r="BB135" s="15" t="e">
        <f t="shared" si="161"/>
        <v>#REF!</v>
      </c>
      <c r="BC135" s="15" t="e">
        <f t="shared" si="133"/>
        <v>#REF!</v>
      </c>
    </row>
    <row r="136" spans="1:56" x14ac:dyDescent="0.2">
      <c r="A136" s="13"/>
      <c r="B136" s="13"/>
      <c r="C136" s="43">
        <v>37</v>
      </c>
      <c r="D136" s="14" t="e">
        <f>#REF!</f>
        <v>#REF!</v>
      </c>
      <c r="E136" s="15" t="e">
        <f>#REF!</f>
        <v>#REF!</v>
      </c>
      <c r="F136" s="15" t="e">
        <f>#REF!</f>
        <v>#REF!</v>
      </c>
      <c r="G136" s="15" t="e">
        <f>#REF!</f>
        <v>#REF!</v>
      </c>
      <c r="H136" s="15" t="e">
        <f>#REF!</f>
        <v>#REF!</v>
      </c>
      <c r="I136" s="15" t="e">
        <f>#REF!</f>
        <v>#REF!</v>
      </c>
      <c r="J136" s="15" t="e">
        <f>#REF!</f>
        <v>#REF!</v>
      </c>
      <c r="K136" s="15" t="e">
        <f>#REF!</f>
        <v>#REF!</v>
      </c>
      <c r="L136" s="15" t="e">
        <f>#REF!</f>
        <v>#REF!</v>
      </c>
      <c r="M136" s="15" t="e">
        <f>#REF!</f>
        <v>#REF!</v>
      </c>
      <c r="N136" s="16" t="e">
        <f t="shared" si="153"/>
        <v>#REF!</v>
      </c>
      <c r="P136" s="14" t="e">
        <f>#REF!</f>
        <v>#REF!</v>
      </c>
      <c r="Q136" s="15" t="e">
        <f>#REF!</f>
        <v>#REF!</v>
      </c>
      <c r="R136" s="15" t="e">
        <f>#REF!</f>
        <v>#REF!</v>
      </c>
      <c r="S136" s="15" t="e">
        <f>#REF!</f>
        <v>#REF!</v>
      </c>
      <c r="T136" s="15" t="e">
        <f>#REF!</f>
        <v>#REF!</v>
      </c>
      <c r="U136" s="51" t="e">
        <f>#REF!</f>
        <v>#REF!</v>
      </c>
      <c r="V136" s="15" t="e">
        <f>#REF!</f>
        <v>#REF!</v>
      </c>
      <c r="W136" s="15" t="e">
        <f>#REF!</f>
        <v>#REF!</v>
      </c>
      <c r="X136" s="15" t="e">
        <f>#REF!</f>
        <v>#REF!</v>
      </c>
      <c r="Y136" s="15" t="e">
        <f>#REF!</f>
        <v>#REF!</v>
      </c>
      <c r="Z136" s="16" t="e">
        <f t="shared" si="154"/>
        <v>#REF!</v>
      </c>
      <c r="AA136" s="15" t="e">
        <f t="shared" si="158"/>
        <v>#REF!</v>
      </c>
      <c r="AB136" s="15" t="e">
        <f t="shared" si="162"/>
        <v>#REF!</v>
      </c>
      <c r="AC136" s="15" t="e">
        <f t="shared" si="162"/>
        <v>#REF!</v>
      </c>
      <c r="AD136" s="16" t="e">
        <f t="shared" si="156"/>
        <v>#REF!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#REF!</v>
      </c>
      <c r="AY136" s="15" t="e">
        <f t="shared" si="164"/>
        <v>#REF!</v>
      </c>
      <c r="AZ136" s="15" t="e">
        <f t="shared" si="137"/>
        <v>#REF!</v>
      </c>
      <c r="BA136" s="15" t="e">
        <f>V136/J136</f>
        <v>#REF!</v>
      </c>
      <c r="BB136" s="15" t="e">
        <f t="shared" si="161"/>
        <v>#REF!</v>
      </c>
      <c r="BC136" s="15" t="e">
        <f t="shared" si="133"/>
        <v>#REF!</v>
      </c>
    </row>
    <row r="137" spans="1:56" ht="12.75" thickBot="1" x14ac:dyDescent="0.25">
      <c r="A137" s="13"/>
      <c r="B137" s="17"/>
      <c r="C137" s="44">
        <v>42</v>
      </c>
      <c r="D137" s="18" t="e">
        <f>#REF!</f>
        <v>#REF!</v>
      </c>
      <c r="E137" s="19" t="e">
        <f>#REF!</f>
        <v>#REF!</v>
      </c>
      <c r="F137" s="19" t="e">
        <f>#REF!</f>
        <v>#REF!</v>
      </c>
      <c r="G137" s="19" t="e">
        <f>#REF!</f>
        <v>#REF!</v>
      </c>
      <c r="H137" s="19" t="e">
        <f>#REF!</f>
        <v>#REF!</v>
      </c>
      <c r="I137" s="19" t="e">
        <f>#REF!</f>
        <v>#REF!</v>
      </c>
      <c r="J137" s="19" t="e">
        <f>#REF!</f>
        <v>#REF!</v>
      </c>
      <c r="K137" s="19" t="e">
        <f>#REF!</f>
        <v>#REF!</v>
      </c>
      <c r="L137" s="19" t="e">
        <f>#REF!</f>
        <v>#REF!</v>
      </c>
      <c r="M137" s="19" t="e">
        <f>#REF!</f>
        <v>#REF!</v>
      </c>
      <c r="N137" s="20" t="e">
        <f t="shared" si="153"/>
        <v>#REF!</v>
      </c>
      <c r="P137" s="18" t="e">
        <f>#REF!</f>
        <v>#REF!</v>
      </c>
      <c r="Q137" s="19" t="e">
        <f>#REF!</f>
        <v>#REF!</v>
      </c>
      <c r="R137" s="19" t="e">
        <f>#REF!</f>
        <v>#REF!</v>
      </c>
      <c r="S137" s="19" t="e">
        <f>#REF!</f>
        <v>#REF!</v>
      </c>
      <c r="T137" s="19" t="e">
        <f>#REF!</f>
        <v>#REF!</v>
      </c>
      <c r="U137" s="52" t="e">
        <f>#REF!</f>
        <v>#REF!</v>
      </c>
      <c r="V137" s="19" t="e">
        <f>#REF!</f>
        <v>#REF!</v>
      </c>
      <c r="W137" s="19" t="e">
        <f>#REF!</f>
        <v>#REF!</v>
      </c>
      <c r="X137" s="19" t="e">
        <f>#REF!</f>
        <v>#REF!</v>
      </c>
      <c r="Y137" s="19" t="e">
        <f>#REF!</f>
        <v>#REF!</v>
      </c>
      <c r="Z137" s="20" t="e">
        <f t="shared" si="154"/>
        <v>#REF!</v>
      </c>
      <c r="AA137" s="15" t="e">
        <f t="shared" si="158"/>
        <v>#REF!</v>
      </c>
      <c r="AB137" s="15" t="e">
        <f t="shared" si="162"/>
        <v>#REF!</v>
      </c>
      <c r="AC137" s="15" t="e">
        <f t="shared" si="162"/>
        <v>#REF!</v>
      </c>
      <c r="AD137" s="20" t="e">
        <f t="shared" si="156"/>
        <v>#REF!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#REF!</v>
      </c>
      <c r="AY137" s="15" t="e">
        <f t="shared" si="164"/>
        <v>#REF!</v>
      </c>
      <c r="AZ137" s="15" t="e">
        <f t="shared" si="137"/>
        <v>#REF!</v>
      </c>
      <c r="BA137" s="15"/>
      <c r="BB137" s="15"/>
      <c r="BC137" s="15"/>
    </row>
    <row r="138" spans="1:56" x14ac:dyDescent="0.2">
      <c r="A138" s="13"/>
      <c r="B138" s="8" t="s">
        <v>66</v>
      </c>
      <c r="C138" s="39">
        <v>22</v>
      </c>
      <c r="D138" s="9" t="e">
        <f>#REF!</f>
        <v>#REF!</v>
      </c>
      <c r="E138" s="10" t="e">
        <f>#REF!</f>
        <v>#REF!</v>
      </c>
      <c r="F138" s="10" t="e">
        <f>#REF!</f>
        <v>#REF!</v>
      </c>
      <c r="G138" s="10" t="e">
        <f>#REF!</f>
        <v>#REF!</v>
      </c>
      <c r="H138" s="10" t="e">
        <f>#REF!</f>
        <v>#REF!</v>
      </c>
      <c r="I138" s="10" t="e">
        <f>#REF!</f>
        <v>#REF!</v>
      </c>
      <c r="J138" s="10" t="e">
        <f>#REF!</f>
        <v>#REF!</v>
      </c>
      <c r="K138" s="10" t="e">
        <f>#REF!</f>
        <v>#REF!</v>
      </c>
      <c r="L138" s="10" t="e">
        <f>#REF!</f>
        <v>#REF!</v>
      </c>
      <c r="M138" s="10" t="e">
        <f>#REF!</f>
        <v>#REF!</v>
      </c>
      <c r="N138" s="11" t="e">
        <f t="shared" si="153"/>
        <v>#REF!</v>
      </c>
      <c r="P138" s="9" t="e">
        <f>#REF!</f>
        <v>#REF!</v>
      </c>
      <c r="Q138" s="10" t="e">
        <f>#REF!</f>
        <v>#REF!</v>
      </c>
      <c r="R138" s="10" t="e">
        <f>#REF!</f>
        <v>#REF!</v>
      </c>
      <c r="S138" s="10" t="e">
        <f>#REF!</f>
        <v>#REF!</v>
      </c>
      <c r="T138" s="10" t="e">
        <f>#REF!</f>
        <v>#REF!</v>
      </c>
      <c r="U138" s="50" t="e">
        <f>#REF!</f>
        <v>#REF!</v>
      </c>
      <c r="V138" s="10" t="e">
        <f>#REF!</f>
        <v>#REF!</v>
      </c>
      <c r="W138" s="10" t="e">
        <f>#REF!</f>
        <v>#REF!</v>
      </c>
      <c r="X138" s="10" t="e">
        <f>#REF!</f>
        <v>#REF!</v>
      </c>
      <c r="Y138" s="10" t="e">
        <f>#REF!</f>
        <v>#REF!</v>
      </c>
      <c r="Z138" s="11" t="e">
        <f t="shared" si="154"/>
        <v>#REF!</v>
      </c>
      <c r="AA138" s="15" t="e">
        <f t="shared" si="158"/>
        <v>#REF!</v>
      </c>
      <c r="AB138" s="15" t="e">
        <f t="shared" si="162"/>
        <v>#REF!</v>
      </c>
      <c r="AC138" s="15" t="e">
        <f t="shared" si="162"/>
        <v>#REF!</v>
      </c>
      <c r="AD138" s="11" t="e">
        <f t="shared" si="156"/>
        <v>#REF!</v>
      </c>
      <c r="AE138" s="12"/>
      <c r="AF138" s="25" t="e">
        <f t="shared" ref="AF138:AH138" si="165">bdRateExtend($D138:$D142,E138:E142,$P138:$P142,Q138:Q142)</f>
        <v>#VALUE!</v>
      </c>
      <c r="AG138" s="30" t="e">
        <f t="shared" si="165"/>
        <v>#VALUE!</v>
      </c>
      <c r="AH138" s="31" t="e">
        <f t="shared" si="165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66">bdrate($D138:$D141,E138:E141,$P138:$P141,Q138:Q141)</f>
        <v>#VALUE!</v>
      </c>
      <c r="AS138" s="30" t="e">
        <f t="shared" si="166"/>
        <v>#VALUE!</v>
      </c>
      <c r="AT138" s="31" t="e">
        <f t="shared" si="166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#REF!</v>
      </c>
      <c r="BB138" s="15" t="e">
        <f t="shared" ref="BB138:BB141" si="167">X138/L138</f>
        <v>#REF!</v>
      </c>
      <c r="BC138" s="15" t="e">
        <f t="shared" si="133"/>
        <v>#REF!</v>
      </c>
    </row>
    <row r="139" spans="1:56" x14ac:dyDescent="0.2">
      <c r="A139" s="13"/>
      <c r="B139" s="13"/>
      <c r="C139" s="43">
        <v>27</v>
      </c>
      <c r="D139" s="14" t="e">
        <f>#REF!</f>
        <v>#REF!</v>
      </c>
      <c r="E139" s="15" t="e">
        <f>#REF!</f>
        <v>#REF!</v>
      </c>
      <c r="F139" s="15" t="e">
        <f>#REF!</f>
        <v>#REF!</v>
      </c>
      <c r="G139" s="15" t="e">
        <f>#REF!</f>
        <v>#REF!</v>
      </c>
      <c r="H139" s="15" t="e">
        <f>#REF!</f>
        <v>#REF!</v>
      </c>
      <c r="I139" s="15" t="e">
        <f>#REF!</f>
        <v>#REF!</v>
      </c>
      <c r="J139" s="15" t="e">
        <f>#REF!</f>
        <v>#REF!</v>
      </c>
      <c r="K139" s="15" t="e">
        <f>#REF!</f>
        <v>#REF!</v>
      </c>
      <c r="L139" s="15" t="e">
        <f>#REF!</f>
        <v>#REF!</v>
      </c>
      <c r="M139" s="15" t="e">
        <f>#REF!</f>
        <v>#REF!</v>
      </c>
      <c r="N139" s="16" t="e">
        <f t="shared" si="153"/>
        <v>#REF!</v>
      </c>
      <c r="P139" s="14" t="e">
        <f>#REF!</f>
        <v>#REF!</v>
      </c>
      <c r="Q139" s="15" t="e">
        <f>#REF!</f>
        <v>#REF!</v>
      </c>
      <c r="R139" s="15" t="e">
        <f>#REF!</f>
        <v>#REF!</v>
      </c>
      <c r="S139" s="15" t="e">
        <f>#REF!</f>
        <v>#REF!</v>
      </c>
      <c r="T139" s="15" t="e">
        <f>#REF!</f>
        <v>#REF!</v>
      </c>
      <c r="U139" s="51" t="e">
        <f>#REF!</f>
        <v>#REF!</v>
      </c>
      <c r="V139" s="15" t="e">
        <f>#REF!</f>
        <v>#REF!</v>
      </c>
      <c r="W139" s="15" t="e">
        <f>#REF!</f>
        <v>#REF!</v>
      </c>
      <c r="X139" s="15" t="e">
        <f>#REF!</f>
        <v>#REF!</v>
      </c>
      <c r="Y139" s="15" t="e">
        <f>#REF!</f>
        <v>#REF!</v>
      </c>
      <c r="Z139" s="16" t="e">
        <f t="shared" si="154"/>
        <v>#REF!</v>
      </c>
      <c r="AA139" s="15" t="e">
        <f t="shared" si="158"/>
        <v>#REF!</v>
      </c>
      <c r="AB139" s="15" t="e">
        <f t="shared" si="162"/>
        <v>#REF!</v>
      </c>
      <c r="AC139" s="15" t="e">
        <f t="shared" si="162"/>
        <v>#REF!</v>
      </c>
      <c r="AD139" s="16" t="e">
        <f t="shared" si="156"/>
        <v>#REF!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68">bdrate($D139:$D142,E139:E142,$P139:$P142,Q139:Q142)</f>
        <v>#VALUE!</v>
      </c>
      <c r="AM139" s="21" t="e">
        <f t="shared" si="168"/>
        <v>#VALUE!</v>
      </c>
      <c r="AN139" s="36" t="e">
        <f t="shared" si="168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#REF!</v>
      </c>
      <c r="AY139" s="15" t="e">
        <f t="shared" ref="AY139:AY142" si="169">X139/L139</f>
        <v>#REF!</v>
      </c>
      <c r="AZ139" s="15" t="e">
        <f t="shared" si="137"/>
        <v>#REF!</v>
      </c>
      <c r="BA139" s="15" t="e">
        <f>V139/J139</f>
        <v>#REF!</v>
      </c>
      <c r="BB139" s="15" t="e">
        <f t="shared" si="167"/>
        <v>#REF!</v>
      </c>
      <c r="BC139" s="15" t="e">
        <f t="shared" si="133"/>
        <v>#REF!</v>
      </c>
    </row>
    <row r="140" spans="1:56" x14ac:dyDescent="0.2">
      <c r="A140" s="13"/>
      <c r="B140" s="13"/>
      <c r="C140" s="43">
        <v>32</v>
      </c>
      <c r="D140" s="14" t="e">
        <f>#REF!</f>
        <v>#REF!</v>
      </c>
      <c r="E140" s="15" t="e">
        <f>#REF!</f>
        <v>#REF!</v>
      </c>
      <c r="F140" s="15" t="e">
        <f>#REF!</f>
        <v>#REF!</v>
      </c>
      <c r="G140" s="15" t="e">
        <f>#REF!</f>
        <v>#REF!</v>
      </c>
      <c r="H140" s="15" t="e">
        <f>#REF!</f>
        <v>#REF!</v>
      </c>
      <c r="I140" s="15" t="e">
        <f>#REF!</f>
        <v>#REF!</v>
      </c>
      <c r="J140" s="15" t="e">
        <f>#REF!</f>
        <v>#REF!</v>
      </c>
      <c r="K140" s="15" t="e">
        <f>#REF!</f>
        <v>#REF!</v>
      </c>
      <c r="L140" s="15" t="e">
        <f>#REF!</f>
        <v>#REF!</v>
      </c>
      <c r="M140" s="15" t="e">
        <f>#REF!</f>
        <v>#REF!</v>
      </c>
      <c r="N140" s="16" t="e">
        <f t="shared" si="153"/>
        <v>#REF!</v>
      </c>
      <c r="P140" s="14" t="e">
        <f>#REF!</f>
        <v>#REF!</v>
      </c>
      <c r="Q140" s="15" t="e">
        <f>#REF!</f>
        <v>#REF!</v>
      </c>
      <c r="R140" s="15" t="e">
        <f>#REF!</f>
        <v>#REF!</v>
      </c>
      <c r="S140" s="15" t="e">
        <f>#REF!</f>
        <v>#REF!</v>
      </c>
      <c r="T140" s="15" t="e">
        <f>#REF!</f>
        <v>#REF!</v>
      </c>
      <c r="U140" s="51" t="e">
        <f>#REF!</f>
        <v>#REF!</v>
      </c>
      <c r="V140" s="15" t="e">
        <f>#REF!</f>
        <v>#REF!</v>
      </c>
      <c r="W140" s="15" t="e">
        <f>#REF!</f>
        <v>#REF!</v>
      </c>
      <c r="X140" s="15" t="e">
        <f>#REF!</f>
        <v>#REF!</v>
      </c>
      <c r="Y140" s="15" t="e">
        <f>#REF!</f>
        <v>#REF!</v>
      </c>
      <c r="Z140" s="16" t="e">
        <f t="shared" si="154"/>
        <v>#REF!</v>
      </c>
      <c r="AA140" s="15" t="e">
        <f t="shared" si="158"/>
        <v>#REF!</v>
      </c>
      <c r="AB140" s="15" t="e">
        <f t="shared" si="162"/>
        <v>#REF!</v>
      </c>
      <c r="AC140" s="15" t="e">
        <f t="shared" si="162"/>
        <v>#REF!</v>
      </c>
      <c r="AD140" s="16" t="e">
        <f t="shared" si="156"/>
        <v>#REF!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#REF!</v>
      </c>
      <c r="AY140" s="15" t="e">
        <f t="shared" si="169"/>
        <v>#REF!</v>
      </c>
      <c r="AZ140" s="15" t="e">
        <f t="shared" si="137"/>
        <v>#REF!</v>
      </c>
      <c r="BA140" s="15" t="e">
        <f>V140/J140</f>
        <v>#REF!</v>
      </c>
      <c r="BB140" s="15" t="e">
        <f t="shared" si="167"/>
        <v>#REF!</v>
      </c>
      <c r="BC140" s="15" t="e">
        <f t="shared" si="133"/>
        <v>#REF!</v>
      </c>
    </row>
    <row r="141" spans="1:56" x14ac:dyDescent="0.2">
      <c r="A141" s="13"/>
      <c r="B141" s="13"/>
      <c r="C141" s="43">
        <v>37</v>
      </c>
      <c r="D141" s="14" t="e">
        <f>#REF!</f>
        <v>#REF!</v>
      </c>
      <c r="E141" s="15" t="e">
        <f>#REF!</f>
        <v>#REF!</v>
      </c>
      <c r="F141" s="15" t="e">
        <f>#REF!</f>
        <v>#REF!</v>
      </c>
      <c r="G141" s="15" t="e">
        <f>#REF!</f>
        <v>#REF!</v>
      </c>
      <c r="H141" s="15" t="e">
        <f>#REF!</f>
        <v>#REF!</v>
      </c>
      <c r="I141" s="15" t="e">
        <f>#REF!</f>
        <v>#REF!</v>
      </c>
      <c r="J141" s="15" t="e">
        <f>#REF!</f>
        <v>#REF!</v>
      </c>
      <c r="K141" s="15" t="e">
        <f>#REF!</f>
        <v>#REF!</v>
      </c>
      <c r="L141" s="15" t="e">
        <f>#REF!</f>
        <v>#REF!</v>
      </c>
      <c r="M141" s="15" t="e">
        <f>#REF!</f>
        <v>#REF!</v>
      </c>
      <c r="N141" s="16" t="e">
        <f t="shared" si="153"/>
        <v>#REF!</v>
      </c>
      <c r="P141" s="14" t="e">
        <f>#REF!</f>
        <v>#REF!</v>
      </c>
      <c r="Q141" s="15" t="e">
        <f>#REF!</f>
        <v>#REF!</v>
      </c>
      <c r="R141" s="15" t="e">
        <f>#REF!</f>
        <v>#REF!</v>
      </c>
      <c r="S141" s="15" t="e">
        <f>#REF!</f>
        <v>#REF!</v>
      </c>
      <c r="T141" s="15" t="e">
        <f>#REF!</f>
        <v>#REF!</v>
      </c>
      <c r="U141" s="51" t="e">
        <f>#REF!</f>
        <v>#REF!</v>
      </c>
      <c r="V141" s="15" t="e">
        <f>#REF!</f>
        <v>#REF!</v>
      </c>
      <c r="W141" s="15" t="e">
        <f>#REF!</f>
        <v>#REF!</v>
      </c>
      <c r="X141" s="15" t="e">
        <f>#REF!</f>
        <v>#REF!</v>
      </c>
      <c r="Y141" s="15" t="e">
        <f>#REF!</f>
        <v>#REF!</v>
      </c>
      <c r="Z141" s="16" t="e">
        <f t="shared" si="154"/>
        <v>#REF!</v>
      </c>
      <c r="AA141" s="15" t="e">
        <f t="shared" si="158"/>
        <v>#REF!</v>
      </c>
      <c r="AB141" s="15" t="e">
        <f t="shared" si="162"/>
        <v>#REF!</v>
      </c>
      <c r="AC141" s="15" t="e">
        <f t="shared" si="162"/>
        <v>#REF!</v>
      </c>
      <c r="AD141" s="16" t="e">
        <f t="shared" si="156"/>
        <v>#REF!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#REF!</v>
      </c>
      <c r="AY141" s="15" t="e">
        <f t="shared" si="169"/>
        <v>#REF!</v>
      </c>
      <c r="AZ141" s="15" t="e">
        <f t="shared" si="137"/>
        <v>#REF!</v>
      </c>
      <c r="BA141" s="15" t="e">
        <f>V141/J141</f>
        <v>#REF!</v>
      </c>
      <c r="BB141" s="15" t="e">
        <f t="shared" si="167"/>
        <v>#REF!</v>
      </c>
      <c r="BC141" s="15" t="e">
        <f t="shared" si="133"/>
        <v>#REF!</v>
      </c>
    </row>
    <row r="142" spans="1:56" ht="12.75" thickBot="1" x14ac:dyDescent="0.25">
      <c r="A142" s="13"/>
      <c r="B142" s="17"/>
      <c r="C142" s="44">
        <v>42</v>
      </c>
      <c r="D142" s="18" t="e">
        <f>#REF!</f>
        <v>#REF!</v>
      </c>
      <c r="E142" s="19" t="e">
        <f>#REF!</f>
        <v>#REF!</v>
      </c>
      <c r="F142" s="19" t="e">
        <f>#REF!</f>
        <v>#REF!</v>
      </c>
      <c r="G142" s="19" t="e">
        <f>#REF!</f>
        <v>#REF!</v>
      </c>
      <c r="H142" s="19" t="e">
        <f>#REF!</f>
        <v>#REF!</v>
      </c>
      <c r="I142" s="19" t="e">
        <f>#REF!</f>
        <v>#REF!</v>
      </c>
      <c r="J142" s="19" t="e">
        <f>#REF!</f>
        <v>#REF!</v>
      </c>
      <c r="K142" s="19" t="e">
        <f>#REF!</f>
        <v>#REF!</v>
      </c>
      <c r="L142" s="19" t="e">
        <f>#REF!</f>
        <v>#REF!</v>
      </c>
      <c r="M142" s="19" t="e">
        <f>#REF!</f>
        <v>#REF!</v>
      </c>
      <c r="N142" s="20" t="e">
        <f t="shared" si="153"/>
        <v>#REF!</v>
      </c>
      <c r="P142" s="18" t="e">
        <f>#REF!</f>
        <v>#REF!</v>
      </c>
      <c r="Q142" s="19" t="e">
        <f>#REF!</f>
        <v>#REF!</v>
      </c>
      <c r="R142" s="19" t="e">
        <f>#REF!</f>
        <v>#REF!</v>
      </c>
      <c r="S142" s="19" t="e">
        <f>#REF!</f>
        <v>#REF!</v>
      </c>
      <c r="T142" s="19" t="e">
        <f>#REF!</f>
        <v>#REF!</v>
      </c>
      <c r="U142" s="52" t="e">
        <f>#REF!</f>
        <v>#REF!</v>
      </c>
      <c r="V142" s="19" t="e">
        <f>#REF!</f>
        <v>#REF!</v>
      </c>
      <c r="W142" s="19" t="e">
        <f>#REF!</f>
        <v>#REF!</v>
      </c>
      <c r="X142" s="19" t="e">
        <f>#REF!</f>
        <v>#REF!</v>
      </c>
      <c r="Y142" s="19" t="e">
        <f>#REF!</f>
        <v>#REF!</v>
      </c>
      <c r="Z142" s="20" t="e">
        <f t="shared" si="154"/>
        <v>#REF!</v>
      </c>
      <c r="AA142" s="15" t="e">
        <f t="shared" si="158"/>
        <v>#REF!</v>
      </c>
      <c r="AB142" s="15" t="e">
        <f t="shared" si="162"/>
        <v>#REF!</v>
      </c>
      <c r="AC142" s="15" t="e">
        <f t="shared" si="162"/>
        <v>#REF!</v>
      </c>
      <c r="AD142" s="20" t="e">
        <f t="shared" si="156"/>
        <v>#REF!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#REF!</v>
      </c>
      <c r="AY142" s="15" t="e">
        <f t="shared" si="169"/>
        <v>#REF!</v>
      </c>
      <c r="AZ142" s="15" t="e">
        <f t="shared" si="137"/>
        <v>#REF!</v>
      </c>
      <c r="BA142" s="15"/>
      <c r="BB142" s="15"/>
      <c r="BC142" s="15"/>
    </row>
    <row r="143" spans="1:56" x14ac:dyDescent="0.2">
      <c r="A143" s="13"/>
      <c r="B143" s="8" t="s">
        <v>67</v>
      </c>
      <c r="C143" s="39">
        <v>22</v>
      </c>
      <c r="D143" s="9" t="e">
        <f>#REF!</f>
        <v>#REF!</v>
      </c>
      <c r="E143" s="10" t="e">
        <f>#REF!</f>
        <v>#REF!</v>
      </c>
      <c r="F143" s="10" t="e">
        <f>#REF!</f>
        <v>#REF!</v>
      </c>
      <c r="G143" s="10" t="e">
        <f>#REF!</f>
        <v>#REF!</v>
      </c>
      <c r="H143" s="10" t="e">
        <f>#REF!</f>
        <v>#REF!</v>
      </c>
      <c r="I143" s="10" t="e">
        <f>#REF!</f>
        <v>#REF!</v>
      </c>
      <c r="J143" s="10" t="e">
        <f>#REF!</f>
        <v>#REF!</v>
      </c>
      <c r="K143" s="10" t="e">
        <f>#REF!</f>
        <v>#REF!</v>
      </c>
      <c r="L143" s="10" t="e">
        <f>#REF!</f>
        <v>#REF!</v>
      </c>
      <c r="M143" s="10" t="e">
        <f>#REF!</f>
        <v>#REF!</v>
      </c>
      <c r="N143" s="11" t="e">
        <f t="shared" si="153"/>
        <v>#REF!</v>
      </c>
      <c r="P143" s="9" t="e">
        <f>#REF!</f>
        <v>#REF!</v>
      </c>
      <c r="Q143" s="10" t="e">
        <f>#REF!</f>
        <v>#REF!</v>
      </c>
      <c r="R143" s="10" t="e">
        <f>#REF!</f>
        <v>#REF!</v>
      </c>
      <c r="S143" s="10" t="e">
        <f>#REF!</f>
        <v>#REF!</v>
      </c>
      <c r="T143" s="10" t="e">
        <f>#REF!</f>
        <v>#REF!</v>
      </c>
      <c r="U143" s="50" t="e">
        <f>#REF!</f>
        <v>#REF!</v>
      </c>
      <c r="V143" s="10" t="e">
        <f>#REF!</f>
        <v>#REF!</v>
      </c>
      <c r="W143" s="10" t="e">
        <f>#REF!</f>
        <v>#REF!</v>
      </c>
      <c r="X143" s="10" t="e">
        <f>#REF!</f>
        <v>#REF!</v>
      </c>
      <c r="Y143" s="10" t="e">
        <f>#REF!</f>
        <v>#REF!</v>
      </c>
      <c r="Z143" s="11" t="e">
        <f t="shared" si="154"/>
        <v>#REF!</v>
      </c>
      <c r="AA143" s="15" t="e">
        <f t="shared" si="158"/>
        <v>#REF!</v>
      </c>
      <c r="AB143" s="15" t="e">
        <f t="shared" si="162"/>
        <v>#REF!</v>
      </c>
      <c r="AC143" s="15" t="e">
        <f t="shared" si="162"/>
        <v>#REF!</v>
      </c>
      <c r="AD143" s="11" t="e">
        <f t="shared" si="156"/>
        <v>#REF!</v>
      </c>
      <c r="AE143" s="12"/>
      <c r="AF143" s="25" t="e">
        <f t="shared" ref="AF143:AH143" si="170">bdRateExtend($D143:$D147,E143:E147,$P143:$P147,Q143:Q147)</f>
        <v>#VALUE!</v>
      </c>
      <c r="AG143" s="30" t="e">
        <f t="shared" si="170"/>
        <v>#VALUE!</v>
      </c>
      <c r="AH143" s="31" t="e">
        <f t="shared" si="170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71">bdrate($D143:$D146,E143:E146,$P143:$P146,Q143:Q146)</f>
        <v>#VALUE!</v>
      </c>
      <c r="AS143" s="30" t="e">
        <f t="shared" si="171"/>
        <v>#VALUE!</v>
      </c>
      <c r="AT143" s="31" t="e">
        <f t="shared" si="171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#REF!</v>
      </c>
      <c r="BB143" s="15" t="e">
        <f t="shared" ref="BB143:BB146" si="172">X143/L143</f>
        <v>#REF!</v>
      </c>
      <c r="BC143" s="15" t="e">
        <f t="shared" si="133"/>
        <v>#REF!</v>
      </c>
    </row>
    <row r="144" spans="1:56" x14ac:dyDescent="0.2">
      <c r="A144" s="13"/>
      <c r="B144" s="13"/>
      <c r="C144" s="43">
        <v>27</v>
      </c>
      <c r="D144" s="14" t="e">
        <f>#REF!</f>
        <v>#REF!</v>
      </c>
      <c r="E144" s="15" t="e">
        <f>#REF!</f>
        <v>#REF!</v>
      </c>
      <c r="F144" s="15" t="e">
        <f>#REF!</f>
        <v>#REF!</v>
      </c>
      <c r="G144" s="15" t="e">
        <f>#REF!</f>
        <v>#REF!</v>
      </c>
      <c r="H144" s="15" t="e">
        <f>#REF!</f>
        <v>#REF!</v>
      </c>
      <c r="I144" s="15" t="e">
        <f>#REF!</f>
        <v>#REF!</v>
      </c>
      <c r="J144" s="15" t="e">
        <f>#REF!</f>
        <v>#REF!</v>
      </c>
      <c r="K144" s="15" t="e">
        <f>#REF!</f>
        <v>#REF!</v>
      </c>
      <c r="L144" s="15" t="e">
        <f>#REF!</f>
        <v>#REF!</v>
      </c>
      <c r="M144" s="15" t="e">
        <f>#REF!</f>
        <v>#REF!</v>
      </c>
      <c r="N144" s="16" t="e">
        <f t="shared" si="153"/>
        <v>#REF!</v>
      </c>
      <c r="P144" s="14" t="e">
        <f>#REF!</f>
        <v>#REF!</v>
      </c>
      <c r="Q144" s="15" t="e">
        <f>#REF!</f>
        <v>#REF!</v>
      </c>
      <c r="R144" s="15" t="e">
        <f>#REF!</f>
        <v>#REF!</v>
      </c>
      <c r="S144" s="15" t="e">
        <f>#REF!</f>
        <v>#REF!</v>
      </c>
      <c r="T144" s="15" t="e">
        <f>#REF!</f>
        <v>#REF!</v>
      </c>
      <c r="U144" s="51" t="e">
        <f>#REF!</f>
        <v>#REF!</v>
      </c>
      <c r="V144" s="15" t="e">
        <f>#REF!</f>
        <v>#REF!</v>
      </c>
      <c r="W144" s="15" t="e">
        <f>#REF!</f>
        <v>#REF!</v>
      </c>
      <c r="X144" s="15" t="e">
        <f>#REF!</f>
        <v>#REF!</v>
      </c>
      <c r="Y144" s="15" t="e">
        <f>#REF!</f>
        <v>#REF!</v>
      </c>
      <c r="Z144" s="16" t="e">
        <f t="shared" si="154"/>
        <v>#REF!</v>
      </c>
      <c r="AA144" s="15" t="e">
        <f t="shared" si="158"/>
        <v>#REF!</v>
      </c>
      <c r="AB144" s="15" t="e">
        <f t="shared" si="162"/>
        <v>#REF!</v>
      </c>
      <c r="AC144" s="15" t="e">
        <f t="shared" si="162"/>
        <v>#REF!</v>
      </c>
      <c r="AD144" s="16" t="e">
        <f t="shared" si="156"/>
        <v>#REF!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73">bdrate($D144:$D147,E144:E147,$P144:$P147,Q144:Q147)</f>
        <v>#VALUE!</v>
      </c>
      <c r="AM144" s="21" t="e">
        <f t="shared" si="173"/>
        <v>#VALUE!</v>
      </c>
      <c r="AN144" s="36" t="e">
        <f t="shared" si="173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#REF!</v>
      </c>
      <c r="AY144" s="15" t="e">
        <f t="shared" ref="AY144:AY147" si="174">X144/L144</f>
        <v>#REF!</v>
      </c>
      <c r="AZ144" s="15" t="e">
        <f t="shared" si="137"/>
        <v>#REF!</v>
      </c>
      <c r="BA144" s="15" t="e">
        <f>V144/J144</f>
        <v>#REF!</v>
      </c>
      <c r="BB144" s="15" t="e">
        <f t="shared" si="172"/>
        <v>#REF!</v>
      </c>
      <c r="BC144" s="15" t="e">
        <f t="shared" si="133"/>
        <v>#REF!</v>
      </c>
    </row>
    <row r="145" spans="1:55" x14ac:dyDescent="0.2">
      <c r="A145" s="13"/>
      <c r="B145" s="13"/>
      <c r="C145" s="43">
        <v>32</v>
      </c>
      <c r="D145" s="14" t="e">
        <f>#REF!</f>
        <v>#REF!</v>
      </c>
      <c r="E145" s="15" t="e">
        <f>#REF!</f>
        <v>#REF!</v>
      </c>
      <c r="F145" s="15" t="e">
        <f>#REF!</f>
        <v>#REF!</v>
      </c>
      <c r="G145" s="15" t="e">
        <f>#REF!</f>
        <v>#REF!</v>
      </c>
      <c r="H145" s="15" t="e">
        <f>#REF!</f>
        <v>#REF!</v>
      </c>
      <c r="I145" s="15" t="e">
        <f>#REF!</f>
        <v>#REF!</v>
      </c>
      <c r="J145" s="15" t="e">
        <f>#REF!</f>
        <v>#REF!</v>
      </c>
      <c r="K145" s="15" t="e">
        <f>#REF!</f>
        <v>#REF!</v>
      </c>
      <c r="L145" s="15" t="e">
        <f>#REF!</f>
        <v>#REF!</v>
      </c>
      <c r="M145" s="15" t="e">
        <f>#REF!</f>
        <v>#REF!</v>
      </c>
      <c r="N145" s="16" t="e">
        <f t="shared" si="153"/>
        <v>#REF!</v>
      </c>
      <c r="P145" s="14" t="e">
        <f>#REF!</f>
        <v>#REF!</v>
      </c>
      <c r="Q145" s="15" t="e">
        <f>#REF!</f>
        <v>#REF!</v>
      </c>
      <c r="R145" s="15" t="e">
        <f>#REF!</f>
        <v>#REF!</v>
      </c>
      <c r="S145" s="15" t="e">
        <f>#REF!</f>
        <v>#REF!</v>
      </c>
      <c r="T145" s="15" t="e">
        <f>#REF!</f>
        <v>#REF!</v>
      </c>
      <c r="U145" s="51" t="e">
        <f>#REF!</f>
        <v>#REF!</v>
      </c>
      <c r="V145" s="15" t="e">
        <f>#REF!</f>
        <v>#REF!</v>
      </c>
      <c r="W145" s="15" t="e">
        <f>#REF!</f>
        <v>#REF!</v>
      </c>
      <c r="X145" s="15" t="e">
        <f>#REF!</f>
        <v>#REF!</v>
      </c>
      <c r="Y145" s="15" t="e">
        <f>#REF!</f>
        <v>#REF!</v>
      </c>
      <c r="Z145" s="16" t="e">
        <f t="shared" si="154"/>
        <v>#REF!</v>
      </c>
      <c r="AA145" s="15" t="e">
        <f t="shared" si="158"/>
        <v>#REF!</v>
      </c>
      <c r="AB145" s="15" t="e">
        <f t="shared" si="162"/>
        <v>#REF!</v>
      </c>
      <c r="AC145" s="15" t="e">
        <f t="shared" si="162"/>
        <v>#REF!</v>
      </c>
      <c r="AD145" s="16" t="e">
        <f t="shared" si="156"/>
        <v>#REF!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#REF!</v>
      </c>
      <c r="AY145" s="15" t="e">
        <f t="shared" si="174"/>
        <v>#REF!</v>
      </c>
      <c r="AZ145" s="15" t="e">
        <f t="shared" si="137"/>
        <v>#REF!</v>
      </c>
      <c r="BA145" s="15" t="e">
        <f>V145/J145</f>
        <v>#REF!</v>
      </c>
      <c r="BB145" s="15" t="e">
        <f t="shared" si="172"/>
        <v>#REF!</v>
      </c>
      <c r="BC145" s="15" t="e">
        <f t="shared" si="133"/>
        <v>#REF!</v>
      </c>
    </row>
    <row r="146" spans="1:55" x14ac:dyDescent="0.2">
      <c r="A146" s="13"/>
      <c r="B146" s="13"/>
      <c r="C146" s="43">
        <v>37</v>
      </c>
      <c r="D146" s="14" t="e">
        <f>#REF!</f>
        <v>#REF!</v>
      </c>
      <c r="E146" s="15" t="e">
        <f>#REF!</f>
        <v>#REF!</v>
      </c>
      <c r="F146" s="15" t="e">
        <f>#REF!</f>
        <v>#REF!</v>
      </c>
      <c r="G146" s="15" t="e">
        <f>#REF!</f>
        <v>#REF!</v>
      </c>
      <c r="H146" s="15" t="e">
        <f>#REF!</f>
        <v>#REF!</v>
      </c>
      <c r="I146" s="15" t="e">
        <f>#REF!</f>
        <v>#REF!</v>
      </c>
      <c r="J146" s="15" t="e">
        <f>#REF!</f>
        <v>#REF!</v>
      </c>
      <c r="K146" s="15" t="e">
        <f>#REF!</f>
        <v>#REF!</v>
      </c>
      <c r="L146" s="15" t="e">
        <f>#REF!</f>
        <v>#REF!</v>
      </c>
      <c r="M146" s="15" t="e">
        <f>#REF!</f>
        <v>#REF!</v>
      </c>
      <c r="N146" s="16" t="e">
        <f t="shared" si="153"/>
        <v>#REF!</v>
      </c>
      <c r="P146" s="14" t="e">
        <f>#REF!</f>
        <v>#REF!</v>
      </c>
      <c r="Q146" s="15" t="e">
        <f>#REF!</f>
        <v>#REF!</v>
      </c>
      <c r="R146" s="15" t="e">
        <f>#REF!</f>
        <v>#REF!</v>
      </c>
      <c r="S146" s="15" t="e">
        <f>#REF!</f>
        <v>#REF!</v>
      </c>
      <c r="T146" s="15" t="e">
        <f>#REF!</f>
        <v>#REF!</v>
      </c>
      <c r="U146" s="51" t="e">
        <f>#REF!</f>
        <v>#REF!</v>
      </c>
      <c r="V146" s="15" t="e">
        <f>#REF!</f>
        <v>#REF!</v>
      </c>
      <c r="W146" s="15" t="e">
        <f>#REF!</f>
        <v>#REF!</v>
      </c>
      <c r="X146" s="15" t="e">
        <f>#REF!</f>
        <v>#REF!</v>
      </c>
      <c r="Y146" s="15" t="e">
        <f>#REF!</f>
        <v>#REF!</v>
      </c>
      <c r="Z146" s="16" t="e">
        <f t="shared" si="154"/>
        <v>#REF!</v>
      </c>
      <c r="AA146" s="15" t="e">
        <f t="shared" si="158"/>
        <v>#REF!</v>
      </c>
      <c r="AB146" s="15" t="e">
        <f t="shared" si="162"/>
        <v>#REF!</v>
      </c>
      <c r="AC146" s="15" t="e">
        <f t="shared" si="162"/>
        <v>#REF!</v>
      </c>
      <c r="AD146" s="16" t="e">
        <f t="shared" si="156"/>
        <v>#REF!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#REF!</v>
      </c>
      <c r="AY146" s="15" t="e">
        <f t="shared" si="174"/>
        <v>#REF!</v>
      </c>
      <c r="AZ146" s="15" t="e">
        <f t="shared" si="137"/>
        <v>#REF!</v>
      </c>
      <c r="BA146" s="15" t="e">
        <f>V146/J146</f>
        <v>#REF!</v>
      </c>
      <c r="BB146" s="15" t="e">
        <f t="shared" si="172"/>
        <v>#REF!</v>
      </c>
      <c r="BC146" s="15" t="e">
        <f t="shared" si="133"/>
        <v>#REF!</v>
      </c>
    </row>
    <row r="147" spans="1:55" ht="12.75" thickBot="1" x14ac:dyDescent="0.25">
      <c r="A147" s="13"/>
      <c r="B147" s="17"/>
      <c r="C147" s="44">
        <v>42</v>
      </c>
      <c r="D147" s="18" t="e">
        <f>#REF!</f>
        <v>#REF!</v>
      </c>
      <c r="E147" s="19" t="e">
        <f>#REF!</f>
        <v>#REF!</v>
      </c>
      <c r="F147" s="19" t="e">
        <f>#REF!</f>
        <v>#REF!</v>
      </c>
      <c r="G147" s="19" t="e">
        <f>#REF!</f>
        <v>#REF!</v>
      </c>
      <c r="H147" s="19" t="e">
        <f>#REF!</f>
        <v>#REF!</v>
      </c>
      <c r="I147" s="19" t="e">
        <f>#REF!</f>
        <v>#REF!</v>
      </c>
      <c r="J147" s="19" t="e">
        <f>#REF!</f>
        <v>#REF!</v>
      </c>
      <c r="K147" s="19" t="e">
        <f>#REF!</f>
        <v>#REF!</v>
      </c>
      <c r="L147" s="19" t="e">
        <f>#REF!</f>
        <v>#REF!</v>
      </c>
      <c r="M147" s="19" t="e">
        <f>#REF!</f>
        <v>#REF!</v>
      </c>
      <c r="N147" s="20" t="e">
        <f t="shared" si="153"/>
        <v>#REF!</v>
      </c>
      <c r="P147" s="18" t="e">
        <f>#REF!</f>
        <v>#REF!</v>
      </c>
      <c r="Q147" s="19" t="e">
        <f>#REF!</f>
        <v>#REF!</v>
      </c>
      <c r="R147" s="19" t="e">
        <f>#REF!</f>
        <v>#REF!</v>
      </c>
      <c r="S147" s="19" t="e">
        <f>#REF!</f>
        <v>#REF!</v>
      </c>
      <c r="T147" s="19" t="e">
        <f>#REF!</f>
        <v>#REF!</v>
      </c>
      <c r="U147" s="52" t="e">
        <f>#REF!</f>
        <v>#REF!</v>
      </c>
      <c r="V147" s="19" t="e">
        <f>#REF!</f>
        <v>#REF!</v>
      </c>
      <c r="W147" s="19" t="e">
        <f>#REF!</f>
        <v>#REF!</v>
      </c>
      <c r="X147" s="19" t="e">
        <f>#REF!</f>
        <v>#REF!</v>
      </c>
      <c r="Y147" s="19" t="e">
        <f>#REF!</f>
        <v>#REF!</v>
      </c>
      <c r="Z147" s="20" t="e">
        <f t="shared" si="154"/>
        <v>#REF!</v>
      </c>
      <c r="AA147" s="15" t="e">
        <f t="shared" si="158"/>
        <v>#REF!</v>
      </c>
      <c r="AB147" s="15" t="e">
        <f t="shared" si="162"/>
        <v>#REF!</v>
      </c>
      <c r="AC147" s="15" t="e">
        <f t="shared" si="162"/>
        <v>#REF!</v>
      </c>
      <c r="AD147" s="20" t="e">
        <f t="shared" si="156"/>
        <v>#REF!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#REF!</v>
      </c>
      <c r="AY147" s="15" t="e">
        <f t="shared" si="174"/>
        <v>#REF!</v>
      </c>
      <c r="AZ147" s="15" t="e">
        <f t="shared" si="137"/>
        <v>#REF!</v>
      </c>
      <c r="BA147" s="15"/>
      <c r="BB147" s="15"/>
      <c r="BC147" s="15"/>
    </row>
    <row r="148" spans="1:55" x14ac:dyDescent="0.2">
      <c r="A148" s="13"/>
      <c r="B148" s="8" t="s">
        <v>68</v>
      </c>
      <c r="C148" s="39">
        <v>22</v>
      </c>
      <c r="D148" s="9" t="e">
        <f>#REF!</f>
        <v>#REF!</v>
      </c>
      <c r="E148" s="10" t="e">
        <f>#REF!</f>
        <v>#REF!</v>
      </c>
      <c r="F148" s="10" t="e">
        <f>#REF!</f>
        <v>#REF!</v>
      </c>
      <c r="G148" s="10" t="e">
        <f>#REF!</f>
        <v>#REF!</v>
      </c>
      <c r="H148" s="10" t="e">
        <f>#REF!</f>
        <v>#REF!</v>
      </c>
      <c r="I148" s="10" t="e">
        <f>#REF!</f>
        <v>#REF!</v>
      </c>
      <c r="J148" s="10" t="e">
        <f>#REF!</f>
        <v>#REF!</v>
      </c>
      <c r="K148" s="10" t="e">
        <f>#REF!</f>
        <v>#REF!</v>
      </c>
      <c r="L148" s="10" t="e">
        <f>#REF!</f>
        <v>#REF!</v>
      </c>
      <c r="M148" s="10" t="e">
        <f>#REF!</f>
        <v>#REF!</v>
      </c>
      <c r="N148" s="11" t="e">
        <f t="shared" si="153"/>
        <v>#REF!</v>
      </c>
      <c r="P148" s="9" t="e">
        <f>#REF!</f>
        <v>#REF!</v>
      </c>
      <c r="Q148" s="10" t="e">
        <f>#REF!</f>
        <v>#REF!</v>
      </c>
      <c r="R148" s="10" t="e">
        <f>#REF!</f>
        <v>#REF!</v>
      </c>
      <c r="S148" s="10" t="e">
        <f>#REF!</f>
        <v>#REF!</v>
      </c>
      <c r="T148" s="10" t="e">
        <f>#REF!</f>
        <v>#REF!</v>
      </c>
      <c r="U148" s="50" t="e">
        <f>#REF!</f>
        <v>#REF!</v>
      </c>
      <c r="V148" s="10" t="e">
        <f>#REF!</f>
        <v>#REF!</v>
      </c>
      <c r="W148" s="10" t="e">
        <f>#REF!</f>
        <v>#REF!</v>
      </c>
      <c r="X148" s="10" t="e">
        <f>#REF!</f>
        <v>#REF!</v>
      </c>
      <c r="Y148" s="10" t="e">
        <f>#REF!</f>
        <v>#REF!</v>
      </c>
      <c r="Z148" s="11" t="e">
        <f t="shared" si="154"/>
        <v>#REF!</v>
      </c>
      <c r="AA148" s="15" t="e">
        <f t="shared" si="158"/>
        <v>#REF!</v>
      </c>
      <c r="AB148" s="15" t="e">
        <f t="shared" si="162"/>
        <v>#REF!</v>
      </c>
      <c r="AC148" s="15" t="e">
        <f t="shared" si="162"/>
        <v>#REF!</v>
      </c>
      <c r="AD148" s="11" t="e">
        <f t="shared" si="156"/>
        <v>#REF!</v>
      </c>
      <c r="AE148" s="12"/>
      <c r="AF148" s="25" t="e">
        <f t="shared" ref="AF148:AH148" si="175">bdRateExtend($D148:$D152,E148:E152,$P148:$P152,Q148:Q152)</f>
        <v>#VALUE!</v>
      </c>
      <c r="AG148" s="30" t="e">
        <f t="shared" si="175"/>
        <v>#VALUE!</v>
      </c>
      <c r="AH148" s="31" t="e">
        <f t="shared" si="175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76">bdrate($D148:$D151,E148:E151,$P148:$P151,Q148:Q151)</f>
        <v>#VALUE!</v>
      </c>
      <c r="AS148" s="30" t="e">
        <f t="shared" si="176"/>
        <v>#VALUE!</v>
      </c>
      <c r="AT148" s="31" t="e">
        <f t="shared" si="176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#REF!</v>
      </c>
      <c r="BB148" s="15" t="e">
        <f t="shared" ref="BB148:BB151" si="177">X148/L148</f>
        <v>#REF!</v>
      </c>
      <c r="BC148" s="15" t="e">
        <f t="shared" si="133"/>
        <v>#REF!</v>
      </c>
    </row>
    <row r="149" spans="1:55" x14ac:dyDescent="0.2">
      <c r="A149" s="13"/>
      <c r="B149" s="13"/>
      <c r="C149" s="43">
        <v>27</v>
      </c>
      <c r="D149" s="14" t="e">
        <f>#REF!</f>
        <v>#REF!</v>
      </c>
      <c r="E149" s="15" t="e">
        <f>#REF!</f>
        <v>#REF!</v>
      </c>
      <c r="F149" s="15" t="e">
        <f>#REF!</f>
        <v>#REF!</v>
      </c>
      <c r="G149" s="15" t="e">
        <f>#REF!</f>
        <v>#REF!</v>
      </c>
      <c r="H149" s="15" t="e">
        <f>#REF!</f>
        <v>#REF!</v>
      </c>
      <c r="I149" s="15" t="e">
        <f>#REF!</f>
        <v>#REF!</v>
      </c>
      <c r="J149" s="15" t="e">
        <f>#REF!</f>
        <v>#REF!</v>
      </c>
      <c r="K149" s="15" t="e">
        <f>#REF!</f>
        <v>#REF!</v>
      </c>
      <c r="L149" s="15" t="e">
        <f>#REF!</f>
        <v>#REF!</v>
      </c>
      <c r="M149" s="15" t="e">
        <f>#REF!</f>
        <v>#REF!</v>
      </c>
      <c r="N149" s="16" t="e">
        <f t="shared" si="153"/>
        <v>#REF!</v>
      </c>
      <c r="P149" s="14" t="e">
        <f>#REF!</f>
        <v>#REF!</v>
      </c>
      <c r="Q149" s="15" t="e">
        <f>#REF!</f>
        <v>#REF!</v>
      </c>
      <c r="R149" s="15" t="e">
        <f>#REF!</f>
        <v>#REF!</v>
      </c>
      <c r="S149" s="15" t="e">
        <f>#REF!</f>
        <v>#REF!</v>
      </c>
      <c r="T149" s="15" t="e">
        <f>#REF!</f>
        <v>#REF!</v>
      </c>
      <c r="U149" s="51" t="e">
        <f>#REF!</f>
        <v>#REF!</v>
      </c>
      <c r="V149" s="15" t="e">
        <f>#REF!</f>
        <v>#REF!</v>
      </c>
      <c r="W149" s="15" t="e">
        <f>#REF!</f>
        <v>#REF!</v>
      </c>
      <c r="X149" s="15" t="e">
        <f>#REF!</f>
        <v>#REF!</v>
      </c>
      <c r="Y149" s="15" t="e">
        <f>#REF!</f>
        <v>#REF!</v>
      </c>
      <c r="Z149" s="16" t="e">
        <f t="shared" si="154"/>
        <v>#REF!</v>
      </c>
      <c r="AA149" s="15" t="e">
        <f t="shared" si="158"/>
        <v>#REF!</v>
      </c>
      <c r="AB149" s="15" t="e">
        <f t="shared" si="162"/>
        <v>#REF!</v>
      </c>
      <c r="AC149" s="15" t="e">
        <f t="shared" si="162"/>
        <v>#REF!</v>
      </c>
      <c r="AD149" s="16" t="e">
        <f t="shared" si="156"/>
        <v>#REF!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78">bdrate($D149:$D152,E149:E152,$P149:$P152,Q149:Q152)</f>
        <v>#VALUE!</v>
      </c>
      <c r="AM149" s="21" t="e">
        <f t="shared" si="178"/>
        <v>#VALUE!</v>
      </c>
      <c r="AN149" s="36" t="e">
        <f t="shared" si="178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#REF!</v>
      </c>
      <c r="AY149" s="15" t="e">
        <f t="shared" ref="AY149:AY152" si="179">X149/L149</f>
        <v>#REF!</v>
      </c>
      <c r="AZ149" s="15" t="e">
        <f t="shared" si="137"/>
        <v>#REF!</v>
      </c>
      <c r="BA149" s="15" t="e">
        <f>V149/J149</f>
        <v>#REF!</v>
      </c>
      <c r="BB149" s="15" t="e">
        <f t="shared" si="177"/>
        <v>#REF!</v>
      </c>
      <c r="BC149" s="15" t="e">
        <f t="shared" si="133"/>
        <v>#REF!</v>
      </c>
    </row>
    <row r="150" spans="1:55" x14ac:dyDescent="0.2">
      <c r="A150" s="13"/>
      <c r="B150" s="13"/>
      <c r="C150" s="43">
        <v>32</v>
      </c>
      <c r="D150" s="14" t="e">
        <f>#REF!</f>
        <v>#REF!</v>
      </c>
      <c r="E150" s="15" t="e">
        <f>#REF!</f>
        <v>#REF!</v>
      </c>
      <c r="F150" s="15" t="e">
        <f>#REF!</f>
        <v>#REF!</v>
      </c>
      <c r="G150" s="15" t="e">
        <f>#REF!</f>
        <v>#REF!</v>
      </c>
      <c r="H150" s="15" t="e">
        <f>#REF!</f>
        <v>#REF!</v>
      </c>
      <c r="I150" s="15" t="e">
        <f>#REF!</f>
        <v>#REF!</v>
      </c>
      <c r="J150" s="15" t="e">
        <f>#REF!</f>
        <v>#REF!</v>
      </c>
      <c r="K150" s="15" t="e">
        <f>#REF!</f>
        <v>#REF!</v>
      </c>
      <c r="L150" s="15" t="e">
        <f>#REF!</f>
        <v>#REF!</v>
      </c>
      <c r="M150" s="15" t="e">
        <f>#REF!</f>
        <v>#REF!</v>
      </c>
      <c r="N150" s="16" t="e">
        <f t="shared" si="153"/>
        <v>#REF!</v>
      </c>
      <c r="P150" s="14" t="e">
        <f>#REF!</f>
        <v>#REF!</v>
      </c>
      <c r="Q150" s="15" t="e">
        <f>#REF!</f>
        <v>#REF!</v>
      </c>
      <c r="R150" s="15" t="e">
        <f>#REF!</f>
        <v>#REF!</v>
      </c>
      <c r="S150" s="15" t="e">
        <f>#REF!</f>
        <v>#REF!</v>
      </c>
      <c r="T150" s="15" t="e">
        <f>#REF!</f>
        <v>#REF!</v>
      </c>
      <c r="U150" s="51" t="e">
        <f>#REF!</f>
        <v>#REF!</v>
      </c>
      <c r="V150" s="15" t="e">
        <f>#REF!</f>
        <v>#REF!</v>
      </c>
      <c r="W150" s="15" t="e">
        <f>#REF!</f>
        <v>#REF!</v>
      </c>
      <c r="X150" s="15" t="e">
        <f>#REF!</f>
        <v>#REF!</v>
      </c>
      <c r="Y150" s="15" t="e">
        <f>#REF!</f>
        <v>#REF!</v>
      </c>
      <c r="Z150" s="16" t="e">
        <f t="shared" si="154"/>
        <v>#REF!</v>
      </c>
      <c r="AA150" s="15" t="e">
        <f t="shared" si="158"/>
        <v>#REF!</v>
      </c>
      <c r="AB150" s="15" t="e">
        <f t="shared" si="162"/>
        <v>#REF!</v>
      </c>
      <c r="AC150" s="15" t="e">
        <f t="shared" si="162"/>
        <v>#REF!</v>
      </c>
      <c r="AD150" s="16" t="e">
        <f t="shared" si="156"/>
        <v>#REF!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#REF!</v>
      </c>
      <c r="AY150" s="15" t="e">
        <f t="shared" si="179"/>
        <v>#REF!</v>
      </c>
      <c r="AZ150" s="15" t="e">
        <f t="shared" si="137"/>
        <v>#REF!</v>
      </c>
      <c r="BA150" s="15" t="e">
        <f>V150/J150</f>
        <v>#REF!</v>
      </c>
      <c r="BB150" s="15" t="e">
        <f t="shared" si="177"/>
        <v>#REF!</v>
      </c>
      <c r="BC150" s="15" t="e">
        <f t="shared" si="133"/>
        <v>#REF!</v>
      </c>
    </row>
    <row r="151" spans="1:55" x14ac:dyDescent="0.2">
      <c r="A151" s="13"/>
      <c r="B151" s="13"/>
      <c r="C151" s="43">
        <v>37</v>
      </c>
      <c r="D151" s="14" t="e">
        <f>#REF!</f>
        <v>#REF!</v>
      </c>
      <c r="E151" s="15" t="e">
        <f>#REF!</f>
        <v>#REF!</v>
      </c>
      <c r="F151" s="15" t="e">
        <f>#REF!</f>
        <v>#REF!</v>
      </c>
      <c r="G151" s="15" t="e">
        <f>#REF!</f>
        <v>#REF!</v>
      </c>
      <c r="H151" s="15" t="e">
        <f>#REF!</f>
        <v>#REF!</v>
      </c>
      <c r="I151" s="15" t="e">
        <f>#REF!</f>
        <v>#REF!</v>
      </c>
      <c r="J151" s="15" t="e">
        <f>#REF!</f>
        <v>#REF!</v>
      </c>
      <c r="K151" s="15" t="e">
        <f>#REF!</f>
        <v>#REF!</v>
      </c>
      <c r="L151" s="15" t="e">
        <f>#REF!</f>
        <v>#REF!</v>
      </c>
      <c r="M151" s="15" t="e">
        <f>#REF!</f>
        <v>#REF!</v>
      </c>
      <c r="N151" s="16" t="e">
        <f t="shared" si="153"/>
        <v>#REF!</v>
      </c>
      <c r="P151" s="14" t="e">
        <f>#REF!</f>
        <v>#REF!</v>
      </c>
      <c r="Q151" s="15" t="e">
        <f>#REF!</f>
        <v>#REF!</v>
      </c>
      <c r="R151" s="15" t="e">
        <f>#REF!</f>
        <v>#REF!</v>
      </c>
      <c r="S151" s="15" t="e">
        <f>#REF!</f>
        <v>#REF!</v>
      </c>
      <c r="T151" s="15" t="e">
        <f>#REF!</f>
        <v>#REF!</v>
      </c>
      <c r="U151" s="51" t="e">
        <f>#REF!</f>
        <v>#REF!</v>
      </c>
      <c r="V151" s="15" t="e">
        <f>#REF!</f>
        <v>#REF!</v>
      </c>
      <c r="W151" s="15" t="e">
        <f>#REF!</f>
        <v>#REF!</v>
      </c>
      <c r="X151" s="15" t="e">
        <f>#REF!</f>
        <v>#REF!</v>
      </c>
      <c r="Y151" s="15" t="e">
        <f>#REF!</f>
        <v>#REF!</v>
      </c>
      <c r="Z151" s="16" t="e">
        <f t="shared" si="154"/>
        <v>#REF!</v>
      </c>
      <c r="AA151" s="15" t="e">
        <f t="shared" si="158"/>
        <v>#REF!</v>
      </c>
      <c r="AB151" s="15" t="e">
        <f t="shared" si="162"/>
        <v>#REF!</v>
      </c>
      <c r="AC151" s="15" t="e">
        <f t="shared" si="162"/>
        <v>#REF!</v>
      </c>
      <c r="AD151" s="16" t="e">
        <f t="shared" si="156"/>
        <v>#REF!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#REF!</v>
      </c>
      <c r="AY151" s="15" t="e">
        <f t="shared" si="179"/>
        <v>#REF!</v>
      </c>
      <c r="AZ151" s="15" t="e">
        <f t="shared" si="137"/>
        <v>#REF!</v>
      </c>
      <c r="BA151" s="15" t="e">
        <f>V151/J151</f>
        <v>#REF!</v>
      </c>
      <c r="BB151" s="15" t="e">
        <f t="shared" si="177"/>
        <v>#REF!</v>
      </c>
      <c r="BC151" s="15" t="e">
        <f t="shared" si="133"/>
        <v>#REF!</v>
      </c>
    </row>
    <row r="152" spans="1:55" ht="12.75" thickBot="1" x14ac:dyDescent="0.25">
      <c r="A152" s="17"/>
      <c r="B152" s="17"/>
      <c r="C152" s="44">
        <v>42</v>
      </c>
      <c r="D152" s="18" t="e">
        <f>#REF!</f>
        <v>#REF!</v>
      </c>
      <c r="E152" s="19" t="e">
        <f>#REF!</f>
        <v>#REF!</v>
      </c>
      <c r="F152" s="19" t="e">
        <f>#REF!</f>
        <v>#REF!</v>
      </c>
      <c r="G152" s="19" t="e">
        <f>#REF!</f>
        <v>#REF!</v>
      </c>
      <c r="H152" s="19" t="e">
        <f>#REF!</f>
        <v>#REF!</v>
      </c>
      <c r="I152" s="19" t="e">
        <f>#REF!</f>
        <v>#REF!</v>
      </c>
      <c r="J152" s="19" t="e">
        <f>#REF!</f>
        <v>#REF!</v>
      </c>
      <c r="K152" s="19" t="e">
        <f>#REF!</f>
        <v>#REF!</v>
      </c>
      <c r="L152" s="19" t="e">
        <f>#REF!</f>
        <v>#REF!</v>
      </c>
      <c r="M152" s="19" t="e">
        <f>#REF!</f>
        <v>#REF!</v>
      </c>
      <c r="N152" s="20" t="e">
        <f t="shared" si="153"/>
        <v>#REF!</v>
      </c>
      <c r="P152" s="18" t="e">
        <f>#REF!</f>
        <v>#REF!</v>
      </c>
      <c r="Q152" s="19" t="e">
        <f>#REF!</f>
        <v>#REF!</v>
      </c>
      <c r="R152" s="19" t="e">
        <f>#REF!</f>
        <v>#REF!</v>
      </c>
      <c r="S152" s="19" t="e">
        <f>#REF!</f>
        <v>#REF!</v>
      </c>
      <c r="T152" s="19" t="e">
        <f>#REF!</f>
        <v>#REF!</v>
      </c>
      <c r="U152" s="52" t="e">
        <f>#REF!</f>
        <v>#REF!</v>
      </c>
      <c r="V152" s="19" t="e">
        <f>#REF!</f>
        <v>#REF!</v>
      </c>
      <c r="W152" s="19" t="e">
        <f>#REF!</f>
        <v>#REF!</v>
      </c>
      <c r="X152" s="19" t="e">
        <f>#REF!</f>
        <v>#REF!</v>
      </c>
      <c r="Y152" s="19" t="e">
        <f>#REF!</f>
        <v>#REF!</v>
      </c>
      <c r="Z152" s="20" t="e">
        <f t="shared" si="154"/>
        <v>#REF!</v>
      </c>
      <c r="AA152" s="19" t="e">
        <f t="shared" si="158"/>
        <v>#REF!</v>
      </c>
      <c r="AB152" s="19" t="e">
        <f t="shared" si="162"/>
        <v>#REF!</v>
      </c>
      <c r="AC152" s="19" t="e">
        <f t="shared" si="162"/>
        <v>#REF!</v>
      </c>
      <c r="AD152" s="20" t="e">
        <f t="shared" si="156"/>
        <v>#REF!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#REF!</v>
      </c>
      <c r="AY152" s="19" t="e">
        <f t="shared" si="179"/>
        <v>#REF!</v>
      </c>
      <c r="AZ152" s="19" t="e">
        <f t="shared" si="137"/>
        <v>#REF!</v>
      </c>
      <c r="BA152" s="19"/>
      <c r="BB152" s="19"/>
      <c r="BC152" s="19"/>
    </row>
    <row r="153" spans="1:55" x14ac:dyDescent="0.2">
      <c r="B153" s="1" t="s">
        <v>40</v>
      </c>
      <c r="L153" s="12">
        <f>GEOMEAN(L3:L17)</f>
        <v>0.56791855189774076</v>
      </c>
      <c r="M153" s="12" t="e">
        <f>GEOMEAN(M3:M17)</f>
        <v>#REF!</v>
      </c>
      <c r="N153" s="12">
        <f>GEOMEAN(N3:N17)</f>
        <v>7.8025848950443052E-2</v>
      </c>
      <c r="X153" s="12">
        <f t="shared" ref="X153:AC153" si="180">GEOMEAN(X3:X17)</f>
        <v>0.64576628310871642</v>
      </c>
      <c r="Y153" s="12" t="e">
        <f t="shared" si="180"/>
        <v>#REF!</v>
      </c>
      <c r="Z153" s="12">
        <f>GEOMEAN(Z3:Z17)</f>
        <v>0.34210601686217579</v>
      </c>
      <c r="AA153" s="66">
        <f t="shared" si="180"/>
        <v>4.384521558739582</v>
      </c>
      <c r="AB153" s="66">
        <f t="shared" si="180"/>
        <v>1.1370755206901446</v>
      </c>
      <c r="AC153" s="12" t="e">
        <f t="shared" si="180"/>
        <v>#REF!</v>
      </c>
      <c r="AD153" s="12">
        <f t="shared" ref="AD153" si="181">AVERAGE(AD3:AD17)</f>
        <v>1.9728215510778874E-3</v>
      </c>
      <c r="AF153" s="25">
        <f t="shared" ref="AF153:AW153" si="182">AVERAGE(AF3:AF17)</f>
        <v>8.1192924672572142E-4</v>
      </c>
      <c r="AG153" s="30">
        <f t="shared" si="182"/>
        <v>-4.0468117689305876E-3</v>
      </c>
      <c r="AH153" s="30">
        <f t="shared" si="182"/>
        <v>3.7638016055499732E-3</v>
      </c>
      <c r="AI153" s="25">
        <f t="shared" si="182"/>
        <v>1.4145277870793265E-3</v>
      </c>
      <c r="AJ153" s="30">
        <f t="shared" si="182"/>
        <v>-3.4174816027426891E-3</v>
      </c>
      <c r="AK153" s="30">
        <f t="shared" si="182"/>
        <v>7.2515239247910772E-3</v>
      </c>
      <c r="AL153" s="25">
        <f t="shared" ref="AL153:AQ153" si="183">AVERAGE(AL4:AL18)</f>
        <v>1.3955552498579789E-3</v>
      </c>
      <c r="AM153" s="30">
        <f t="shared" si="183"/>
        <v>-6.1390111636046392E-3</v>
      </c>
      <c r="AN153" s="30">
        <f t="shared" si="183"/>
        <v>5.351102564612094E-3</v>
      </c>
      <c r="AO153" s="25">
        <f t="shared" si="183"/>
        <v>1.4460549084348944E-3</v>
      </c>
      <c r="AP153" s="30">
        <f t="shared" si="183"/>
        <v>-4.4886858513934662E-3</v>
      </c>
      <c r="AQ153" s="30">
        <f t="shared" si="183"/>
        <v>8.9959411082042671E-3</v>
      </c>
      <c r="AR153" s="25">
        <f t="shared" ref="AR153:AT153" si="184">AVERAGE(AR3:AR17)</f>
        <v>-4.4664176474129569E-4</v>
      </c>
      <c r="AS153" s="30">
        <f t="shared" si="184"/>
        <v>-1.6228219787208047E-3</v>
      </c>
      <c r="AT153" s="31">
        <f t="shared" si="184"/>
        <v>3.4019995673408854E-3</v>
      </c>
      <c r="AU153" s="25">
        <f t="shared" si="182"/>
        <v>-2.8037994843262599E-5</v>
      </c>
      <c r="AV153" s="30">
        <f t="shared" si="182"/>
        <v>-9.5078632813820152E-4</v>
      </c>
      <c r="AW153" s="31">
        <f t="shared" si="182"/>
        <v>6.4952294314023122E-3</v>
      </c>
      <c r="AX153" s="12">
        <f t="shared" ref="AX153:BC153" si="185">GEOMEAN(AX3:AX17)</f>
        <v>0.9999209791444541</v>
      </c>
      <c r="AY153" s="12">
        <f t="shared" si="185"/>
        <v>1.1753951688234918</v>
      </c>
      <c r="AZ153" s="12">
        <f t="shared" si="185"/>
        <v>5.1829331355006572</v>
      </c>
      <c r="BA153" s="12">
        <f t="shared" si="185"/>
        <v>0.99996460012679234</v>
      </c>
      <c r="BB153" s="12">
        <f t="shared" si="185"/>
        <v>1.160110393076081</v>
      </c>
      <c r="BC153" s="12">
        <f t="shared" si="185"/>
        <v>3.9934246721636768</v>
      </c>
    </row>
    <row r="154" spans="1:55" x14ac:dyDescent="0.2">
      <c r="B154" s="1" t="s">
        <v>41</v>
      </c>
      <c r="L154" s="12">
        <f>GEOMEAN(L18:L32)</f>
        <v>0.74249602810634086</v>
      </c>
      <c r="M154" s="12" t="e">
        <f>GEOMEAN(M18:M32)</f>
        <v>#REF!</v>
      </c>
      <c r="N154" s="12">
        <f>GEOMEAN(N18:N32)</f>
        <v>0.18138255623185662</v>
      </c>
      <c r="X154" s="12">
        <f t="shared" ref="X154:AC154" si="186">GEOMEAN(X18:X32)</f>
        <v>0.76789311963775064</v>
      </c>
      <c r="Y154" s="12" t="e">
        <f t="shared" si="186"/>
        <v>#REF!</v>
      </c>
      <c r="Z154" s="12">
        <f t="shared" si="186"/>
        <v>0.5982962140476471</v>
      </c>
      <c r="AA154" s="66">
        <f t="shared" si="186"/>
        <v>3.2985322650479167</v>
      </c>
      <c r="AB154" s="66">
        <f t="shared" si="186"/>
        <v>1.0342050200540229</v>
      </c>
      <c r="AC154" s="12" t="e">
        <f t="shared" si="186"/>
        <v>#REF!</v>
      </c>
      <c r="AD154" s="12">
        <f t="shared" ref="AD154" si="187">AVERAGE(AD18:AD32)</f>
        <v>1.5289215301940956E-3</v>
      </c>
      <c r="AF154" s="28">
        <f t="shared" ref="AF154:AK154" si="188">AVERAGE(AF18:AF32)</f>
        <v>-7.7164973906788481E-4</v>
      </c>
      <c r="AG154" s="32">
        <f t="shared" si="188"/>
        <v>8.8476030522535911E-3</v>
      </c>
      <c r="AH154" s="32">
        <f t="shared" si="188"/>
        <v>-6.315150687943305E-4</v>
      </c>
      <c r="AI154" s="28">
        <f t="shared" si="188"/>
        <v>5.1661397426442747E-5</v>
      </c>
      <c r="AJ154" s="32">
        <f t="shared" si="188"/>
        <v>1.0877415653199404E-2</v>
      </c>
      <c r="AK154" s="32">
        <f t="shared" si="188"/>
        <v>9.6011894074232718E-4</v>
      </c>
      <c r="AL154" s="28">
        <f t="shared" ref="AL154:AQ154" si="189">AVERAGE(AL19:AL33)</f>
        <v>-4.9192524308968222E-4</v>
      </c>
      <c r="AM154" s="32">
        <f t="shared" si="189"/>
        <v>5.7034552178909887E-3</v>
      </c>
      <c r="AN154" s="32">
        <f t="shared" si="189"/>
        <v>-2.9815212376327707E-3</v>
      </c>
      <c r="AO154" s="28">
        <f t="shared" si="189"/>
        <v>4.3671161399102175E-5</v>
      </c>
      <c r="AP154" s="32">
        <f t="shared" si="189"/>
        <v>9.2661112757623423E-3</v>
      </c>
      <c r="AQ154" s="32">
        <f t="shared" si="189"/>
        <v>7.2985870875119652E-5</v>
      </c>
      <c r="AR154" s="28">
        <f t="shared" ref="AR154:AW154" si="190">AVERAGE(AR18:AR32)</f>
        <v>-4.2636274574292532E-4</v>
      </c>
      <c r="AS154" s="32">
        <f t="shared" si="190"/>
        <v>1.1045778518914418E-2</v>
      </c>
      <c r="AT154" s="33">
        <f t="shared" si="190"/>
        <v>2.7348471658898237E-5</v>
      </c>
      <c r="AU154" s="28">
        <f t="shared" si="190"/>
        <v>3.3615799046245637E-4</v>
      </c>
      <c r="AV154" s="32">
        <f t="shared" si="190"/>
        <v>1.1635001000528833E-2</v>
      </c>
      <c r="AW154" s="33">
        <f t="shared" si="190"/>
        <v>7.9717881047310557E-4</v>
      </c>
      <c r="AX154" s="12">
        <f t="shared" ref="AX154:BC154" si="191">GEOMEAN(AX18:AX32)</f>
        <v>0.99993597772192955</v>
      </c>
      <c r="AY154" s="12">
        <f t="shared" si="191"/>
        <v>1.0199954190768474</v>
      </c>
      <c r="AZ154" s="12">
        <f t="shared" si="191"/>
        <v>3.8449446154650651</v>
      </c>
      <c r="BA154" s="12">
        <f t="shared" si="191"/>
        <v>0.99996514555168703</v>
      </c>
      <c r="BB154" s="12">
        <f t="shared" si="191"/>
        <v>1.0350514969521405</v>
      </c>
      <c r="BC154" s="12">
        <f t="shared" si="191"/>
        <v>2.9460945724263325</v>
      </c>
    </row>
    <row r="155" spans="1:55" x14ac:dyDescent="0.2">
      <c r="B155" s="1" t="s">
        <v>1</v>
      </c>
      <c r="L155" s="12">
        <f>GEOMEAN(L33:L57)</f>
        <v>0.267610269096556</v>
      </c>
      <c r="M155" s="12" t="e">
        <f>GEOMEAN(M33:M57)</f>
        <v>#REF!</v>
      </c>
      <c r="N155" s="12">
        <f>GEOMEAN(N33:N57)</f>
        <v>5.5112181339232104E-2</v>
      </c>
      <c r="X155" s="12">
        <f>GEOMEAN(X33:X57)</f>
        <v>0.27272668185706145</v>
      </c>
      <c r="Y155" s="12" t="e">
        <f>GEOMEAN(Y33:Y57)</f>
        <v>#REF!</v>
      </c>
      <c r="Z155" s="12">
        <f>GEOMEAN(Z33:Z57)</f>
        <v>0.20323393720053032</v>
      </c>
      <c r="AA155" s="66">
        <f t="shared" ref="AA155:AC155" si="192">GEOMEAN(AA33:AA57)</f>
        <v>3.687640958167925</v>
      </c>
      <c r="AB155" s="66">
        <f t="shared" si="192"/>
        <v>1.0191188954660757</v>
      </c>
      <c r="AC155" s="12" t="e">
        <f t="shared" si="192"/>
        <v>#REF!</v>
      </c>
      <c r="AD155" s="12">
        <f>AVERAGE(AD33:AD57)</f>
        <v>3.2281779696249945E-3</v>
      </c>
      <c r="AF155" s="28">
        <f>AVERAGE(AF33:AF57)</f>
        <v>4.2163738679616979E-4</v>
      </c>
      <c r="AG155" s="32">
        <f t="shared" ref="AG155:AH155" si="193">AVERAGE(AG33:AG57)</f>
        <v>2.317156659631836E-3</v>
      </c>
      <c r="AH155" s="32">
        <f t="shared" si="193"/>
        <v>4.915225155612957E-3</v>
      </c>
      <c r="AI155" s="28">
        <f>AVERAGE(AI33:AI57)</f>
        <v>1.2901379273696056E-3</v>
      </c>
      <c r="AJ155" s="32">
        <f t="shared" ref="AJ155:AK155" si="194">AVERAGE(AJ33:AJ57)</f>
        <v>8.9722688040902996E-4</v>
      </c>
      <c r="AK155" s="32">
        <f t="shared" si="194"/>
        <v>8.171055638326475E-3</v>
      </c>
      <c r="AL155" s="28">
        <f t="shared" ref="AL155:AQ155" si="195">AVERAGE(AL34:AL58)</f>
        <v>5.06631057188045E-4</v>
      </c>
      <c r="AM155" s="32">
        <f t="shared" si="195"/>
        <v>3.1389352403203841E-3</v>
      </c>
      <c r="AN155" s="32">
        <f t="shared" si="195"/>
        <v>8.5959332605859418E-3</v>
      </c>
      <c r="AO155" s="28">
        <f t="shared" si="195"/>
        <v>1.3981621083513974E-3</v>
      </c>
      <c r="AP155" s="32">
        <f t="shared" si="195"/>
        <v>8.274744358765185E-4</v>
      </c>
      <c r="AQ155" s="32">
        <f t="shared" si="195"/>
        <v>9.833145463463611E-3</v>
      </c>
      <c r="AR155" s="28">
        <f t="shared" ref="AR155:AW155" si="196">AVERAGE(AR33:AR57)</f>
        <v>3.552010764964919E-4</v>
      </c>
      <c r="AS155" s="32">
        <f t="shared" si="196"/>
        <v>1.9356989614081055E-3</v>
      </c>
      <c r="AT155" s="33">
        <f t="shared" si="196"/>
        <v>2.1264677356481743E-3</v>
      </c>
      <c r="AU155" s="28">
        <f t="shared" si="196"/>
        <v>1.9062271878740323E-4</v>
      </c>
      <c r="AV155" s="32">
        <f t="shared" si="196"/>
        <v>4.0172719663259084E-3</v>
      </c>
      <c r="AW155" s="33">
        <f t="shared" si="196"/>
        <v>3.6254952067646729E-3</v>
      </c>
      <c r="AX155" s="12">
        <f t="shared" ref="AX155:BC155" si="197">GEOMEAN(AX33:AX57)</f>
        <v>0.99989002484289746</v>
      </c>
      <c r="AY155" s="12">
        <f t="shared" si="197"/>
        <v>1.0286601293571696</v>
      </c>
      <c r="AZ155" s="12">
        <f t="shared" si="197"/>
        <v>4.1210221700868237</v>
      </c>
      <c r="BA155" s="12">
        <f t="shared" si="197"/>
        <v>0.99995493059285812</v>
      </c>
      <c r="BB155" s="12">
        <f t="shared" si="197"/>
        <v>1.0402108860268622</v>
      </c>
      <c r="BC155" s="12">
        <f t="shared" si="197"/>
        <v>3.3313794167399653</v>
      </c>
    </row>
    <row r="156" spans="1:55" x14ac:dyDescent="0.2">
      <c r="B156" s="1" t="s">
        <v>5</v>
      </c>
      <c r="L156" s="12">
        <f>GEOMEAN(L58:L77)</f>
        <v>0.13626499920966528</v>
      </c>
      <c r="M156" s="12" t="e">
        <f>GEOMEAN(M58:M77)</f>
        <v>#REF!</v>
      </c>
      <c r="N156" s="12">
        <f>GEOMEAN(N58:N77)</f>
        <v>3.3794624845786637E-2</v>
      </c>
      <c r="X156" s="12">
        <f>GEOMEAN(X58:X77)</f>
        <v>0.15084386539451372</v>
      </c>
      <c r="Y156" s="12" t="e">
        <f>GEOMEAN(Y58:Y77)</f>
        <v>#REF!</v>
      </c>
      <c r="Z156" s="12">
        <f>GEOMEAN(Z58:Z77)</f>
        <v>7.6642440325748434E-2</v>
      </c>
      <c r="AA156" s="66">
        <f t="shared" ref="AA156:AC156" si="198">GEOMEAN(AA58:AA77)</f>
        <v>2.2678884785816429</v>
      </c>
      <c r="AB156" s="66">
        <f t="shared" si="198"/>
        <v>1.1069890747397029</v>
      </c>
      <c r="AC156" s="12" t="e">
        <f t="shared" si="198"/>
        <v>#REF!</v>
      </c>
      <c r="AD156" s="12">
        <f>AVERAGE(AD58:AD77)</f>
        <v>2.9164970007059727E-3</v>
      </c>
      <c r="AF156" s="28">
        <f>AVERAGE(AF58:AF77)</f>
        <v>2.6079530570066733E-4</v>
      </c>
      <c r="AG156" s="32">
        <f t="shared" ref="AG156:AH156" si="199">AVERAGE(AG58:AG77)</f>
        <v>-3.9856659764938296E-3</v>
      </c>
      <c r="AH156" s="32">
        <f t="shared" si="199"/>
        <v>-5.4230998359361404E-4</v>
      </c>
      <c r="AI156" s="28">
        <f>AVERAGE(AI58:AI77)</f>
        <v>-9.4737935580624377E-4</v>
      </c>
      <c r="AJ156" s="32">
        <f t="shared" ref="AJ156:AK156" si="200">AVERAGE(AJ58:AJ77)</f>
        <v>-2.8697843906432263E-3</v>
      </c>
      <c r="AK156" s="32">
        <f t="shared" si="200"/>
        <v>-3.356358996574299E-3</v>
      </c>
      <c r="AL156" s="28">
        <f t="shared" ref="AL156:AQ156" si="201">AVERAGE(AL59:AL78)</f>
        <v>2.9891119856351178E-4</v>
      </c>
      <c r="AM156" s="32">
        <f t="shared" si="201"/>
        <v>-6.6549683130396053E-3</v>
      </c>
      <c r="AN156" s="32">
        <f t="shared" si="201"/>
        <v>-1.4678128900670329E-3</v>
      </c>
      <c r="AO156" s="28">
        <f t="shared" si="201"/>
        <v>-9.0839446828502868E-4</v>
      </c>
      <c r="AP156" s="32">
        <f t="shared" si="201"/>
        <v>-4.7660189935355701E-3</v>
      </c>
      <c r="AQ156" s="32">
        <f t="shared" si="201"/>
        <v>-5.7064895208369382E-3</v>
      </c>
      <c r="AR156" s="28">
        <f t="shared" ref="AR156:AW156" si="202">AVERAGE(AR58:AR77)</f>
        <v>2.9549707435599926E-5</v>
      </c>
      <c r="AS156" s="32">
        <f t="shared" si="202"/>
        <v>-1.0396961857922493E-3</v>
      </c>
      <c r="AT156" s="33">
        <f t="shared" si="202"/>
        <v>1.2248480236459469E-3</v>
      </c>
      <c r="AU156" s="28">
        <f t="shared" si="202"/>
        <v>-6.4521625657962267E-4</v>
      </c>
      <c r="AV156" s="32">
        <f t="shared" si="202"/>
        <v>-4.9937018194212701E-3</v>
      </c>
      <c r="AW156" s="33">
        <f t="shared" si="202"/>
        <v>1.451056760186728E-2</v>
      </c>
      <c r="AX156" s="12">
        <f t="shared" ref="AX156:BC156" si="203">GEOMEAN(AX58:AX77)</f>
        <v>1.0001122594389271</v>
      </c>
      <c r="AY156" s="12">
        <f t="shared" si="203"/>
        <v>1.1101064881051121</v>
      </c>
      <c r="AZ156" s="12">
        <f t="shared" si="203"/>
        <v>2.4444192174837931</v>
      </c>
      <c r="BA156" s="12">
        <f t="shared" si="203"/>
        <v>1.0000890778227547</v>
      </c>
      <c r="BB156" s="12">
        <f t="shared" si="203"/>
        <v>1.1135593997654303</v>
      </c>
      <c r="BC156" s="12">
        <f t="shared" si="203"/>
        <v>2.0807063337043497</v>
      </c>
    </row>
    <row r="157" spans="1:55" x14ac:dyDescent="0.2">
      <c r="B157" s="1" t="s">
        <v>6</v>
      </c>
      <c r="L157" s="12">
        <f>GEOMEAN(L78:L97)</f>
        <v>9.5889189508295961E-2</v>
      </c>
      <c r="M157" s="12" t="e">
        <f>GEOMEAN(M78:M97)</f>
        <v>#REF!</v>
      </c>
      <c r="N157" s="12">
        <f>GEOMEAN(N78:N97)</f>
        <v>1.0890060313224374E-2</v>
      </c>
      <c r="X157" s="12">
        <f>GEOMEAN(X78:X97)</f>
        <v>0.10751081237381603</v>
      </c>
      <c r="Y157" s="12" t="e">
        <f>GEOMEAN(Y78:Y97)</f>
        <v>#REF!</v>
      </c>
      <c r="Z157" s="12">
        <f>GEOMEAN(Z78:Z97)</f>
        <v>2.1416805106844086E-2</v>
      </c>
      <c r="AA157" s="66">
        <f t="shared" ref="AA157:AC157" si="204">GEOMEAN(AA78:AA97)</f>
        <v>1.9666378781058296</v>
      </c>
      <c r="AB157" s="66">
        <f t="shared" si="204"/>
        <v>1.1211984679932518</v>
      </c>
      <c r="AC157" s="12" t="e">
        <f t="shared" si="204"/>
        <v>#REF!</v>
      </c>
      <c r="AD157" s="12">
        <f>AVERAGE(AD78:AD97)</f>
        <v>4.352190473036417E-3</v>
      </c>
      <c r="AF157" s="28">
        <f>AVERAGE(AF78:AF97)</f>
        <v>-1.5801380934488407E-3</v>
      </c>
      <c r="AG157" s="32">
        <f t="shared" ref="AG157:AH157" si="205">AVERAGE(AG78:AG97)</f>
        <v>-1.2748993355302385E-3</v>
      </c>
      <c r="AH157" s="32">
        <f t="shared" si="205"/>
        <v>-1.4779984188851569E-3</v>
      </c>
      <c r="AI157" s="28">
        <f>AVERAGE(AI78:AI97)</f>
        <v>-3.0690868219733769E-3</v>
      </c>
      <c r="AJ157" s="32">
        <f t="shared" ref="AJ157:AK157" si="206">AVERAGE(AJ78:AJ97)</f>
        <v>-3.1938855558339418E-3</v>
      </c>
      <c r="AK157" s="32">
        <f t="shared" si="206"/>
        <v>-5.559462397552617E-3</v>
      </c>
      <c r="AL157" s="28">
        <f t="shared" ref="AL157:AQ157" si="207">AVERAGE(AL79:AL98)</f>
        <v>-1.8906334031595362E-3</v>
      </c>
      <c r="AM157" s="32">
        <f t="shared" si="207"/>
        <v>-3.5499679996502387E-3</v>
      </c>
      <c r="AN157" s="32">
        <f t="shared" si="207"/>
        <v>-6.3821787766030202E-3</v>
      </c>
      <c r="AO157" s="28">
        <f t="shared" si="207"/>
        <v>-3.0966847792504304E-3</v>
      </c>
      <c r="AP157" s="32">
        <f t="shared" si="207"/>
        <v>-4.9518392852082593E-3</v>
      </c>
      <c r="AQ157" s="32">
        <f t="shared" si="207"/>
        <v>-8.1386978013772149E-3</v>
      </c>
      <c r="AR157" s="28">
        <f t="shared" ref="AR157:AW157" si="208">AVERAGE(AR78:AR97)</f>
        <v>-6.6160782169130683E-4</v>
      </c>
      <c r="AS157" s="32">
        <f t="shared" si="208"/>
        <v>-9.116844100748589E-4</v>
      </c>
      <c r="AT157" s="33">
        <f t="shared" si="208"/>
        <v>-3.1630932766412712E-3</v>
      </c>
      <c r="AU157" s="28">
        <f t="shared" si="208"/>
        <v>-3.7506533778688955E-4</v>
      </c>
      <c r="AV157" s="32">
        <f t="shared" si="208"/>
        <v>-2.9367374808344227E-3</v>
      </c>
      <c r="AW157" s="33">
        <f t="shared" si="208"/>
        <v>-3.6664936673389548E-3</v>
      </c>
      <c r="AX157" s="12">
        <f t="shared" ref="AX157:BC157" si="209">GEOMEAN(AX78:AX97)</f>
        <v>1.0001654306079606</v>
      </c>
      <c r="AY157" s="12">
        <f t="shared" si="209"/>
        <v>1.1315383749821453</v>
      </c>
      <c r="AZ157" s="12">
        <f t="shared" si="209"/>
        <v>2.1017642063847548</v>
      </c>
      <c r="BA157" s="12">
        <f t="shared" si="209"/>
        <v>0.99996415371585057</v>
      </c>
      <c r="BB157" s="12">
        <f t="shared" si="209"/>
        <v>1.1230686635803135</v>
      </c>
      <c r="BC157" s="12">
        <f t="shared" si="209"/>
        <v>1.8350661297547284</v>
      </c>
    </row>
    <row r="158" spans="1:55" x14ac:dyDescent="0.2">
      <c r="B158" s="1" t="s">
        <v>7</v>
      </c>
      <c r="L158" s="12">
        <f>GEOMEAN(L98:L112)</f>
        <v>0.15521816916432501</v>
      </c>
      <c r="M158" s="12" t="e">
        <f>GEOMEAN(M98:M112)</f>
        <v>#REF!</v>
      </c>
      <c r="N158" s="12">
        <f>GEOMEAN(N98:N112)</f>
        <v>3.1162347024011799E-2</v>
      </c>
      <c r="X158" s="12">
        <f>GEOMEAN(X98:X112)</f>
        <v>0.1810302241208</v>
      </c>
      <c r="Y158" s="12" t="e">
        <f>GEOMEAN(Y98:Y112)</f>
        <v>#REF!</v>
      </c>
      <c r="Z158" s="12">
        <f>GEOMEAN(Z98:Z112)</f>
        <v>9.5165427194006211E-2</v>
      </c>
      <c r="AA158" s="66">
        <f t="shared" ref="AA158:AC158" si="210">GEOMEAN(AA98:AA112)</f>
        <v>3.0538594259500913</v>
      </c>
      <c r="AB158" s="66">
        <f t="shared" si="210"/>
        <v>1.166295319004494</v>
      </c>
      <c r="AC158" s="12" t="e">
        <f t="shared" si="210"/>
        <v>#REF!</v>
      </c>
      <c r="AD158" s="12">
        <f>AVERAGE(AD98:AD109)</f>
        <v>5.629446171801133E-3</v>
      </c>
      <c r="AF158" s="28">
        <f>AVERAGE(AF98:AF109)</f>
        <v>1.6120049578126627E-3</v>
      </c>
      <c r="AG158" s="32">
        <f t="shared" ref="AG158:AH158" si="211">AVERAGE(AG98:AG109)</f>
        <v>2.6079923101947805E-4</v>
      </c>
      <c r="AH158" s="32">
        <f t="shared" si="211"/>
        <v>-7.9170558869396199E-3</v>
      </c>
      <c r="AI158" s="28">
        <f>AVERAGE(AI98:AI109)</f>
        <v>8.4440232359487644E-4</v>
      </c>
      <c r="AJ158" s="32">
        <f t="shared" ref="AJ158:AK158" si="212">AVERAGE(AJ98:AJ109)</f>
        <v>-2.6733788666336946E-3</v>
      </c>
      <c r="AK158" s="32">
        <f t="shared" si="212"/>
        <v>-1.1433947997660102E-2</v>
      </c>
      <c r="AL158" s="28">
        <f t="shared" ref="AL158:AQ158" si="213">AVERAGE(AL99:AL110)</f>
        <v>1.8437162182659932E-3</v>
      </c>
      <c r="AM158" s="32">
        <f t="shared" si="213"/>
        <v>-3.8264198683046389E-3</v>
      </c>
      <c r="AN158" s="32">
        <f t="shared" si="213"/>
        <v>-5.8685906314989529E-3</v>
      </c>
      <c r="AO158" s="28">
        <f t="shared" si="213"/>
        <v>7.0577481888893046E-4</v>
      </c>
      <c r="AP158" s="32">
        <f t="shared" si="213"/>
        <v>-3.2961034972825987E-3</v>
      </c>
      <c r="AQ158" s="32">
        <f t="shared" si="213"/>
        <v>-1.0075408409672285E-2</v>
      </c>
      <c r="AR158" s="28">
        <f t="shared" ref="AR158:AW158" si="214">AVERAGE(AR98:AR109)</f>
        <v>1.6381918550105363E-3</v>
      </c>
      <c r="AS158" s="32">
        <f t="shared" si="214"/>
        <v>1.6589312494795412E-3</v>
      </c>
      <c r="AT158" s="33">
        <f t="shared" si="214"/>
        <v>-6.5188583327257703E-3</v>
      </c>
      <c r="AU158" s="28">
        <f t="shared" si="214"/>
        <v>2.997715590215444E-3</v>
      </c>
      <c r="AV158" s="32">
        <f t="shared" si="214"/>
        <v>-3.2185658426917194E-3</v>
      </c>
      <c r="AW158" s="33">
        <f t="shared" si="214"/>
        <v>-3.3041243578188309E-3</v>
      </c>
      <c r="AX158" s="12">
        <f t="shared" ref="AX158:BC158" si="215">GEOMEAN(AX98:AX112)</f>
        <v>0.99997887053890178</v>
      </c>
      <c r="AY158" s="12">
        <f t="shared" si="215"/>
        <v>1.1965839168826402</v>
      </c>
      <c r="AZ158" s="12">
        <f t="shared" si="215"/>
        <v>3.2851401097694057</v>
      </c>
      <c r="BA158" s="12">
        <f t="shared" si="215"/>
        <v>1.0000827129132501</v>
      </c>
      <c r="BB158" s="12">
        <f t="shared" si="215"/>
        <v>1.1595774063481947</v>
      </c>
      <c r="BC158" s="12">
        <f t="shared" si="215"/>
        <v>2.8523547097163253</v>
      </c>
    </row>
    <row r="159" spans="1:55" x14ac:dyDescent="0.2">
      <c r="B159" s="1" t="s">
        <v>18</v>
      </c>
      <c r="L159" s="12">
        <f>GEOMEAN(L113:L132)</f>
        <v>0.18907085153660874</v>
      </c>
      <c r="M159" s="12" t="e">
        <f>GEOMEAN(M113:M132)</f>
        <v>#REF!</v>
      </c>
      <c r="N159" s="12">
        <f>GEOMEAN(N113:N132)</f>
        <v>3.7149803837682897E-2</v>
      </c>
      <c r="X159" s="12">
        <f>GEOMEAN(X113:X132)</f>
        <v>0.20283927494901752</v>
      </c>
      <c r="Y159" s="12" t="e">
        <f>GEOMEAN(Y113:Y132)</f>
        <v>#REF!</v>
      </c>
      <c r="Z159" s="12">
        <f>GEOMEAN(Z113:Z132)</f>
        <v>0.10877699067887904</v>
      </c>
      <c r="AA159" s="66">
        <f t="shared" ref="AA159:AC160" si="216">GEOMEAN(AA113:AA132)</f>
        <v>2.9280636623050245</v>
      </c>
      <c r="AB159" s="66">
        <f>GEOMEAN(AB113:AB132)</f>
        <v>1.0728215021009881</v>
      </c>
      <c r="AC159" s="12" t="e">
        <f>GEOMEAN(AC113:AC132)</f>
        <v>#REF!</v>
      </c>
      <c r="AD159" s="12">
        <f>AVERAGE(AD113:AD132)</f>
        <v>3.4989452454345206E-3</v>
      </c>
      <c r="AF159" s="28">
        <f>AVERAGE(AF113:AF132)</f>
        <v>-1.8148201035025069E-3</v>
      </c>
      <c r="AG159" s="32">
        <f t="shared" ref="AG159:AH159" si="217">AVERAGE(AG113:AG132)</f>
        <v>-2.8887878613585993E-3</v>
      </c>
      <c r="AH159" s="32">
        <f t="shared" si="217"/>
        <v>-2.3421247685583291E-3</v>
      </c>
      <c r="AI159" s="28">
        <f>AVERAGE(AI113:AI132)</f>
        <v>-2.7631411659417848E-4</v>
      </c>
      <c r="AJ159" s="32">
        <f t="shared" ref="AJ159:AK159" si="218">AVERAGE(AJ113:AJ132)</f>
        <v>-5.2312488633027288E-3</v>
      </c>
      <c r="AK159" s="32">
        <f t="shared" si="218"/>
        <v>1.0329234362732281E-2</v>
      </c>
      <c r="AL159" s="28">
        <f t="shared" ref="AL159:AQ159" si="219">AVERAGE(AL114:AL132)</f>
        <v>-1.9673395413992434E-3</v>
      </c>
      <c r="AM159" s="32">
        <f t="shared" si="219"/>
        <v>8.3099981021236835E-4</v>
      </c>
      <c r="AN159" s="32">
        <f t="shared" si="219"/>
        <v>-3.2143307486224015E-3</v>
      </c>
      <c r="AO159" s="28">
        <f t="shared" si="219"/>
        <v>2.1645420140437022E-6</v>
      </c>
      <c r="AP159" s="32">
        <f t="shared" si="219"/>
        <v>-2.1030713550543589E-3</v>
      </c>
      <c r="AQ159" s="32">
        <f t="shared" si="219"/>
        <v>1.041433081024748E-2</v>
      </c>
      <c r="AR159" s="28">
        <f t="shared" ref="AR159:AW159" si="220">AVERAGE(AR113:AR132)</f>
        <v>-8.818489225940751E-4</v>
      </c>
      <c r="AS159" s="32">
        <f t="shared" si="220"/>
        <v>-7.5936975631843429E-4</v>
      </c>
      <c r="AT159" s="33">
        <f t="shared" si="220"/>
        <v>-7.464400278570843E-3</v>
      </c>
      <c r="AU159" s="28">
        <f t="shared" si="220"/>
        <v>-5.0012003144050965E-4</v>
      </c>
      <c r="AV159" s="32">
        <f t="shared" si="220"/>
        <v>4.6210068412007865E-3</v>
      </c>
      <c r="AW159" s="33">
        <f t="shared" si="220"/>
        <v>-1.356724285021027E-2</v>
      </c>
      <c r="AX159" s="12">
        <f t="shared" ref="AX159" si="221">GEOMEAN(AX113:AX132)</f>
        <v>0.99992433554737981</v>
      </c>
      <c r="AY159" s="12">
        <f>GEOMEAN(AY113:AY132)</f>
        <v>1.0669644279873522</v>
      </c>
      <c r="AZ159" s="12">
        <f>GEOMEAN(AZ113:AZ132)</f>
        <v>3.1752585960123105</v>
      </c>
      <c r="BA159" s="12">
        <f t="shared" ref="BA159" si="222">GEOMEAN(BA113:BA132)</f>
        <v>1.0000442235793654</v>
      </c>
      <c r="BB159" s="12">
        <f>GEOMEAN(BB113:BB132)</f>
        <v>1.0636041329786483</v>
      </c>
      <c r="BC159" s="12">
        <f>GEOMEAN(BC113:BC132)</f>
        <v>2.7284056601344528</v>
      </c>
    </row>
    <row r="160" spans="1:55" ht="12.75" thickBot="1" x14ac:dyDescent="0.25">
      <c r="B160" s="1" t="s">
        <v>69</v>
      </c>
      <c r="L160" s="12" t="e">
        <f>GEOMEAN(L133:L152)</f>
        <v>#REF!</v>
      </c>
      <c r="M160" s="12" t="e">
        <f>GEOMEAN(M133:M152)</f>
        <v>#REF!</v>
      </c>
      <c r="N160" s="12" t="e">
        <f>GEOMEAN(N133:N152)</f>
        <v>#REF!</v>
      </c>
      <c r="X160" s="12" t="e">
        <f>GEOMEAN(X133:X152)</f>
        <v>#REF!</v>
      </c>
      <c r="Y160" s="12" t="e">
        <f>GEOMEAN(Y133:Y152)</f>
        <v>#REF!</v>
      </c>
      <c r="Z160" s="12" t="e">
        <f>GEOMEAN(Z133:Z152)</f>
        <v>#REF!</v>
      </c>
      <c r="AA160" s="12" t="e">
        <f>GEOMEAN(AA133:AA152)</f>
        <v>#REF!</v>
      </c>
      <c r="AB160" s="12" t="e">
        <f t="shared" si="216"/>
        <v>#REF!</v>
      </c>
      <c r="AC160" s="12" t="e">
        <f t="shared" si="216"/>
        <v>#REF!</v>
      </c>
      <c r="AD160" s="12" t="e">
        <f>AVERAGE(AD133:AD152)</f>
        <v>#REF!</v>
      </c>
      <c r="AF160" s="28" t="e">
        <f t="shared" ref="AF160:AW160" si="223">AVERAGE(AF133:AF152)</f>
        <v>#VALUE!</v>
      </c>
      <c r="AG160" s="32" t="e">
        <f t="shared" si="223"/>
        <v>#VALUE!</v>
      </c>
      <c r="AH160" s="32" t="e">
        <f t="shared" si="223"/>
        <v>#VALUE!</v>
      </c>
      <c r="AI160" s="28" t="e">
        <f t="shared" si="223"/>
        <v>#VALUE!</v>
      </c>
      <c r="AJ160" s="32" t="e">
        <f t="shared" si="223"/>
        <v>#VALUE!</v>
      </c>
      <c r="AK160" s="32" t="e">
        <f t="shared" si="223"/>
        <v>#VALUE!</v>
      </c>
      <c r="AL160" s="28" t="e">
        <f t="shared" si="223"/>
        <v>#VALUE!</v>
      </c>
      <c r="AM160" s="32" t="e">
        <f t="shared" si="223"/>
        <v>#VALUE!</v>
      </c>
      <c r="AN160" s="32" t="e">
        <f t="shared" si="223"/>
        <v>#VALUE!</v>
      </c>
      <c r="AO160" s="28" t="e">
        <f t="shared" si="223"/>
        <v>#VALUE!</v>
      </c>
      <c r="AP160" s="32" t="e">
        <f t="shared" si="223"/>
        <v>#VALUE!</v>
      </c>
      <c r="AQ160" s="32" t="e">
        <f t="shared" si="223"/>
        <v>#VALUE!</v>
      </c>
      <c r="AR160" s="28" t="e">
        <f t="shared" si="223"/>
        <v>#VALUE!</v>
      </c>
      <c r="AS160" s="32" t="e">
        <f t="shared" si="223"/>
        <v>#VALUE!</v>
      </c>
      <c r="AT160" s="32" t="e">
        <f t="shared" si="223"/>
        <v>#VALUE!</v>
      </c>
      <c r="AU160" s="28" t="e">
        <f t="shared" si="223"/>
        <v>#VALUE!</v>
      </c>
      <c r="AV160" s="32" t="e">
        <f t="shared" si="223"/>
        <v>#VALUE!</v>
      </c>
      <c r="AW160" s="32" t="e">
        <f t="shared" si="223"/>
        <v>#VALUE!</v>
      </c>
      <c r="AX160" s="12" t="e">
        <f>GEOMEAN(AX133:AX152)</f>
        <v>#REF!</v>
      </c>
      <c r="AY160" s="12">
        <f t="shared" ref="AY160:AZ160" si="224">GEOMEAN(AY114:AY133)</f>
        <v>1.0669644279873522</v>
      </c>
      <c r="AZ160" s="12">
        <f t="shared" si="224"/>
        <v>3.1752585960123105</v>
      </c>
      <c r="BA160" s="12" t="e">
        <f>GEOMEAN(BA133:BA152)</f>
        <v>#REF!</v>
      </c>
      <c r="BB160" s="12" t="e">
        <f>GEOMEAN(BB114:BB133)</f>
        <v>#REF!</v>
      </c>
      <c r="BC160" s="12" t="e">
        <f t="shared" ref="BC160" si="225">GEOMEAN(BC114:BC133)</f>
        <v>#REF!</v>
      </c>
    </row>
    <row r="161" spans="1:55" s="65" customFormat="1" ht="12.75" thickBot="1" x14ac:dyDescent="0.25">
      <c r="A161" s="61"/>
      <c r="B161" s="62" t="s">
        <v>8</v>
      </c>
      <c r="C161" s="62"/>
      <c r="D161" s="62"/>
      <c r="E161" s="62"/>
      <c r="F161" s="62"/>
      <c r="G161" s="62"/>
      <c r="H161" s="62"/>
      <c r="I161" s="62"/>
      <c r="J161" s="62"/>
      <c r="K161" s="62"/>
      <c r="L161" s="63">
        <f>GEOMEAN(L3:L77, L98:L112)</f>
        <v>0.28266220580485535</v>
      </c>
      <c r="M161" s="63" t="e">
        <f>GEOMEAN(M3:M77, M98:M112)</f>
        <v>#REF!</v>
      </c>
      <c r="N161" s="63">
        <f>GEOMEAN(N3:N77,N98:N112)</f>
        <v>5.8098890233294065E-2</v>
      </c>
      <c r="O161" s="62"/>
      <c r="P161" s="62"/>
      <c r="Q161" s="62"/>
      <c r="R161" s="62"/>
      <c r="S161" s="62"/>
      <c r="T161" s="62"/>
      <c r="U161" s="62"/>
      <c r="V161" s="62"/>
      <c r="W161" s="62"/>
      <c r="X161" s="63">
        <f>GEOMEAN(X3:X77,X98:X112)</f>
        <v>0.30635817188604719</v>
      </c>
      <c r="Y161" s="63" t="e">
        <f>GEOMEAN(Y3:Y77,Y98:Y112)</f>
        <v>#REF!</v>
      </c>
      <c r="Z161" s="63">
        <f>GEOMEAN(Z3:Z77,Z98:Z112)</f>
        <v>0.18828124143713434</v>
      </c>
      <c r="AA161" s="63">
        <f>GEOMEAN(AA3:AA77,AA98:AA112)</f>
        <v>3.2407028891790808</v>
      </c>
      <c r="AB161" s="63">
        <f>GEOMEAN(AB3:AB77,AB98:AB112)</f>
        <v>1.0838313916560571</v>
      </c>
      <c r="AC161" s="63" t="e">
        <f>GEOMEAN(AC3:AC77,AC133:AC152)</f>
        <v>#REF!</v>
      </c>
      <c r="AD161" s="63">
        <f t="shared" ref="AD161" si="226">AVERAGE(AD3:AD77,AD98:AD112)</f>
        <v>3.0871986198101812E-3</v>
      </c>
      <c r="AE161" s="62"/>
      <c r="AF161" s="64">
        <f>AVERAGE(AF3:AF132)</f>
        <v>-2.1044658594655284E-4</v>
      </c>
      <c r="AG161" s="64">
        <f t="shared" ref="AG161:AW161" si="227">AVERAGE(AG3:AG132)</f>
        <v>-2.2410991739784796E-4</v>
      </c>
      <c r="AH161" s="64">
        <f t="shared" si="227"/>
        <v>-2.7799672910136731E-4</v>
      </c>
      <c r="AI161" s="64">
        <f t="shared" si="227"/>
        <v>-1.4571757755173968E-4</v>
      </c>
      <c r="AJ161" s="64">
        <f t="shared" si="227"/>
        <v>-1.0128413571386685E-3</v>
      </c>
      <c r="AK161" s="64">
        <f t="shared" si="227"/>
        <v>1.4170005642182208E-3</v>
      </c>
      <c r="AL161" s="64">
        <f t="shared" si="227"/>
        <v>-1.3311742395915295E-4</v>
      </c>
      <c r="AM161" s="64">
        <f t="shared" si="227"/>
        <v>-1.3302691250139558E-3</v>
      </c>
      <c r="AN161" s="64">
        <f t="shared" si="227"/>
        <v>-4.528712027614999E-4</v>
      </c>
      <c r="AO161" s="64">
        <f t="shared" si="227"/>
        <v>-9.3628677467688236E-5</v>
      </c>
      <c r="AP161" s="64">
        <f t="shared" si="227"/>
        <v>-1.488553099021205E-3</v>
      </c>
      <c r="AQ161" s="64">
        <f t="shared" si="227"/>
        <v>1.247032960679718E-3</v>
      </c>
      <c r="AR161" s="64">
        <f t="shared" si="227"/>
        <v>-7.6310028128373931E-5</v>
      </c>
      <c r="AS161" s="64">
        <f t="shared" si="227"/>
        <v>1.2338906448968391E-3</v>
      </c>
      <c r="AT161" s="64">
        <f t="shared" si="227"/>
        <v>-1.3941067049692984E-3</v>
      </c>
      <c r="AU161" s="64">
        <f t="shared" si="227"/>
        <v>1.8419284031587853E-4</v>
      </c>
      <c r="AV161" s="64">
        <f t="shared" si="227"/>
        <v>1.1248298647887173E-3</v>
      </c>
      <c r="AW161" s="64">
        <f t="shared" si="227"/>
        <v>7.3844815474097486E-4</v>
      </c>
      <c r="AX161" s="63">
        <f>GEOMEAN(AX3:AX77,AX98:AX112)</f>
        <v>0.99996703235232554</v>
      </c>
      <c r="AY161" s="63" t="e">
        <f>GEOMEAN(AY3:AY77,AY133:AY152)</f>
        <v>#REF!</v>
      </c>
      <c r="AZ161" s="63" t="e">
        <f>GEOMEAN(AZ3:AZ77,AZ133:AZ152)</f>
        <v>#REF!</v>
      </c>
      <c r="BA161" s="63">
        <f>GEOMEAN(BA3:BA77,BA98:BA112)</f>
        <v>1.0000093503281478</v>
      </c>
      <c r="BB161" s="63">
        <f>GEOMEAN(BB3:BB77,BB98:BB112)</f>
        <v>1.0942003915839125</v>
      </c>
      <c r="BC161" s="63">
        <f>GEOMEAN(BC3:BC77,BC98:BC112)</f>
        <v>2.9524744957010447</v>
      </c>
    </row>
    <row r="162" spans="1:55" x14ac:dyDescent="0.2">
      <c r="B162" s="1" t="s">
        <v>9</v>
      </c>
      <c r="L162" s="22">
        <f>GEOMEAN(L3:L132)</f>
        <v>0.22499304243530741</v>
      </c>
      <c r="M162" s="22" t="e">
        <f>GEOMEAN(M3:M132)</f>
        <v>#REF!</v>
      </c>
      <c r="N162" s="22">
        <f>GEOMEAN(N3:N132)</f>
        <v>4.1920056355160377E-2</v>
      </c>
      <c r="X162" s="22">
        <f>GEOMEAN(X3:X132)</f>
        <v>0.24474473311778841</v>
      </c>
      <c r="Y162" s="22" t="e">
        <f>GEOMEAN(Y3:Y132)</f>
        <v>#REF!</v>
      </c>
      <c r="Z162" s="22">
        <f>GEOMEAN(Z3:Z132)</f>
        <v>0.12385436074618435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t="12.75" thickBot="1" x14ac:dyDescent="0.25">
      <c r="B163" s="1" t="s">
        <v>10</v>
      </c>
      <c r="X163" s="23">
        <f>X162/L162</f>
        <v>1.0877880065476258</v>
      </c>
      <c r="Y163" s="23" t="e">
        <f>Y162/M162</f>
        <v>#REF!</v>
      </c>
      <c r="Z163" s="23">
        <f>Z162/N162</f>
        <v>2.9545370764020413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t="12.75" thickBot="1" x14ac:dyDescent="0.25">
      <c r="B164" s="1" t="s">
        <v>11</v>
      </c>
      <c r="L164" s="22"/>
      <c r="M164" s="22"/>
      <c r="N164" s="22"/>
      <c r="X164" s="22"/>
      <c r="Y164" s="22"/>
      <c r="Z164" s="22"/>
      <c r="AA164" s="63">
        <f>GEOMEAN(AA58:AA132)</f>
        <v>2.4805628630404</v>
      </c>
      <c r="AB164" s="63">
        <f>GEOMEAN(AB58:AB132)</f>
        <v>1.1130702789279157</v>
      </c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x14ac:dyDescent="0.2">
      <c r="B167" s="1" t="s">
        <v>40</v>
      </c>
      <c r="L167" s="12">
        <f>SUM(L$3:L$17)</f>
        <v>8.984</v>
      </c>
      <c r="M167" s="12" t="e">
        <f>SUM(M$3:M$17)</f>
        <v>#REF!</v>
      </c>
      <c r="N167" s="12">
        <f>SUM(N$3:N$17)</f>
        <v>2.5893544444444445</v>
      </c>
      <c r="X167" s="12">
        <f>SUM(X$3:X$17)</f>
        <v>10.870000000000001</v>
      </c>
      <c r="Y167" s="12" t="e">
        <f>SUM(Y$3:Y$17)</f>
        <v>#REF!</v>
      </c>
      <c r="Z167" s="12">
        <f>SUM(Z$3:Z$17)</f>
        <v>6.9262030555555549</v>
      </c>
      <c r="AA167" s="12">
        <f>X167/L167</f>
        <v>1.2099287622439894</v>
      </c>
      <c r="AB167" s="12" t="e">
        <f t="shared" ref="AB167:AC174" si="228">X167/K167</f>
        <v>#DIV/0!</v>
      </c>
      <c r="AC167" s="12" t="e">
        <f t="shared" si="228"/>
        <v>#REF!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x14ac:dyDescent="0.2">
      <c r="B168" s="1" t="s">
        <v>41</v>
      </c>
      <c r="L168" s="12">
        <f>SUM(L$18:L$32)</f>
        <v>11.74</v>
      </c>
      <c r="M168" s="12" t="e">
        <f>SUM(M$18:M$32)</f>
        <v>#REF!</v>
      </c>
      <c r="N168" s="12">
        <f>SUM(N$18:N$32)</f>
        <v>4.2400486111111109</v>
      </c>
      <c r="X168" s="12">
        <f>SUM(X$18:X$32)</f>
        <v>12.200000000000001</v>
      </c>
      <c r="Y168" s="12" t="e">
        <f>SUM(Y$18:Y$32)</f>
        <v>#REF!</v>
      </c>
      <c r="Z168" s="12">
        <f>SUM(Z$18:Z$32)</f>
        <v>10.579610277777778</v>
      </c>
      <c r="AA168" s="12">
        <f t="shared" ref="AA168:AA184" si="229">X168/L168</f>
        <v>1.0391822827938673</v>
      </c>
      <c r="AB168" s="12" t="e">
        <f t="shared" si="228"/>
        <v>#DIV/0!</v>
      </c>
      <c r="AC168" s="12" t="e">
        <f t="shared" si="228"/>
        <v>#REF!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x14ac:dyDescent="0.2">
      <c r="B169" s="1" t="s">
        <v>1</v>
      </c>
      <c r="L169" s="12">
        <f>SUM(L$33:L$57)</f>
        <v>6.9190000000000005</v>
      </c>
      <c r="M169" s="12" t="e">
        <f>SUM(M$33:M$57)</f>
        <v>#REF!</v>
      </c>
      <c r="N169" s="12">
        <f>SUM(N$33:N$57)</f>
        <v>2.0734463888888892</v>
      </c>
      <c r="X169" s="12">
        <f>SUM(X$33:X$57)</f>
        <v>7.07</v>
      </c>
      <c r="Y169" s="12" t="e">
        <f>SUM(Y$33:Y$57)</f>
        <v>#REF!</v>
      </c>
      <c r="Z169" s="12">
        <f>SUM(Z$33:Z$57)</f>
        <v>6.0261827777777777</v>
      </c>
      <c r="AA169" s="12">
        <f t="shared" si="229"/>
        <v>1.0218239630004335</v>
      </c>
      <c r="AB169" s="12" t="e">
        <f t="shared" si="228"/>
        <v>#DIV/0!</v>
      </c>
      <c r="AC169" s="12" t="e">
        <f t="shared" si="228"/>
        <v>#REF!</v>
      </c>
      <c r="AD169" s="12"/>
      <c r="AF169" s="21"/>
      <c r="AG169" s="76" t="s">
        <v>97</v>
      </c>
      <c r="AH169" s="83" t="s">
        <v>98</v>
      </c>
      <c r="AI169" s="82" t="s">
        <v>99</v>
      </c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x14ac:dyDescent="0.2">
      <c r="B170" s="1" t="s">
        <v>5</v>
      </c>
      <c r="L170" s="12">
        <f>SUM(L$58:L$77)</f>
        <v>2.766</v>
      </c>
      <c r="M170" s="12" t="e">
        <f>SUM(M$58:M$77)</f>
        <v>#REF!</v>
      </c>
      <c r="N170" s="12">
        <f>SUM(N$58:N$77)</f>
        <v>0.77534444444444439</v>
      </c>
      <c r="X170" s="12">
        <f>SUM(X$58:X$77)</f>
        <v>3.0579999999999998</v>
      </c>
      <c r="Y170" s="12" t="e">
        <f>SUM(Y$58:Y$77)</f>
        <v>#REF!</v>
      </c>
      <c r="Z170" s="12">
        <f>SUM(Z$58:Z$77)</f>
        <v>1.6029216666666666</v>
      </c>
      <c r="AA170" s="12">
        <f t="shared" si="229"/>
        <v>1.1055676066522053</v>
      </c>
      <c r="AB170" s="12" t="e">
        <f t="shared" si="228"/>
        <v>#DIV/0!</v>
      </c>
      <c r="AC170" s="12" t="e">
        <f t="shared" si="228"/>
        <v>#REF!</v>
      </c>
      <c r="AD170" s="12"/>
      <c r="AF170" s="21"/>
      <c r="AG170" s="73" t="s">
        <v>5</v>
      </c>
      <c r="AH170" s="80">
        <v>2.2678884785816429</v>
      </c>
      <c r="AI170" s="74">
        <v>1.1069890747397029</v>
      </c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x14ac:dyDescent="0.2">
      <c r="B171" s="1" t="s">
        <v>6</v>
      </c>
      <c r="L171" s="12">
        <f>SUM(L$78:L$97)</f>
        <v>1.929</v>
      </c>
      <c r="M171" s="12" t="e">
        <f>SUM(M$78:M$97)</f>
        <v>#REF!</v>
      </c>
      <c r="N171" s="12">
        <f>SUM(N$78:N$97)</f>
        <v>0.23996694444444444</v>
      </c>
      <c r="X171" s="12">
        <f>SUM(X$78:X$97)</f>
        <v>2.1590000000000003</v>
      </c>
      <c r="Y171" s="12" t="e">
        <f>SUM(Y$78:Y$97)</f>
        <v>#REF!</v>
      </c>
      <c r="Z171" s="12">
        <f>SUM(Z$78:Z$97)</f>
        <v>0.44215166666666655</v>
      </c>
      <c r="AA171" s="12">
        <f t="shared" si="229"/>
        <v>1.1192327630896839</v>
      </c>
      <c r="AB171" s="12" t="e">
        <f t="shared" si="228"/>
        <v>#DIV/0!</v>
      </c>
      <c r="AC171" s="12" t="e">
        <f t="shared" si="228"/>
        <v>#REF!</v>
      </c>
      <c r="AD171" s="12"/>
      <c r="AF171" s="21"/>
      <c r="AG171" s="73" t="s">
        <v>6</v>
      </c>
      <c r="AH171" s="80">
        <v>1.9666378781058296</v>
      </c>
      <c r="AI171" s="74">
        <v>1.1211984679932518</v>
      </c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x14ac:dyDescent="0.2">
      <c r="B172" s="1" t="s">
        <v>7</v>
      </c>
      <c r="L172" s="12">
        <f>SUM(L$98:L$112)</f>
        <v>2.355</v>
      </c>
      <c r="M172" s="12" t="e">
        <f>SUM(M$98:M$112)</f>
        <v>#REF!</v>
      </c>
      <c r="N172" s="12">
        <f>SUM(N$98:N$112)</f>
        <v>0.57748500000000014</v>
      </c>
      <c r="X172" s="12">
        <f>SUM(X$98:X$112)</f>
        <v>2.7699999999999996</v>
      </c>
      <c r="Y172" s="12" t="e">
        <f>SUM(Y$98:Y$112)</f>
        <v>#REF!</v>
      </c>
      <c r="Z172" s="12">
        <f>SUM(Z$98:Z$112)</f>
        <v>1.5731672222222222</v>
      </c>
      <c r="AA172" s="12">
        <f t="shared" si="229"/>
        <v>1.1762208067940549</v>
      </c>
      <c r="AB172" s="12" t="e">
        <f t="shared" si="228"/>
        <v>#DIV/0!</v>
      </c>
      <c r="AC172" s="12" t="e">
        <f t="shared" si="228"/>
        <v>#REF!</v>
      </c>
      <c r="AD172" s="12"/>
      <c r="AF172" s="21"/>
      <c r="AG172" s="73" t="s">
        <v>7</v>
      </c>
      <c r="AH172" s="80">
        <v>3.0538594259500913</v>
      </c>
      <c r="AI172" s="74">
        <v>1.166295319004494</v>
      </c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x14ac:dyDescent="0.2">
      <c r="B173" s="1" t="s">
        <v>18</v>
      </c>
      <c r="L173" s="12">
        <f>SUM(L$113:L$132)</f>
        <v>4.1050000000000004</v>
      </c>
      <c r="M173" s="12" t="e">
        <f>SUM(M$113:M$132)</f>
        <v>#REF!</v>
      </c>
      <c r="N173" s="12">
        <f>SUM(N$113:N$132)</f>
        <v>1.1453974999999998</v>
      </c>
      <c r="X173" s="12">
        <f>SUM(X$113:X$132)</f>
        <v>4.4770000000000003</v>
      </c>
      <c r="Y173" s="12" t="e">
        <f>SUM(Y$113:Y$132)</f>
        <v>#REF!</v>
      </c>
      <c r="Z173" s="12">
        <f>SUM(Z$113:Z$132)</f>
        <v>2.8814466666666672</v>
      </c>
      <c r="AA173" s="12">
        <f t="shared" si="229"/>
        <v>1.0906211936662606</v>
      </c>
      <c r="AB173" s="12" t="e">
        <f t="shared" si="228"/>
        <v>#DIV/0!</v>
      </c>
      <c r="AC173" s="12" t="e">
        <f t="shared" si="228"/>
        <v>#REF!</v>
      </c>
      <c r="AD173" s="12"/>
      <c r="AG173" s="75" t="s">
        <v>18</v>
      </c>
      <c r="AH173" s="80">
        <v>2.9280636623050245</v>
      </c>
      <c r="AI173" s="74">
        <v>1.0728215021009881</v>
      </c>
      <c r="AX173" s="12"/>
      <c r="AY173" s="12"/>
      <c r="AZ173" s="12"/>
      <c r="BA173" s="12"/>
      <c r="BB173" s="12"/>
    </row>
    <row r="174" spans="1:55" x14ac:dyDescent="0.2">
      <c r="B174" s="1" t="s">
        <v>8</v>
      </c>
      <c r="L174" s="12">
        <f>SUM(L167:L173)</f>
        <v>38.798000000000002</v>
      </c>
      <c r="M174" s="12" t="e">
        <f>SUM(M167:M173)</f>
        <v>#REF!</v>
      </c>
      <c r="N174" s="12">
        <f>SUM(N167:N173)</f>
        <v>11.641043333333334</v>
      </c>
      <c r="X174" s="12">
        <f>SUM(X167:X173)</f>
        <v>42.603999999999999</v>
      </c>
      <c r="Y174" s="12" t="e">
        <f>SUM(Y167:Y173)</f>
        <v>#REF!</v>
      </c>
      <c r="Z174" s="12">
        <f>SUM(Z167:Z173)</f>
        <v>30.031683333333334</v>
      </c>
      <c r="AA174" s="12">
        <f t="shared" si="229"/>
        <v>1.0980978400948502</v>
      </c>
      <c r="AB174" s="12" t="e">
        <f t="shared" si="228"/>
        <v>#DIV/0!</v>
      </c>
      <c r="AC174" s="12" t="e">
        <f t="shared" si="228"/>
        <v>#REF!</v>
      </c>
      <c r="AD174" s="12"/>
      <c r="AG174" s="73" t="s">
        <v>96</v>
      </c>
      <c r="AH174" s="81">
        <v>2.4805628630404</v>
      </c>
      <c r="AI174" s="78">
        <v>1.1130702789279157</v>
      </c>
      <c r="AX174" s="12"/>
      <c r="AY174" s="12"/>
      <c r="AZ174" s="12"/>
      <c r="BA174" s="12"/>
      <c r="BB174" s="12"/>
    </row>
    <row r="175" spans="1:55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x14ac:dyDescent="0.2">
      <c r="B177" s="1" t="s">
        <v>40</v>
      </c>
      <c r="L177" s="12">
        <f>MAX(L$3:L$17)</f>
        <v>1.242</v>
      </c>
      <c r="M177" s="12" t="e">
        <f>MAX(M$3:M$17)</f>
        <v>#REF!</v>
      </c>
      <c r="N177" s="12">
        <f>MAX(N$3:N$17)</f>
        <v>0.84987500000000005</v>
      </c>
      <c r="X177" s="12">
        <f>MAX(X$3:X$17)</f>
        <v>2.125</v>
      </c>
      <c r="Y177" s="12" t="e">
        <f>MAX(Y$3:Y$17)</f>
        <v>#REF!</v>
      </c>
      <c r="Z177" s="12">
        <f>MAX(Z$3:Z$17)</f>
        <v>1.2266350000000001</v>
      </c>
      <c r="AA177" s="12">
        <f t="shared" si="229"/>
        <v>1.710950080515298</v>
      </c>
      <c r="AB177" s="12" t="e">
        <f t="shared" ref="AB177:AC184" si="230">X177/K177</f>
        <v>#DIV/0!</v>
      </c>
      <c r="AC177" s="12" t="e">
        <f t="shared" si="230"/>
        <v>#REF!</v>
      </c>
      <c r="AD177" s="12"/>
      <c r="AX177" s="12"/>
      <c r="AY177" s="12"/>
      <c r="AZ177" s="12"/>
      <c r="BA177" s="12"/>
      <c r="BB177" s="12"/>
    </row>
    <row r="178" spans="2:54" x14ac:dyDescent="0.2">
      <c r="B178" s="1" t="s">
        <v>41</v>
      </c>
      <c r="L178" s="12">
        <f>MAX(L$18:L$32)</f>
        <v>1.4510000000000001</v>
      </c>
      <c r="M178" s="12" t="e">
        <f>MAX(M$18:M$32)</f>
        <v>#REF!</v>
      </c>
      <c r="N178" s="12">
        <f>MAX(N$18:N$32)</f>
        <v>0.89146055555555548</v>
      </c>
      <c r="X178" s="12">
        <f>MAX(X$18:X$32)</f>
        <v>1.4750000000000001</v>
      </c>
      <c r="Y178" s="12" t="e">
        <f>MAX(Y$18:Y$32)</f>
        <v>#REF!</v>
      </c>
      <c r="Z178" s="12">
        <f>MAX(Z$18:Z$32)</f>
        <v>1.6026266666666666</v>
      </c>
      <c r="AA178" s="12">
        <f t="shared" si="229"/>
        <v>1.0165403170227429</v>
      </c>
      <c r="AB178" s="12" t="e">
        <f t="shared" si="230"/>
        <v>#DIV/0!</v>
      </c>
      <c r="AC178" s="12" t="e">
        <f t="shared" si="230"/>
        <v>#REF!</v>
      </c>
      <c r="AD178" s="12"/>
      <c r="AX178" s="12"/>
      <c r="AY178" s="12"/>
      <c r="AZ178" s="12"/>
      <c r="BA178" s="12"/>
      <c r="BB178" s="12"/>
    </row>
    <row r="179" spans="2:54" x14ac:dyDescent="0.2">
      <c r="B179" s="1" t="s">
        <v>1</v>
      </c>
      <c r="L179" s="12">
        <f>MAX(L$33:L$57)</f>
        <v>0.46800000000000003</v>
      </c>
      <c r="M179" s="12" t="e">
        <f>MAX(M$33:M$57)</f>
        <v>#REF!</v>
      </c>
      <c r="N179" s="12">
        <f>MAX(N$33:N$57)</f>
        <v>0.28732722222222218</v>
      </c>
      <c r="X179" s="12">
        <f>MAX(X$33:X$57)</f>
        <v>0.45300000000000001</v>
      </c>
      <c r="Y179" s="12" t="e">
        <f>MAX(Y$33:Y$57)</f>
        <v>#REF!</v>
      </c>
      <c r="Z179" s="12">
        <f>MAX(Z$33:Z$57)</f>
        <v>0.54904444444444445</v>
      </c>
      <c r="AA179" s="12">
        <f t="shared" si="229"/>
        <v>0.96794871794871795</v>
      </c>
      <c r="AB179" s="12" t="e">
        <f t="shared" si="230"/>
        <v>#DIV/0!</v>
      </c>
      <c r="AC179" s="12" t="e">
        <f t="shared" si="230"/>
        <v>#REF!</v>
      </c>
      <c r="AD179" s="12"/>
      <c r="AX179" s="12"/>
      <c r="AY179" s="12"/>
      <c r="AZ179" s="12"/>
      <c r="BA179" s="12"/>
      <c r="BB179" s="12"/>
    </row>
    <row r="180" spans="2:54" x14ac:dyDescent="0.2">
      <c r="B180" s="1" t="s">
        <v>5</v>
      </c>
      <c r="L180" s="12">
        <f>MAX(L$58:L$77)</f>
        <v>0.19700000000000001</v>
      </c>
      <c r="M180" s="12" t="e">
        <f>MAX(M$58:M$77)</f>
        <v>#REF!</v>
      </c>
      <c r="N180" s="12">
        <f>MAX(N$58:N$77)</f>
        <v>7.4688611111111122E-2</v>
      </c>
      <c r="X180" s="12">
        <f>MAX(X$58:X$77)</f>
        <v>0.20799999999999999</v>
      </c>
      <c r="Y180" s="12" t="e">
        <f>MAX(Y$58:Y$77)</f>
        <v>#REF!</v>
      </c>
      <c r="Z180" s="12">
        <f>MAX(Z$58:Z$77)</f>
        <v>0.11562361111111111</v>
      </c>
      <c r="AA180" s="12">
        <f t="shared" si="229"/>
        <v>1.0558375634517765</v>
      </c>
      <c r="AB180" s="12" t="e">
        <f t="shared" si="230"/>
        <v>#DIV/0!</v>
      </c>
      <c r="AC180" s="12" t="e">
        <f t="shared" si="230"/>
        <v>#REF!</v>
      </c>
      <c r="AD180" s="12"/>
      <c r="AX180" s="12"/>
      <c r="AY180" s="12"/>
      <c r="AZ180" s="12"/>
      <c r="BA180" s="12"/>
      <c r="BB180" s="12"/>
    </row>
    <row r="181" spans="2:54" x14ac:dyDescent="0.2">
      <c r="B181" s="1" t="s">
        <v>6</v>
      </c>
      <c r="L181" s="12">
        <f>MAX(L$78:L$97)</f>
        <v>0.13900000000000001</v>
      </c>
      <c r="M181" s="12" t="e">
        <f>MAX(M$78:M$97)</f>
        <v>#REF!</v>
      </c>
      <c r="N181" s="12">
        <f>MAX(N$78:N$97)</f>
        <v>2.1213055555555558E-2</v>
      </c>
      <c r="X181" s="12">
        <f>MAX(X$78:X$97)</f>
        <v>0.13800000000000001</v>
      </c>
      <c r="Y181" s="12" t="e">
        <f>MAX(Y$78:Y$97)</f>
        <v>#REF!</v>
      </c>
      <c r="Z181" s="12">
        <f>MAX(Z$78:Z$97)</f>
        <v>3.1239444444444445E-2</v>
      </c>
      <c r="AA181" s="12">
        <f t="shared" si="229"/>
        <v>0.9928057553956835</v>
      </c>
      <c r="AB181" s="12" t="e">
        <f t="shared" si="230"/>
        <v>#DIV/0!</v>
      </c>
      <c r="AC181" s="12" t="e">
        <f t="shared" si="230"/>
        <v>#REF!</v>
      </c>
      <c r="AD181" s="12"/>
      <c r="AX181" s="12"/>
      <c r="AY181" s="12"/>
      <c r="AZ181" s="12"/>
      <c r="BA181" s="12"/>
      <c r="BB181" s="12"/>
    </row>
    <row r="182" spans="2:54" x14ac:dyDescent="0.2">
      <c r="B182" s="1" t="s">
        <v>7</v>
      </c>
      <c r="L182" s="12">
        <f>MAX(L$98:L$112)</f>
        <v>0.22500000000000001</v>
      </c>
      <c r="M182" s="12" t="e">
        <f>MAX(M$98:M$112)</f>
        <v>#REF!</v>
      </c>
      <c r="N182" s="12">
        <f>MAX(N$98:N$112)</f>
        <v>9.7731388888888895E-2</v>
      </c>
      <c r="X182" s="12">
        <f>MAX(X$98:X$112)</f>
        <v>0.26900000000000002</v>
      </c>
      <c r="Y182" s="12" t="e">
        <f>MAX(Y$98:Y$112)</f>
        <v>#REF!</v>
      </c>
      <c r="Z182" s="12">
        <f>MAX(Z$98:Z$112)</f>
        <v>0.20505916666666665</v>
      </c>
      <c r="AA182" s="12">
        <f t="shared" si="229"/>
        <v>1.1955555555555557</v>
      </c>
      <c r="AB182" s="12" t="e">
        <f t="shared" si="230"/>
        <v>#DIV/0!</v>
      </c>
      <c r="AC182" s="12" t="e">
        <f t="shared" si="230"/>
        <v>#REF!</v>
      </c>
      <c r="AD182" s="12"/>
      <c r="AX182" s="12"/>
      <c r="AY182" s="12"/>
      <c r="AZ182" s="12"/>
      <c r="BA182" s="12"/>
      <c r="BB182" s="12"/>
    </row>
    <row r="183" spans="2:54" x14ac:dyDescent="0.2">
      <c r="B183" s="1" t="s">
        <v>18</v>
      </c>
      <c r="L183" s="12">
        <f>MAX(L$113:L$132)</f>
        <v>0.47</v>
      </c>
      <c r="M183" s="12" t="e">
        <f>MAX(M$113:M$132)</f>
        <v>#REF!</v>
      </c>
      <c r="N183" s="12">
        <f>MAX(N$113:N$132)</f>
        <v>0.28223666666666669</v>
      </c>
      <c r="X183" s="12">
        <f>MAX(X$113:X$132)</f>
        <v>0.63200000000000001</v>
      </c>
      <c r="Y183" s="12" t="e">
        <f>MAX(Y$113:Y$132)</f>
        <v>#REF!</v>
      </c>
      <c r="Z183" s="12">
        <f>MAX(Z$113:Z$132)</f>
        <v>0.50214194444444449</v>
      </c>
      <c r="AA183" s="12">
        <f t="shared" si="229"/>
        <v>1.34468085106383</v>
      </c>
      <c r="AB183" s="12" t="e">
        <f t="shared" si="230"/>
        <v>#DIV/0!</v>
      </c>
      <c r="AC183" s="12" t="e">
        <f t="shared" si="230"/>
        <v>#REF!</v>
      </c>
      <c r="AD183" s="12"/>
      <c r="AX183" s="12"/>
      <c r="AY183" s="12"/>
      <c r="AZ183" s="12"/>
      <c r="BA183" s="12"/>
      <c r="BB183" s="12"/>
    </row>
    <row r="184" spans="2:54" x14ac:dyDescent="0.2">
      <c r="B184" s="1" t="s">
        <v>8</v>
      </c>
      <c r="L184" s="12">
        <f>MAX(L177:L183)</f>
        <v>1.4510000000000001</v>
      </c>
      <c r="M184" s="12" t="e">
        <f>MAX(M177:M183)</f>
        <v>#REF!</v>
      </c>
      <c r="N184" s="12">
        <f>MAX(N177:N183)</f>
        <v>0.89146055555555548</v>
      </c>
      <c r="X184" s="12">
        <f>MAX(X177:X183)</f>
        <v>2.125</v>
      </c>
      <c r="Y184" s="12" t="e">
        <f>MAX(Y177:Y183)</f>
        <v>#REF!</v>
      </c>
      <c r="Z184" s="12">
        <f>MAX(Z177:Z183)</f>
        <v>1.6026266666666666</v>
      </c>
      <c r="AA184" s="12">
        <f t="shared" si="229"/>
        <v>1.4645072363886973</v>
      </c>
      <c r="AB184" s="12" t="e">
        <f t="shared" si="230"/>
        <v>#DIV/0!</v>
      </c>
      <c r="AC184" s="12" t="e">
        <f t="shared" si="230"/>
        <v>#REF!</v>
      </c>
      <c r="AD184" s="12"/>
      <c r="AX184" s="12"/>
      <c r="AY184" s="12"/>
      <c r="AZ184" s="12"/>
      <c r="BA184" s="12"/>
      <c r="BB184" s="12"/>
    </row>
    <row r="187" spans="2:54" x14ac:dyDescent="0.2">
      <c r="AF187" s="21">
        <f>AVERAGE(AF58:AF132)</f>
        <v>-5.1337577943764881E-4</v>
      </c>
      <c r="AG187" s="21">
        <f t="shared" ref="AG187:AW187" si="231">AVERAGE(AG58:AG132)</f>
        <v>-2.1210010000314822E-3</v>
      </c>
      <c r="AH187" s="21">
        <f t="shared" si="231"/>
        <v>-2.7467266896644841E-3</v>
      </c>
      <c r="AI187" s="21">
        <f t="shared" si="231"/>
        <v>-9.7586094711403786E-4</v>
      </c>
      <c r="AJ187" s="21">
        <f t="shared" si="231"/>
        <v>-3.546654122601378E-3</v>
      </c>
      <c r="AK187" s="21">
        <f t="shared" si="231"/>
        <v>-1.9098794745705898E-3</v>
      </c>
      <c r="AL187" s="21">
        <f t="shared" si="231"/>
        <v>-5.8033988861220609E-4</v>
      </c>
      <c r="AM187" s="21">
        <f t="shared" si="231"/>
        <v>-3.2650003743215877E-3</v>
      </c>
      <c r="AN187" s="21">
        <f t="shared" si="231"/>
        <v>-4.124204103711112E-3</v>
      </c>
      <c r="AO187" s="21">
        <f t="shared" si="231"/>
        <v>-9.2628895769459132E-4</v>
      </c>
      <c r="AP187" s="21">
        <f t="shared" si="231"/>
        <v>-3.8114686018027033E-3</v>
      </c>
      <c r="AQ187" s="21">
        <f t="shared" si="231"/>
        <v>-2.9299767517922365E-3</v>
      </c>
      <c r="AR187" s="21">
        <f t="shared" si="231"/>
        <v>-7.6070172157834587E-5</v>
      </c>
      <c r="AS187" s="21">
        <f t="shared" si="231"/>
        <v>-3.9108051068690306E-4</v>
      </c>
      <c r="AT187" s="21">
        <f t="shared" si="231"/>
        <v>-3.8111438082961322E-3</v>
      </c>
      <c r="AU187" s="21">
        <f t="shared" si="231"/>
        <v>1.9410268449454964E-4</v>
      </c>
      <c r="AV187" s="21">
        <f t="shared" si="231"/>
        <v>-1.5262284909529854E-3</v>
      </c>
      <c r="AW187" s="21">
        <f t="shared" si="231"/>
        <v>-1.3870032490789516E-3</v>
      </c>
    </row>
    <row r="197" spans="19:29" ht="12.75" thickBot="1" x14ac:dyDescent="0.25"/>
    <row r="198" spans="19:29" ht="12.75" thickBot="1" x14ac:dyDescent="0.25">
      <c r="S198" s="8" t="s">
        <v>52</v>
      </c>
      <c r="T198" s="1" t="s">
        <v>92</v>
      </c>
      <c r="Y198" s="8" t="s">
        <v>43</v>
      </c>
      <c r="Z198" s="1" t="s">
        <v>90</v>
      </c>
      <c r="AB198" s="13" t="s">
        <v>44</v>
      </c>
      <c r="AC198" s="1" t="s">
        <v>78</v>
      </c>
    </row>
    <row r="199" spans="19:29" ht="12.75" thickBot="1" x14ac:dyDescent="0.25">
      <c r="S199" s="13" t="s">
        <v>44</v>
      </c>
      <c r="T199" s="57" t="s">
        <v>78</v>
      </c>
      <c r="Y199" s="8" t="s">
        <v>42</v>
      </c>
      <c r="Z199" s="1" t="s">
        <v>91</v>
      </c>
      <c r="AB199" s="13" t="s">
        <v>45</v>
      </c>
      <c r="AC199" s="1" t="s">
        <v>79</v>
      </c>
    </row>
    <row r="200" spans="19:29" ht="12.75" thickBot="1" x14ac:dyDescent="0.25">
      <c r="S200" s="13" t="s">
        <v>45</v>
      </c>
      <c r="T200" s="57" t="s">
        <v>79</v>
      </c>
      <c r="Y200" s="56" t="s">
        <v>44</v>
      </c>
      <c r="Z200" s="57" t="s">
        <v>78</v>
      </c>
      <c r="AB200" s="8" t="s">
        <v>3</v>
      </c>
      <c r="AC200" s="1" t="s">
        <v>80</v>
      </c>
    </row>
    <row r="201" spans="19:29" ht="12.75" thickBot="1" x14ac:dyDescent="0.25">
      <c r="S201" s="8" t="s">
        <v>2</v>
      </c>
      <c r="T201" s="57" t="s">
        <v>82</v>
      </c>
      <c r="Y201" s="56" t="s">
        <v>45</v>
      </c>
      <c r="Z201" s="57" t="s">
        <v>79</v>
      </c>
      <c r="AB201" s="8" t="s">
        <v>4</v>
      </c>
      <c r="AC201" s="1" t="s">
        <v>81</v>
      </c>
    </row>
    <row r="202" spans="19:29" ht="12.75" thickBot="1" x14ac:dyDescent="0.25">
      <c r="S202" s="8" t="s">
        <v>17</v>
      </c>
      <c r="T202" s="1" t="s">
        <v>89</v>
      </c>
      <c r="Y202" s="48" t="s">
        <v>2</v>
      </c>
      <c r="Z202" s="57" t="s">
        <v>82</v>
      </c>
      <c r="AB202" s="8" t="s">
        <v>2</v>
      </c>
      <c r="AC202" s="1" t="s">
        <v>82</v>
      </c>
    </row>
    <row r="203" spans="19:29" ht="12.75" thickBot="1" x14ac:dyDescent="0.25">
      <c r="S203" s="8" t="s">
        <v>27</v>
      </c>
      <c r="T203" s="1" t="s">
        <v>93</v>
      </c>
      <c r="Y203" s="8" t="s">
        <v>17</v>
      </c>
      <c r="Z203" s="1" t="s">
        <v>89</v>
      </c>
      <c r="AB203" s="8" t="s">
        <v>29</v>
      </c>
      <c r="AC203" s="1" t="s">
        <v>83</v>
      </c>
    </row>
    <row r="204" spans="19:29" ht="12.75" thickBot="1" x14ac:dyDescent="0.25">
      <c r="S204" s="8" t="s">
        <v>29</v>
      </c>
      <c r="T204" s="1" t="s">
        <v>83</v>
      </c>
      <c r="Y204" s="48" t="s">
        <v>32</v>
      </c>
      <c r="Z204" s="57" t="s">
        <v>84</v>
      </c>
      <c r="AB204" s="8" t="s">
        <v>32</v>
      </c>
      <c r="AC204" s="1" t="s">
        <v>84</v>
      </c>
    </row>
    <row r="205" spans="19:29" ht="12.75" thickBot="1" x14ac:dyDescent="0.25">
      <c r="S205" s="8" t="s">
        <v>31</v>
      </c>
      <c r="T205" s="1" t="s">
        <v>94</v>
      </c>
      <c r="Y205" s="48" t="s">
        <v>34</v>
      </c>
      <c r="Z205" s="57" t="s">
        <v>85</v>
      </c>
      <c r="AB205" s="8" t="s">
        <v>34</v>
      </c>
      <c r="AC205" s="1" t="s">
        <v>85</v>
      </c>
    </row>
    <row r="206" spans="19:29" ht="12.75" thickBot="1" x14ac:dyDescent="0.25">
      <c r="S206" s="8" t="s">
        <v>34</v>
      </c>
      <c r="T206" s="1" t="s">
        <v>85</v>
      </c>
      <c r="AB206" s="8" t="s">
        <v>35</v>
      </c>
      <c r="AC206" s="1" t="s">
        <v>86</v>
      </c>
    </row>
    <row r="207" spans="19:29" ht="12.75" thickBot="1" x14ac:dyDescent="0.25">
      <c r="S207" s="8" t="s">
        <v>35</v>
      </c>
      <c r="T207" s="1" t="s">
        <v>86</v>
      </c>
      <c r="AB207" s="8" t="s">
        <v>36</v>
      </c>
      <c r="AC207" s="1" t="s">
        <v>87</v>
      </c>
    </row>
    <row r="208" spans="19:29" ht="12.75" thickBot="1" x14ac:dyDescent="0.25">
      <c r="S208" s="8" t="s">
        <v>36</v>
      </c>
      <c r="T208" s="1" t="s">
        <v>87</v>
      </c>
      <c r="AB208" s="8" t="s">
        <v>37</v>
      </c>
      <c r="AC208" s="1" t="s">
        <v>88</v>
      </c>
    </row>
    <row r="209" spans="19:20" x14ac:dyDescent="0.2">
      <c r="S209" s="8" t="s">
        <v>37</v>
      </c>
      <c r="T209" s="1" t="s">
        <v>88</v>
      </c>
    </row>
  </sheetData>
  <autoFilter ref="BD1:BD187" xr:uid="{F90A113A-B59C-424C-AF52-8B4643077050}"/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7371" priority="1476" operator="greaterThan">
      <formula>0.03</formula>
    </cfRule>
    <cfRule type="cellIs" dxfId="7370" priority="1477" stopIfTrue="1" operator="lessThan">
      <formula>-0.03</formula>
    </cfRule>
  </conditionalFormatting>
  <conditionalFormatting sqref="AU7:AV7">
    <cfRule type="cellIs" dxfId="7369" priority="1474" operator="greaterThan">
      <formula>0.03</formula>
    </cfRule>
    <cfRule type="cellIs" dxfId="7368" priority="1475" stopIfTrue="1" operator="lessThan">
      <formula>-0.03</formula>
    </cfRule>
  </conditionalFormatting>
  <conditionalFormatting sqref="AO156:AQ156 AU156:AW156">
    <cfRule type="cellIs" dxfId="7367" priority="1466" operator="greaterThan">
      <formula>0.03</formula>
    </cfRule>
    <cfRule type="cellIs" dxfId="7366" priority="1467" stopIfTrue="1" operator="lessThan">
      <formula>-0.03</formula>
    </cfRule>
  </conditionalFormatting>
  <conditionalFormatting sqref="AO159:AQ159 AU159:AW159">
    <cfRule type="cellIs" dxfId="7365" priority="1464" operator="greaterThan">
      <formula>0.03</formula>
    </cfRule>
    <cfRule type="cellIs" dxfId="7364" priority="1465" stopIfTrue="1" operator="lessThan">
      <formula>-0.03</formula>
    </cfRule>
  </conditionalFormatting>
  <conditionalFormatting sqref="AO161:AQ161 AU161:AW161">
    <cfRule type="cellIs" dxfId="7363" priority="1472" operator="greaterThan">
      <formula>0.03</formula>
    </cfRule>
    <cfRule type="cellIs" dxfId="7362" priority="1473" stopIfTrue="1" operator="lessThan">
      <formula>-0.03</formula>
    </cfRule>
  </conditionalFormatting>
  <conditionalFormatting sqref="AO153:AQ153 AO155:AQ155 AU155:AW155 AU153:AW153">
    <cfRule type="cellIs" dxfId="7361" priority="1468" operator="greaterThan">
      <formula>0.03</formula>
    </cfRule>
    <cfRule type="cellIs" dxfId="7360" priority="1469" stopIfTrue="1" operator="lessThan">
      <formula>-0.03</formula>
    </cfRule>
  </conditionalFormatting>
  <conditionalFormatting sqref="AO157:AQ158 AU157:AW158">
    <cfRule type="cellIs" dxfId="7359" priority="1470" operator="greaterThan">
      <formula>0.03</formula>
    </cfRule>
    <cfRule type="cellIs" dxfId="7358" priority="1471" stopIfTrue="1" operator="lessThan">
      <formula>-0.03</formula>
    </cfRule>
  </conditionalFormatting>
  <conditionalFormatting sqref="AO154:AQ154 AU154:AW154">
    <cfRule type="cellIs" dxfId="7357" priority="1462" operator="greaterThan">
      <formula>0.03</formula>
    </cfRule>
    <cfRule type="cellIs" dxfId="7356" priority="1463" stopIfTrue="1" operator="lessThan">
      <formula>-0.03</formula>
    </cfRule>
  </conditionalFormatting>
  <conditionalFormatting sqref="AO7:AQ7">
    <cfRule type="cellIs" dxfId="7355" priority="1460" operator="greaterThan">
      <formula>0.03</formula>
    </cfRule>
    <cfRule type="cellIs" dxfId="7354" priority="1461" stopIfTrue="1" operator="lessThan">
      <formula>-0.03</formula>
    </cfRule>
  </conditionalFormatting>
  <conditionalFormatting sqref="AI7:AK7 AI3:AK5">
    <cfRule type="cellIs" dxfId="7353" priority="1458" operator="greaterThan">
      <formula>0.03</formula>
    </cfRule>
    <cfRule type="cellIs" dxfId="7352" priority="1459" stopIfTrue="1" operator="lessThan">
      <formula>-0.03</formula>
    </cfRule>
  </conditionalFormatting>
  <conditionalFormatting sqref="AI156:AK156">
    <cfRule type="cellIs" dxfId="7351" priority="1450" operator="greaterThan">
      <formula>0.03</formula>
    </cfRule>
    <cfRule type="cellIs" dxfId="7350" priority="1451" stopIfTrue="1" operator="lessThan">
      <formula>-0.03</formula>
    </cfRule>
  </conditionalFormatting>
  <conditionalFormatting sqref="AI159:AK159">
    <cfRule type="cellIs" dxfId="7349" priority="1448" operator="greaterThan">
      <formula>0.03</formula>
    </cfRule>
    <cfRule type="cellIs" dxfId="7348" priority="1449" stopIfTrue="1" operator="lessThan">
      <formula>-0.03</formula>
    </cfRule>
  </conditionalFormatting>
  <conditionalFormatting sqref="AI161:AK161">
    <cfRule type="cellIs" dxfId="7347" priority="1456" operator="greaterThan">
      <formula>0.03</formula>
    </cfRule>
    <cfRule type="cellIs" dxfId="7346" priority="1457" stopIfTrue="1" operator="lessThan">
      <formula>-0.03</formula>
    </cfRule>
  </conditionalFormatting>
  <conditionalFormatting sqref="AI153:AK153 AI155:AK155">
    <cfRule type="cellIs" dxfId="7345" priority="1452" operator="greaterThan">
      <formula>0.03</formula>
    </cfRule>
    <cfRule type="cellIs" dxfId="7344" priority="1453" stopIfTrue="1" operator="lessThan">
      <formula>-0.03</formula>
    </cfRule>
  </conditionalFormatting>
  <conditionalFormatting sqref="AI157:AK158">
    <cfRule type="cellIs" dxfId="7343" priority="1454" operator="greaterThan">
      <formula>0.03</formula>
    </cfRule>
    <cfRule type="cellIs" dxfId="7342" priority="1455" stopIfTrue="1" operator="lessThan">
      <formula>-0.03</formula>
    </cfRule>
  </conditionalFormatting>
  <conditionalFormatting sqref="AI154:AK154">
    <cfRule type="cellIs" dxfId="7341" priority="1446" operator="greaterThan">
      <formula>0.03</formula>
    </cfRule>
    <cfRule type="cellIs" dxfId="7340" priority="1447" stopIfTrue="1" operator="lessThan">
      <formula>-0.03</formula>
    </cfRule>
  </conditionalFormatting>
  <conditionalFormatting sqref="AI6:AK6">
    <cfRule type="cellIs" dxfId="7339" priority="1444" operator="greaterThan">
      <formula>0.03</formula>
    </cfRule>
    <cfRule type="cellIs" dxfId="7338" priority="1445" stopIfTrue="1" operator="lessThan">
      <formula>-0.03</formula>
    </cfRule>
  </conditionalFormatting>
  <conditionalFormatting sqref="AU3:AW3">
    <cfRule type="cellIs" dxfId="7337" priority="1442" operator="greaterThan">
      <formula>0.03</formula>
    </cfRule>
    <cfRule type="cellIs" dxfId="7336" priority="1443" stopIfTrue="1" operator="lessThan">
      <formula>-0.03</formula>
    </cfRule>
  </conditionalFormatting>
  <conditionalFormatting sqref="AO13:AQ13 AO10:AQ11">
    <cfRule type="cellIs" dxfId="7335" priority="1440" operator="greaterThan">
      <formula>0.03</formula>
    </cfRule>
    <cfRule type="cellIs" dxfId="7334" priority="1441" stopIfTrue="1" operator="lessThan">
      <formula>-0.03</formula>
    </cfRule>
  </conditionalFormatting>
  <conditionalFormatting sqref="AU12:AV12">
    <cfRule type="cellIs" dxfId="7333" priority="1438" operator="greaterThan">
      <formula>0.03</formula>
    </cfRule>
    <cfRule type="cellIs" dxfId="7332" priority="1439" stopIfTrue="1" operator="lessThan">
      <formula>-0.03</formula>
    </cfRule>
  </conditionalFormatting>
  <conditionalFormatting sqref="AO12:AQ12">
    <cfRule type="cellIs" dxfId="7331" priority="1436" operator="greaterThan">
      <formula>0.03</formula>
    </cfRule>
    <cfRule type="cellIs" dxfId="7330" priority="1437" stopIfTrue="1" operator="lessThan">
      <formula>-0.03</formula>
    </cfRule>
  </conditionalFormatting>
  <conditionalFormatting sqref="AI12:AK12 AI8:AK10">
    <cfRule type="cellIs" dxfId="7329" priority="1434" operator="greaterThan">
      <formula>0.03</formula>
    </cfRule>
    <cfRule type="cellIs" dxfId="7328" priority="1435" stopIfTrue="1" operator="lessThan">
      <formula>-0.03</formula>
    </cfRule>
  </conditionalFormatting>
  <conditionalFormatting sqref="AI11:AK11">
    <cfRule type="cellIs" dxfId="7327" priority="1432" operator="greaterThan">
      <formula>0.03</formula>
    </cfRule>
    <cfRule type="cellIs" dxfId="7326" priority="1433" stopIfTrue="1" operator="lessThan">
      <formula>-0.03</formula>
    </cfRule>
  </conditionalFormatting>
  <conditionalFormatting sqref="AU8:AW8">
    <cfRule type="cellIs" dxfId="7325" priority="1430" operator="greaterThan">
      <formula>0.03</formula>
    </cfRule>
    <cfRule type="cellIs" dxfId="7324" priority="1431" stopIfTrue="1" operator="lessThan">
      <formula>-0.03</formula>
    </cfRule>
  </conditionalFormatting>
  <conditionalFormatting sqref="AO18:AQ18 AO15:AQ16">
    <cfRule type="cellIs" dxfId="7323" priority="1428" operator="greaterThan">
      <formula>0.03</formula>
    </cfRule>
    <cfRule type="cellIs" dxfId="7322" priority="1429" stopIfTrue="1" operator="lessThan">
      <formula>-0.03</formula>
    </cfRule>
  </conditionalFormatting>
  <conditionalFormatting sqref="AU17:AV17">
    <cfRule type="cellIs" dxfId="7321" priority="1426" operator="greaterThan">
      <formula>0.03</formula>
    </cfRule>
    <cfRule type="cellIs" dxfId="7320" priority="1427" stopIfTrue="1" operator="lessThan">
      <formula>-0.03</formula>
    </cfRule>
  </conditionalFormatting>
  <conditionalFormatting sqref="AO17:AQ17">
    <cfRule type="cellIs" dxfId="7319" priority="1424" operator="greaterThan">
      <formula>0.03</formula>
    </cfRule>
    <cfRule type="cellIs" dxfId="7318" priority="1425" stopIfTrue="1" operator="lessThan">
      <formula>-0.03</formula>
    </cfRule>
  </conditionalFormatting>
  <conditionalFormatting sqref="AI17:AK17 AI13:AK15">
    <cfRule type="cellIs" dxfId="7317" priority="1422" operator="greaterThan">
      <formula>0.03</formula>
    </cfRule>
    <cfRule type="cellIs" dxfId="7316" priority="1423" stopIfTrue="1" operator="lessThan">
      <formula>-0.03</formula>
    </cfRule>
  </conditionalFormatting>
  <conditionalFormatting sqref="AI16:AK16">
    <cfRule type="cellIs" dxfId="7315" priority="1420" operator="greaterThan">
      <formula>0.03</formula>
    </cfRule>
    <cfRule type="cellIs" dxfId="7314" priority="1421" stopIfTrue="1" operator="lessThan">
      <formula>-0.03</formula>
    </cfRule>
  </conditionalFormatting>
  <conditionalFormatting sqref="AU13:AW13">
    <cfRule type="cellIs" dxfId="7313" priority="1418" operator="greaterThan">
      <formula>0.03</formula>
    </cfRule>
    <cfRule type="cellIs" dxfId="7312" priority="1419" stopIfTrue="1" operator="lessThan">
      <formula>-0.03</formula>
    </cfRule>
  </conditionalFormatting>
  <conditionalFormatting sqref="AO23:AQ23 AO20:AQ21">
    <cfRule type="cellIs" dxfId="7311" priority="1416" operator="greaterThan">
      <formula>0.03</formula>
    </cfRule>
    <cfRule type="cellIs" dxfId="7310" priority="1417" stopIfTrue="1" operator="lessThan">
      <formula>-0.03</formula>
    </cfRule>
  </conditionalFormatting>
  <conditionalFormatting sqref="AU22:AV22">
    <cfRule type="cellIs" dxfId="7309" priority="1414" operator="greaterThan">
      <formula>0.03</formula>
    </cfRule>
    <cfRule type="cellIs" dxfId="7308" priority="1415" stopIfTrue="1" operator="lessThan">
      <formula>-0.03</formula>
    </cfRule>
  </conditionalFormatting>
  <conditionalFormatting sqref="AO22:AQ22">
    <cfRule type="cellIs" dxfId="7307" priority="1412" operator="greaterThan">
      <formula>0.03</formula>
    </cfRule>
    <cfRule type="cellIs" dxfId="7306" priority="1413" stopIfTrue="1" operator="lessThan">
      <formula>-0.03</formula>
    </cfRule>
  </conditionalFormatting>
  <conditionalFormatting sqref="AI22:AK22 AI18:AK20">
    <cfRule type="cellIs" dxfId="7305" priority="1410" operator="greaterThan">
      <formula>0.03</formula>
    </cfRule>
    <cfRule type="cellIs" dxfId="7304" priority="1411" stopIfTrue="1" operator="lessThan">
      <formula>-0.03</formula>
    </cfRule>
  </conditionalFormatting>
  <conditionalFormatting sqref="AI21:AK21">
    <cfRule type="cellIs" dxfId="7303" priority="1408" operator="greaterThan">
      <formula>0.03</formula>
    </cfRule>
    <cfRule type="cellIs" dxfId="7302" priority="1409" stopIfTrue="1" operator="lessThan">
      <formula>-0.03</formula>
    </cfRule>
  </conditionalFormatting>
  <conditionalFormatting sqref="AU18:AW18">
    <cfRule type="cellIs" dxfId="7301" priority="1406" operator="greaterThan">
      <formula>0.03</formula>
    </cfRule>
    <cfRule type="cellIs" dxfId="7300" priority="1407" stopIfTrue="1" operator="lessThan">
      <formula>-0.03</formula>
    </cfRule>
  </conditionalFormatting>
  <conditionalFormatting sqref="AO28:AQ28 AO25:AQ26">
    <cfRule type="cellIs" dxfId="7299" priority="1404" operator="greaterThan">
      <formula>0.03</formula>
    </cfRule>
    <cfRule type="cellIs" dxfId="7298" priority="1405" stopIfTrue="1" operator="lessThan">
      <formula>-0.03</formula>
    </cfRule>
  </conditionalFormatting>
  <conditionalFormatting sqref="AU27:AV27">
    <cfRule type="cellIs" dxfId="7297" priority="1402" operator="greaterThan">
      <formula>0.03</formula>
    </cfRule>
    <cfRule type="cellIs" dxfId="7296" priority="1403" stopIfTrue="1" operator="lessThan">
      <formula>-0.03</formula>
    </cfRule>
  </conditionalFormatting>
  <conditionalFormatting sqref="AO27:AQ27">
    <cfRule type="cellIs" dxfId="7295" priority="1400" operator="greaterThan">
      <formula>0.03</formula>
    </cfRule>
    <cfRule type="cellIs" dxfId="7294" priority="1401" stopIfTrue="1" operator="lessThan">
      <formula>-0.03</formula>
    </cfRule>
  </conditionalFormatting>
  <conditionalFormatting sqref="AI27:AK27 AI23:AK25">
    <cfRule type="cellIs" dxfId="7293" priority="1398" operator="greaterThan">
      <formula>0.03</formula>
    </cfRule>
    <cfRule type="cellIs" dxfId="7292" priority="1399" stopIfTrue="1" operator="lessThan">
      <formula>-0.03</formula>
    </cfRule>
  </conditionalFormatting>
  <conditionalFormatting sqref="AI26:AK26">
    <cfRule type="cellIs" dxfId="7291" priority="1396" operator="greaterThan">
      <formula>0.03</formula>
    </cfRule>
    <cfRule type="cellIs" dxfId="7290" priority="1397" stopIfTrue="1" operator="lessThan">
      <formula>-0.03</formula>
    </cfRule>
  </conditionalFormatting>
  <conditionalFormatting sqref="AU23:AW23">
    <cfRule type="cellIs" dxfId="7289" priority="1394" operator="greaterThan">
      <formula>0.03</formula>
    </cfRule>
    <cfRule type="cellIs" dxfId="7288" priority="1395" stopIfTrue="1" operator="lessThan">
      <formula>-0.03</formula>
    </cfRule>
  </conditionalFormatting>
  <conditionalFormatting sqref="AO33:AQ33 AO30:AQ31">
    <cfRule type="cellIs" dxfId="7287" priority="1392" operator="greaterThan">
      <formula>0.03</formula>
    </cfRule>
    <cfRule type="cellIs" dxfId="7286" priority="1393" stopIfTrue="1" operator="lessThan">
      <formula>-0.03</formula>
    </cfRule>
  </conditionalFormatting>
  <conditionalFormatting sqref="AU32:AV32">
    <cfRule type="cellIs" dxfId="7285" priority="1390" operator="greaterThan">
      <formula>0.03</formula>
    </cfRule>
    <cfRule type="cellIs" dxfId="7284" priority="1391" stopIfTrue="1" operator="lessThan">
      <formula>-0.03</formula>
    </cfRule>
  </conditionalFormatting>
  <conditionalFormatting sqref="AO32:AQ32">
    <cfRule type="cellIs" dxfId="7283" priority="1388" operator="greaterThan">
      <formula>0.03</formula>
    </cfRule>
    <cfRule type="cellIs" dxfId="7282" priority="1389" stopIfTrue="1" operator="lessThan">
      <formula>-0.03</formula>
    </cfRule>
  </conditionalFormatting>
  <conditionalFormatting sqref="AI32:AK32 AI28:AK30">
    <cfRule type="cellIs" dxfId="7281" priority="1386" operator="greaterThan">
      <formula>0.03</formula>
    </cfRule>
    <cfRule type="cellIs" dxfId="7280" priority="1387" stopIfTrue="1" operator="lessThan">
      <formula>-0.03</formula>
    </cfRule>
  </conditionalFormatting>
  <conditionalFormatting sqref="AI31:AK31">
    <cfRule type="cellIs" dxfId="7279" priority="1384" operator="greaterThan">
      <formula>0.03</formula>
    </cfRule>
    <cfRule type="cellIs" dxfId="7278" priority="1385" stopIfTrue="1" operator="lessThan">
      <formula>-0.03</formula>
    </cfRule>
  </conditionalFormatting>
  <conditionalFormatting sqref="AU28:AW28">
    <cfRule type="cellIs" dxfId="7277" priority="1382" operator="greaterThan">
      <formula>0.03</formula>
    </cfRule>
    <cfRule type="cellIs" dxfId="7276" priority="1383" stopIfTrue="1" operator="lessThan">
      <formula>-0.03</formula>
    </cfRule>
  </conditionalFormatting>
  <conditionalFormatting sqref="AO38:AQ38 AO35:AQ36">
    <cfRule type="cellIs" dxfId="7275" priority="1380" operator="greaterThan">
      <formula>0.03</formula>
    </cfRule>
    <cfRule type="cellIs" dxfId="7274" priority="1381" stopIfTrue="1" operator="lessThan">
      <formula>-0.03</formula>
    </cfRule>
  </conditionalFormatting>
  <conditionalFormatting sqref="AU37:AV37">
    <cfRule type="cellIs" dxfId="7273" priority="1378" operator="greaterThan">
      <formula>0.03</formula>
    </cfRule>
    <cfRule type="cellIs" dxfId="7272" priority="1379" stopIfTrue="1" operator="lessThan">
      <formula>-0.03</formula>
    </cfRule>
  </conditionalFormatting>
  <conditionalFormatting sqref="AO37:AQ37">
    <cfRule type="cellIs" dxfId="7271" priority="1376" operator="greaterThan">
      <formula>0.03</formula>
    </cfRule>
    <cfRule type="cellIs" dxfId="7270" priority="1377" stopIfTrue="1" operator="lessThan">
      <formula>-0.03</formula>
    </cfRule>
  </conditionalFormatting>
  <conditionalFormatting sqref="AI37:AK37 AI33:AK35">
    <cfRule type="cellIs" dxfId="7269" priority="1374" operator="greaterThan">
      <formula>0.03</formula>
    </cfRule>
    <cfRule type="cellIs" dxfId="7268" priority="1375" stopIfTrue="1" operator="lessThan">
      <formula>-0.03</formula>
    </cfRule>
  </conditionalFormatting>
  <conditionalFormatting sqref="AI36:AK36">
    <cfRule type="cellIs" dxfId="7267" priority="1372" operator="greaterThan">
      <formula>0.03</formula>
    </cfRule>
    <cfRule type="cellIs" dxfId="7266" priority="1373" stopIfTrue="1" operator="lessThan">
      <formula>-0.03</formula>
    </cfRule>
  </conditionalFormatting>
  <conditionalFormatting sqref="AU33:AW33">
    <cfRule type="cellIs" dxfId="7265" priority="1370" operator="greaterThan">
      <formula>0.03</formula>
    </cfRule>
    <cfRule type="cellIs" dxfId="7264" priority="1371" stopIfTrue="1" operator="lessThan">
      <formula>-0.03</formula>
    </cfRule>
  </conditionalFormatting>
  <conditionalFormatting sqref="AO43:AQ43 AO40:AQ41">
    <cfRule type="cellIs" dxfId="7263" priority="1368" operator="greaterThan">
      <formula>0.03</formula>
    </cfRule>
    <cfRule type="cellIs" dxfId="7262" priority="1369" stopIfTrue="1" operator="lessThan">
      <formula>-0.03</formula>
    </cfRule>
  </conditionalFormatting>
  <conditionalFormatting sqref="AU42:AV42">
    <cfRule type="cellIs" dxfId="7261" priority="1366" operator="greaterThan">
      <formula>0.03</formula>
    </cfRule>
    <cfRule type="cellIs" dxfId="7260" priority="1367" stopIfTrue="1" operator="lessThan">
      <formula>-0.03</formula>
    </cfRule>
  </conditionalFormatting>
  <conditionalFormatting sqref="AO42:AQ42">
    <cfRule type="cellIs" dxfId="7259" priority="1364" operator="greaterThan">
      <formula>0.03</formula>
    </cfRule>
    <cfRule type="cellIs" dxfId="7258" priority="1365" stopIfTrue="1" operator="lessThan">
      <formula>-0.03</formula>
    </cfRule>
  </conditionalFormatting>
  <conditionalFormatting sqref="AI42:AK42 AI38:AK40">
    <cfRule type="cellIs" dxfId="7257" priority="1362" operator="greaterThan">
      <formula>0.03</formula>
    </cfRule>
    <cfRule type="cellIs" dxfId="7256" priority="1363" stopIfTrue="1" operator="lessThan">
      <formula>-0.03</formula>
    </cfRule>
  </conditionalFormatting>
  <conditionalFormatting sqref="AI41:AK41">
    <cfRule type="cellIs" dxfId="7255" priority="1360" operator="greaterThan">
      <formula>0.03</formula>
    </cfRule>
    <cfRule type="cellIs" dxfId="7254" priority="1361" stopIfTrue="1" operator="lessThan">
      <formula>-0.03</formula>
    </cfRule>
  </conditionalFormatting>
  <conditionalFormatting sqref="AU38:AW38">
    <cfRule type="cellIs" dxfId="7253" priority="1358" operator="greaterThan">
      <formula>0.03</formula>
    </cfRule>
    <cfRule type="cellIs" dxfId="7252" priority="1359" stopIfTrue="1" operator="lessThan">
      <formula>-0.03</formula>
    </cfRule>
  </conditionalFormatting>
  <conditionalFormatting sqref="AO48:AQ48 AO45:AQ46">
    <cfRule type="cellIs" dxfId="7251" priority="1356" operator="greaterThan">
      <formula>0.03</formula>
    </cfRule>
    <cfRule type="cellIs" dxfId="7250" priority="1357" stopIfTrue="1" operator="lessThan">
      <formula>-0.03</formula>
    </cfRule>
  </conditionalFormatting>
  <conditionalFormatting sqref="AU47:AV47">
    <cfRule type="cellIs" dxfId="7249" priority="1354" operator="greaterThan">
      <formula>0.03</formula>
    </cfRule>
    <cfRule type="cellIs" dxfId="7248" priority="1355" stopIfTrue="1" operator="lessThan">
      <formula>-0.03</formula>
    </cfRule>
  </conditionalFormatting>
  <conditionalFormatting sqref="AO47:AQ47">
    <cfRule type="cellIs" dxfId="7247" priority="1352" operator="greaterThan">
      <formula>0.03</formula>
    </cfRule>
    <cfRule type="cellIs" dxfId="7246" priority="1353" stopIfTrue="1" operator="lessThan">
      <formula>-0.03</formula>
    </cfRule>
  </conditionalFormatting>
  <conditionalFormatting sqref="AI47:AK47 AI43:AK45">
    <cfRule type="cellIs" dxfId="7245" priority="1350" operator="greaterThan">
      <formula>0.03</formula>
    </cfRule>
    <cfRule type="cellIs" dxfId="7244" priority="1351" stopIfTrue="1" operator="lessThan">
      <formula>-0.03</formula>
    </cfRule>
  </conditionalFormatting>
  <conditionalFormatting sqref="AI46:AK46">
    <cfRule type="cellIs" dxfId="7243" priority="1348" operator="greaterThan">
      <formula>0.03</formula>
    </cfRule>
    <cfRule type="cellIs" dxfId="7242" priority="1349" stopIfTrue="1" operator="lessThan">
      <formula>-0.03</formula>
    </cfRule>
  </conditionalFormatting>
  <conditionalFormatting sqref="AU43:AW43">
    <cfRule type="cellIs" dxfId="7241" priority="1346" operator="greaterThan">
      <formula>0.03</formula>
    </cfRule>
    <cfRule type="cellIs" dxfId="7240" priority="1347" stopIfTrue="1" operator="lessThan">
      <formula>-0.03</formula>
    </cfRule>
  </conditionalFormatting>
  <conditionalFormatting sqref="AO53:AQ53 AO50:AQ51">
    <cfRule type="cellIs" dxfId="7239" priority="1344" operator="greaterThan">
      <formula>0.03</formula>
    </cfRule>
    <cfRule type="cellIs" dxfId="7238" priority="1345" stopIfTrue="1" operator="lessThan">
      <formula>-0.03</formula>
    </cfRule>
  </conditionalFormatting>
  <conditionalFormatting sqref="AU52:AV52">
    <cfRule type="cellIs" dxfId="7237" priority="1342" operator="greaterThan">
      <formula>0.03</formula>
    </cfRule>
    <cfRule type="cellIs" dxfId="7236" priority="1343" stopIfTrue="1" operator="lessThan">
      <formula>-0.03</formula>
    </cfRule>
  </conditionalFormatting>
  <conditionalFormatting sqref="AO52:AQ52">
    <cfRule type="cellIs" dxfId="7235" priority="1340" operator="greaterThan">
      <formula>0.03</formula>
    </cfRule>
    <cfRule type="cellIs" dxfId="7234" priority="1341" stopIfTrue="1" operator="lessThan">
      <formula>-0.03</formula>
    </cfRule>
  </conditionalFormatting>
  <conditionalFormatting sqref="AI52:AK52 AI48:AK50">
    <cfRule type="cellIs" dxfId="7233" priority="1338" operator="greaterThan">
      <formula>0.03</formula>
    </cfRule>
    <cfRule type="cellIs" dxfId="7232" priority="1339" stopIfTrue="1" operator="lessThan">
      <formula>-0.03</formula>
    </cfRule>
  </conditionalFormatting>
  <conditionalFormatting sqref="AI51:AK51">
    <cfRule type="cellIs" dxfId="7231" priority="1336" operator="greaterThan">
      <formula>0.03</formula>
    </cfRule>
    <cfRule type="cellIs" dxfId="7230" priority="1337" stopIfTrue="1" operator="lessThan">
      <formula>-0.03</formula>
    </cfRule>
  </conditionalFormatting>
  <conditionalFormatting sqref="AU48:AW48">
    <cfRule type="cellIs" dxfId="7229" priority="1334" operator="greaterThan">
      <formula>0.03</formula>
    </cfRule>
    <cfRule type="cellIs" dxfId="7228" priority="1335" stopIfTrue="1" operator="lessThan">
      <formula>-0.03</formula>
    </cfRule>
  </conditionalFormatting>
  <conditionalFormatting sqref="AO58:AQ58 AO55:AQ56">
    <cfRule type="cellIs" dxfId="7227" priority="1332" operator="greaterThan">
      <formula>0.03</formula>
    </cfRule>
    <cfRule type="cellIs" dxfId="7226" priority="1333" stopIfTrue="1" operator="lessThan">
      <formula>-0.03</formula>
    </cfRule>
  </conditionalFormatting>
  <conditionalFormatting sqref="AU57:AV57">
    <cfRule type="cellIs" dxfId="7225" priority="1330" operator="greaterThan">
      <formula>0.03</formula>
    </cfRule>
    <cfRule type="cellIs" dxfId="7224" priority="1331" stopIfTrue="1" operator="lessThan">
      <formula>-0.03</formula>
    </cfRule>
  </conditionalFormatting>
  <conditionalFormatting sqref="AO57:AQ57">
    <cfRule type="cellIs" dxfId="7223" priority="1328" operator="greaterThan">
      <formula>0.03</formula>
    </cfRule>
    <cfRule type="cellIs" dxfId="7222" priority="1329" stopIfTrue="1" operator="lessThan">
      <formula>-0.03</formula>
    </cfRule>
  </conditionalFormatting>
  <conditionalFormatting sqref="AI57:AK57 AI53:AK55">
    <cfRule type="cellIs" dxfId="7221" priority="1326" operator="greaterThan">
      <formula>0.03</formula>
    </cfRule>
    <cfRule type="cellIs" dxfId="7220" priority="1327" stopIfTrue="1" operator="lessThan">
      <formula>-0.03</formula>
    </cfRule>
  </conditionalFormatting>
  <conditionalFormatting sqref="AI56:AK56">
    <cfRule type="cellIs" dxfId="7219" priority="1324" operator="greaterThan">
      <formula>0.03</formula>
    </cfRule>
    <cfRule type="cellIs" dxfId="7218" priority="1325" stopIfTrue="1" operator="lessThan">
      <formula>-0.03</formula>
    </cfRule>
  </conditionalFormatting>
  <conditionalFormatting sqref="AU53:AW53">
    <cfRule type="cellIs" dxfId="7217" priority="1322" operator="greaterThan">
      <formula>0.03</formula>
    </cfRule>
    <cfRule type="cellIs" dxfId="7216" priority="1323" stopIfTrue="1" operator="lessThan">
      <formula>-0.03</formula>
    </cfRule>
  </conditionalFormatting>
  <conditionalFormatting sqref="AO63:AQ63 AO60:AQ61">
    <cfRule type="cellIs" dxfId="7215" priority="1320" operator="greaterThan">
      <formula>0.03</formula>
    </cfRule>
    <cfRule type="cellIs" dxfId="7214" priority="1321" stopIfTrue="1" operator="lessThan">
      <formula>-0.03</formula>
    </cfRule>
  </conditionalFormatting>
  <conditionalFormatting sqref="AU62:AV62">
    <cfRule type="cellIs" dxfId="7213" priority="1318" operator="greaterThan">
      <formula>0.03</formula>
    </cfRule>
    <cfRule type="cellIs" dxfId="7212" priority="1319" stopIfTrue="1" operator="lessThan">
      <formula>-0.03</formula>
    </cfRule>
  </conditionalFormatting>
  <conditionalFormatting sqref="AO62:AQ62">
    <cfRule type="cellIs" dxfId="7211" priority="1316" operator="greaterThan">
      <formula>0.03</formula>
    </cfRule>
    <cfRule type="cellIs" dxfId="7210" priority="1317" stopIfTrue="1" operator="lessThan">
      <formula>-0.03</formula>
    </cfRule>
  </conditionalFormatting>
  <conditionalFormatting sqref="AI62:AK62 AI58:AK60">
    <cfRule type="cellIs" dxfId="7209" priority="1314" operator="greaterThan">
      <formula>0.03</formula>
    </cfRule>
    <cfRule type="cellIs" dxfId="7208" priority="1315" stopIfTrue="1" operator="lessThan">
      <formula>-0.03</formula>
    </cfRule>
  </conditionalFormatting>
  <conditionalFormatting sqref="AI61:AK61">
    <cfRule type="cellIs" dxfId="7207" priority="1312" operator="greaterThan">
      <formula>0.03</formula>
    </cfRule>
    <cfRule type="cellIs" dxfId="7206" priority="1313" stopIfTrue="1" operator="lessThan">
      <formula>-0.03</formula>
    </cfRule>
  </conditionalFormatting>
  <conditionalFormatting sqref="AU58:AW58">
    <cfRule type="cellIs" dxfId="7205" priority="1310" operator="greaterThan">
      <formula>0.03</formula>
    </cfRule>
    <cfRule type="cellIs" dxfId="7204" priority="1311" stopIfTrue="1" operator="lessThan">
      <formula>-0.03</formula>
    </cfRule>
  </conditionalFormatting>
  <conditionalFormatting sqref="AO68:AQ68 AO65:AQ66">
    <cfRule type="cellIs" dxfId="7203" priority="1308" operator="greaterThan">
      <formula>0.03</formula>
    </cfRule>
    <cfRule type="cellIs" dxfId="7202" priority="1309" stopIfTrue="1" operator="lessThan">
      <formula>-0.03</formula>
    </cfRule>
  </conditionalFormatting>
  <conditionalFormatting sqref="AU67:AV67">
    <cfRule type="cellIs" dxfId="7201" priority="1306" operator="greaterThan">
      <formula>0.03</formula>
    </cfRule>
    <cfRule type="cellIs" dxfId="7200" priority="1307" stopIfTrue="1" operator="lessThan">
      <formula>-0.03</formula>
    </cfRule>
  </conditionalFormatting>
  <conditionalFormatting sqref="AO67:AQ67">
    <cfRule type="cellIs" dxfId="7199" priority="1304" operator="greaterThan">
      <formula>0.03</formula>
    </cfRule>
    <cfRule type="cellIs" dxfId="7198" priority="1305" stopIfTrue="1" operator="lessThan">
      <formula>-0.03</formula>
    </cfRule>
  </conditionalFormatting>
  <conditionalFormatting sqref="AI67:AK67 AI63:AK65">
    <cfRule type="cellIs" dxfId="7197" priority="1302" operator="greaterThan">
      <formula>0.03</formula>
    </cfRule>
    <cfRule type="cellIs" dxfId="7196" priority="1303" stopIfTrue="1" operator="lessThan">
      <formula>-0.03</formula>
    </cfRule>
  </conditionalFormatting>
  <conditionalFormatting sqref="AI66:AK66">
    <cfRule type="cellIs" dxfId="7195" priority="1300" operator="greaterThan">
      <formula>0.03</formula>
    </cfRule>
    <cfRule type="cellIs" dxfId="7194" priority="1301" stopIfTrue="1" operator="lessThan">
      <formula>-0.03</formula>
    </cfRule>
  </conditionalFormatting>
  <conditionalFormatting sqref="AU63:AW63">
    <cfRule type="cellIs" dxfId="7193" priority="1298" operator="greaterThan">
      <formula>0.03</formula>
    </cfRule>
    <cfRule type="cellIs" dxfId="7192" priority="1299" stopIfTrue="1" operator="lessThan">
      <formula>-0.03</formula>
    </cfRule>
  </conditionalFormatting>
  <conditionalFormatting sqref="AO73:AQ73 AO70:AQ71">
    <cfRule type="cellIs" dxfId="7191" priority="1296" operator="greaterThan">
      <formula>0.03</formula>
    </cfRule>
    <cfRule type="cellIs" dxfId="7190" priority="1297" stopIfTrue="1" operator="lessThan">
      <formula>-0.03</formula>
    </cfRule>
  </conditionalFormatting>
  <conditionalFormatting sqref="AU72:AV72">
    <cfRule type="cellIs" dxfId="7189" priority="1294" operator="greaterThan">
      <formula>0.03</formula>
    </cfRule>
    <cfRule type="cellIs" dxfId="7188" priority="1295" stopIfTrue="1" operator="lessThan">
      <formula>-0.03</formula>
    </cfRule>
  </conditionalFormatting>
  <conditionalFormatting sqref="AO72:AQ72">
    <cfRule type="cellIs" dxfId="7187" priority="1292" operator="greaterThan">
      <formula>0.03</formula>
    </cfRule>
    <cfRule type="cellIs" dxfId="7186" priority="1293" stopIfTrue="1" operator="lessThan">
      <formula>-0.03</formula>
    </cfRule>
  </conditionalFormatting>
  <conditionalFormatting sqref="AI72:AK72 AI68:AK70">
    <cfRule type="cellIs" dxfId="7185" priority="1290" operator="greaterThan">
      <formula>0.03</formula>
    </cfRule>
    <cfRule type="cellIs" dxfId="7184" priority="1291" stopIfTrue="1" operator="lessThan">
      <formula>-0.03</formula>
    </cfRule>
  </conditionalFormatting>
  <conditionalFormatting sqref="AI71:AK71">
    <cfRule type="cellIs" dxfId="7183" priority="1288" operator="greaterThan">
      <formula>0.03</formula>
    </cfRule>
    <cfRule type="cellIs" dxfId="7182" priority="1289" stopIfTrue="1" operator="lessThan">
      <formula>-0.03</formula>
    </cfRule>
  </conditionalFormatting>
  <conditionalFormatting sqref="AU68:AW68">
    <cfRule type="cellIs" dxfId="7181" priority="1286" operator="greaterThan">
      <formula>0.03</formula>
    </cfRule>
    <cfRule type="cellIs" dxfId="7180" priority="1287" stopIfTrue="1" operator="lessThan">
      <formula>-0.03</formula>
    </cfRule>
  </conditionalFormatting>
  <conditionalFormatting sqref="AO78:AQ78 AO75:AQ76">
    <cfRule type="cellIs" dxfId="7179" priority="1284" operator="greaterThan">
      <formula>0.03</formula>
    </cfRule>
    <cfRule type="cellIs" dxfId="7178" priority="1285" stopIfTrue="1" operator="lessThan">
      <formula>-0.03</formula>
    </cfRule>
  </conditionalFormatting>
  <conditionalFormatting sqref="AU77:AV77">
    <cfRule type="cellIs" dxfId="7177" priority="1282" operator="greaterThan">
      <formula>0.03</formula>
    </cfRule>
    <cfRule type="cellIs" dxfId="7176" priority="1283" stopIfTrue="1" operator="lessThan">
      <formula>-0.03</formula>
    </cfRule>
  </conditionalFormatting>
  <conditionalFormatting sqref="AO77:AQ77">
    <cfRule type="cellIs" dxfId="7175" priority="1280" operator="greaterThan">
      <formula>0.03</formula>
    </cfRule>
    <cfRule type="cellIs" dxfId="7174" priority="1281" stopIfTrue="1" operator="lessThan">
      <formula>-0.03</formula>
    </cfRule>
  </conditionalFormatting>
  <conditionalFormatting sqref="AI77:AK77 AI73:AK75">
    <cfRule type="cellIs" dxfId="7173" priority="1278" operator="greaterThan">
      <formula>0.03</formula>
    </cfRule>
    <cfRule type="cellIs" dxfId="7172" priority="1279" stopIfTrue="1" operator="lessThan">
      <formula>-0.03</formula>
    </cfRule>
  </conditionalFormatting>
  <conditionalFormatting sqref="AI76:AK76">
    <cfRule type="cellIs" dxfId="7171" priority="1276" operator="greaterThan">
      <formula>0.03</formula>
    </cfRule>
    <cfRule type="cellIs" dxfId="7170" priority="1277" stopIfTrue="1" operator="lessThan">
      <formula>-0.03</formula>
    </cfRule>
  </conditionalFormatting>
  <conditionalFormatting sqref="AU73:AW73">
    <cfRule type="cellIs" dxfId="7169" priority="1274" operator="greaterThan">
      <formula>0.03</formula>
    </cfRule>
    <cfRule type="cellIs" dxfId="7168" priority="1275" stopIfTrue="1" operator="lessThan">
      <formula>-0.03</formula>
    </cfRule>
  </conditionalFormatting>
  <conditionalFormatting sqref="AO83:AQ83 AO80:AQ81">
    <cfRule type="cellIs" dxfId="7167" priority="1272" operator="greaterThan">
      <formula>0.03</formula>
    </cfRule>
    <cfRule type="cellIs" dxfId="7166" priority="1273" stopIfTrue="1" operator="lessThan">
      <formula>-0.03</formula>
    </cfRule>
  </conditionalFormatting>
  <conditionalFormatting sqref="AU82:AV82">
    <cfRule type="cellIs" dxfId="7165" priority="1270" operator="greaterThan">
      <formula>0.03</formula>
    </cfRule>
    <cfRule type="cellIs" dxfId="7164" priority="1271" stopIfTrue="1" operator="lessThan">
      <formula>-0.03</formula>
    </cfRule>
  </conditionalFormatting>
  <conditionalFormatting sqref="AO82:AQ82">
    <cfRule type="cellIs" dxfId="7163" priority="1268" operator="greaterThan">
      <formula>0.03</formula>
    </cfRule>
    <cfRule type="cellIs" dxfId="7162" priority="1269" stopIfTrue="1" operator="lessThan">
      <formula>-0.03</formula>
    </cfRule>
  </conditionalFormatting>
  <conditionalFormatting sqref="AI82:AK82 AI78:AK80">
    <cfRule type="cellIs" dxfId="7161" priority="1266" operator="greaterThan">
      <formula>0.03</formula>
    </cfRule>
    <cfRule type="cellIs" dxfId="7160" priority="1267" stopIfTrue="1" operator="lessThan">
      <formula>-0.03</formula>
    </cfRule>
  </conditionalFormatting>
  <conditionalFormatting sqref="AI81:AK81">
    <cfRule type="cellIs" dxfId="7159" priority="1264" operator="greaterThan">
      <formula>0.03</formula>
    </cfRule>
    <cfRule type="cellIs" dxfId="7158" priority="1265" stopIfTrue="1" operator="lessThan">
      <formula>-0.03</formula>
    </cfRule>
  </conditionalFormatting>
  <conditionalFormatting sqref="AU78:AW78">
    <cfRule type="cellIs" dxfId="7157" priority="1262" operator="greaterThan">
      <formula>0.03</formula>
    </cfRule>
    <cfRule type="cellIs" dxfId="7156" priority="1263" stopIfTrue="1" operator="lessThan">
      <formula>-0.03</formula>
    </cfRule>
  </conditionalFormatting>
  <conditionalFormatting sqref="AO88:AQ88 AO85:AQ86">
    <cfRule type="cellIs" dxfId="7155" priority="1260" operator="greaterThan">
      <formula>0.03</formula>
    </cfRule>
    <cfRule type="cellIs" dxfId="7154" priority="1261" stopIfTrue="1" operator="lessThan">
      <formula>-0.03</formula>
    </cfRule>
  </conditionalFormatting>
  <conditionalFormatting sqref="AU87:AV87">
    <cfRule type="cellIs" dxfId="7153" priority="1258" operator="greaterThan">
      <formula>0.03</formula>
    </cfRule>
    <cfRule type="cellIs" dxfId="7152" priority="1259" stopIfTrue="1" operator="lessThan">
      <formula>-0.03</formula>
    </cfRule>
  </conditionalFormatting>
  <conditionalFormatting sqref="AO87:AQ87">
    <cfRule type="cellIs" dxfId="7151" priority="1256" operator="greaterThan">
      <formula>0.03</formula>
    </cfRule>
    <cfRule type="cellIs" dxfId="7150" priority="1257" stopIfTrue="1" operator="lessThan">
      <formula>-0.03</formula>
    </cfRule>
  </conditionalFormatting>
  <conditionalFormatting sqref="AI87:AK87 AI83:AK85">
    <cfRule type="cellIs" dxfId="7149" priority="1254" operator="greaterThan">
      <formula>0.03</formula>
    </cfRule>
    <cfRule type="cellIs" dxfId="7148" priority="1255" stopIfTrue="1" operator="lessThan">
      <formula>-0.03</formula>
    </cfRule>
  </conditionalFormatting>
  <conditionalFormatting sqref="AI86:AK86">
    <cfRule type="cellIs" dxfId="7147" priority="1252" operator="greaterThan">
      <formula>0.03</formula>
    </cfRule>
    <cfRule type="cellIs" dxfId="7146" priority="1253" stopIfTrue="1" operator="lessThan">
      <formula>-0.03</formula>
    </cfRule>
  </conditionalFormatting>
  <conditionalFormatting sqref="AU83:AW83">
    <cfRule type="cellIs" dxfId="7145" priority="1250" operator="greaterThan">
      <formula>0.03</formula>
    </cfRule>
    <cfRule type="cellIs" dxfId="7144" priority="1251" stopIfTrue="1" operator="lessThan">
      <formula>-0.03</formula>
    </cfRule>
  </conditionalFormatting>
  <conditionalFormatting sqref="AO93:AQ93 AO90:AQ91">
    <cfRule type="cellIs" dxfId="7143" priority="1248" operator="greaterThan">
      <formula>0.03</formula>
    </cfRule>
    <cfRule type="cellIs" dxfId="7142" priority="1249" stopIfTrue="1" operator="lessThan">
      <formula>-0.03</formula>
    </cfRule>
  </conditionalFormatting>
  <conditionalFormatting sqref="AU92:AV92">
    <cfRule type="cellIs" dxfId="7141" priority="1246" operator="greaterThan">
      <formula>0.03</formula>
    </cfRule>
    <cfRule type="cellIs" dxfId="7140" priority="1247" stopIfTrue="1" operator="lessThan">
      <formula>-0.03</formula>
    </cfRule>
  </conditionalFormatting>
  <conditionalFormatting sqref="AO92:AQ92">
    <cfRule type="cellIs" dxfId="7139" priority="1244" operator="greaterThan">
      <formula>0.03</formula>
    </cfRule>
    <cfRule type="cellIs" dxfId="7138" priority="1245" stopIfTrue="1" operator="lessThan">
      <formula>-0.03</formula>
    </cfRule>
  </conditionalFormatting>
  <conditionalFormatting sqref="AI92:AK92 AI88:AK90">
    <cfRule type="cellIs" dxfId="7137" priority="1242" operator="greaterThan">
      <formula>0.03</formula>
    </cfRule>
    <cfRule type="cellIs" dxfId="7136" priority="1243" stopIfTrue="1" operator="lessThan">
      <formula>-0.03</formula>
    </cfRule>
  </conditionalFormatting>
  <conditionalFormatting sqref="AI91:AK91">
    <cfRule type="cellIs" dxfId="7135" priority="1240" operator="greaterThan">
      <formula>0.03</formula>
    </cfRule>
    <cfRule type="cellIs" dxfId="7134" priority="1241" stopIfTrue="1" operator="lessThan">
      <formula>-0.03</formula>
    </cfRule>
  </conditionalFormatting>
  <conditionalFormatting sqref="AU88:AW88">
    <cfRule type="cellIs" dxfId="7133" priority="1238" operator="greaterThan">
      <formula>0.03</formula>
    </cfRule>
    <cfRule type="cellIs" dxfId="7132" priority="1239" stopIfTrue="1" operator="lessThan">
      <formula>-0.03</formula>
    </cfRule>
  </conditionalFormatting>
  <conditionalFormatting sqref="AO98:AQ98 AO95:AQ96">
    <cfRule type="cellIs" dxfId="7131" priority="1236" operator="greaterThan">
      <formula>0.03</formula>
    </cfRule>
    <cfRule type="cellIs" dxfId="7130" priority="1237" stopIfTrue="1" operator="lessThan">
      <formula>-0.03</formula>
    </cfRule>
  </conditionalFormatting>
  <conditionalFormatting sqref="AU97:AV97">
    <cfRule type="cellIs" dxfId="7129" priority="1234" operator="greaterThan">
      <formula>0.03</formula>
    </cfRule>
    <cfRule type="cellIs" dxfId="7128" priority="1235" stopIfTrue="1" operator="lessThan">
      <formula>-0.03</formula>
    </cfRule>
  </conditionalFormatting>
  <conditionalFormatting sqref="AO97:AQ97">
    <cfRule type="cellIs" dxfId="7127" priority="1232" operator="greaterThan">
      <formula>0.03</formula>
    </cfRule>
    <cfRule type="cellIs" dxfId="7126" priority="1233" stopIfTrue="1" operator="lessThan">
      <formula>-0.03</formula>
    </cfRule>
  </conditionalFormatting>
  <conditionalFormatting sqref="AI97:AK97 AI93:AK95">
    <cfRule type="cellIs" dxfId="7125" priority="1230" operator="greaterThan">
      <formula>0.03</formula>
    </cfRule>
    <cfRule type="cellIs" dxfId="7124" priority="1231" stopIfTrue="1" operator="lessThan">
      <formula>-0.03</formula>
    </cfRule>
  </conditionalFormatting>
  <conditionalFormatting sqref="AI96:AK96">
    <cfRule type="cellIs" dxfId="7123" priority="1228" operator="greaterThan">
      <formula>0.03</formula>
    </cfRule>
    <cfRule type="cellIs" dxfId="7122" priority="1229" stopIfTrue="1" operator="lessThan">
      <formula>-0.03</formula>
    </cfRule>
  </conditionalFormatting>
  <conditionalFormatting sqref="AU93:AW93">
    <cfRule type="cellIs" dxfId="7121" priority="1226" operator="greaterThan">
      <formula>0.03</formula>
    </cfRule>
    <cfRule type="cellIs" dxfId="7120" priority="1227" stopIfTrue="1" operator="lessThan">
      <formula>-0.03</formula>
    </cfRule>
  </conditionalFormatting>
  <conditionalFormatting sqref="AO103:AQ103 AO100:AQ101">
    <cfRule type="cellIs" dxfId="7119" priority="1224" operator="greaterThan">
      <formula>0.03</formula>
    </cfRule>
    <cfRule type="cellIs" dxfId="7118" priority="1225" stopIfTrue="1" operator="lessThan">
      <formula>-0.03</formula>
    </cfRule>
  </conditionalFormatting>
  <conditionalFormatting sqref="AU102:AV102">
    <cfRule type="cellIs" dxfId="7117" priority="1222" operator="greaterThan">
      <formula>0.03</formula>
    </cfRule>
    <cfRule type="cellIs" dxfId="7116" priority="1223" stopIfTrue="1" operator="lessThan">
      <formula>-0.03</formula>
    </cfRule>
  </conditionalFormatting>
  <conditionalFormatting sqref="AO102:AQ102">
    <cfRule type="cellIs" dxfId="7115" priority="1220" operator="greaterThan">
      <formula>0.03</formula>
    </cfRule>
    <cfRule type="cellIs" dxfId="7114" priority="1221" stopIfTrue="1" operator="lessThan">
      <formula>-0.03</formula>
    </cfRule>
  </conditionalFormatting>
  <conditionalFormatting sqref="AI102:AK102 AI98:AK100">
    <cfRule type="cellIs" dxfId="7113" priority="1218" operator="greaterThan">
      <formula>0.03</formula>
    </cfRule>
    <cfRule type="cellIs" dxfId="7112" priority="1219" stopIfTrue="1" operator="lessThan">
      <formula>-0.03</formula>
    </cfRule>
  </conditionalFormatting>
  <conditionalFormatting sqref="AI101:AK101">
    <cfRule type="cellIs" dxfId="7111" priority="1216" operator="greaterThan">
      <formula>0.03</formula>
    </cfRule>
    <cfRule type="cellIs" dxfId="7110" priority="1217" stopIfTrue="1" operator="lessThan">
      <formula>-0.03</formula>
    </cfRule>
  </conditionalFormatting>
  <conditionalFormatting sqref="AU98:AW98">
    <cfRule type="cellIs" dxfId="7109" priority="1214" operator="greaterThan">
      <formula>0.03</formula>
    </cfRule>
    <cfRule type="cellIs" dxfId="7108" priority="1215" stopIfTrue="1" operator="lessThan">
      <formula>-0.03</formula>
    </cfRule>
  </conditionalFormatting>
  <conditionalFormatting sqref="AO108:AQ108 AO105:AQ106">
    <cfRule type="cellIs" dxfId="7107" priority="1212" operator="greaterThan">
      <formula>0.03</formula>
    </cfRule>
    <cfRule type="cellIs" dxfId="7106" priority="1213" stopIfTrue="1" operator="lessThan">
      <formula>-0.03</formula>
    </cfRule>
  </conditionalFormatting>
  <conditionalFormatting sqref="AU107:AV107">
    <cfRule type="cellIs" dxfId="7105" priority="1210" operator="greaterThan">
      <formula>0.03</formula>
    </cfRule>
    <cfRule type="cellIs" dxfId="7104" priority="1211" stopIfTrue="1" operator="lessThan">
      <formula>-0.03</formula>
    </cfRule>
  </conditionalFormatting>
  <conditionalFormatting sqref="AO107:AQ107">
    <cfRule type="cellIs" dxfId="7103" priority="1208" operator="greaterThan">
      <formula>0.03</formula>
    </cfRule>
    <cfRule type="cellIs" dxfId="7102" priority="1209" stopIfTrue="1" operator="lessThan">
      <formula>-0.03</formula>
    </cfRule>
  </conditionalFormatting>
  <conditionalFormatting sqref="AI107:AK107 AI103:AK105">
    <cfRule type="cellIs" dxfId="7101" priority="1206" operator="greaterThan">
      <formula>0.03</formula>
    </cfRule>
    <cfRule type="cellIs" dxfId="7100" priority="1207" stopIfTrue="1" operator="lessThan">
      <formula>-0.03</formula>
    </cfRule>
  </conditionalFormatting>
  <conditionalFormatting sqref="AI106:AK106">
    <cfRule type="cellIs" dxfId="7099" priority="1204" operator="greaterThan">
      <formula>0.03</formula>
    </cfRule>
    <cfRule type="cellIs" dxfId="7098" priority="1205" stopIfTrue="1" operator="lessThan">
      <formula>-0.03</formula>
    </cfRule>
  </conditionalFormatting>
  <conditionalFormatting sqref="AU103:AW103">
    <cfRule type="cellIs" dxfId="7097" priority="1202" operator="greaterThan">
      <formula>0.03</formula>
    </cfRule>
    <cfRule type="cellIs" dxfId="7096" priority="1203" stopIfTrue="1" operator="lessThan">
      <formula>-0.03</formula>
    </cfRule>
  </conditionalFormatting>
  <conditionalFormatting sqref="AO113:AQ113 AO110:AQ111">
    <cfRule type="cellIs" dxfId="7095" priority="1200" operator="greaterThan">
      <formula>0.03</formula>
    </cfRule>
    <cfRule type="cellIs" dxfId="7094" priority="1201" stopIfTrue="1" operator="lessThan">
      <formula>-0.03</formula>
    </cfRule>
  </conditionalFormatting>
  <conditionalFormatting sqref="AU112:AV112">
    <cfRule type="cellIs" dxfId="7093" priority="1198" operator="greaterThan">
      <formula>0.03</formula>
    </cfRule>
    <cfRule type="cellIs" dxfId="7092" priority="1199" stopIfTrue="1" operator="lessThan">
      <formula>-0.03</formula>
    </cfRule>
  </conditionalFormatting>
  <conditionalFormatting sqref="AO112:AQ112">
    <cfRule type="cellIs" dxfId="7091" priority="1196" operator="greaterThan">
      <formula>0.03</formula>
    </cfRule>
    <cfRule type="cellIs" dxfId="7090" priority="1197" stopIfTrue="1" operator="lessThan">
      <formula>-0.03</formula>
    </cfRule>
  </conditionalFormatting>
  <conditionalFormatting sqref="AI112:AK112 AI108:AK110">
    <cfRule type="cellIs" dxfId="7089" priority="1194" operator="greaterThan">
      <formula>0.03</formula>
    </cfRule>
    <cfRule type="cellIs" dxfId="7088" priority="1195" stopIfTrue="1" operator="lessThan">
      <formula>-0.03</formula>
    </cfRule>
  </conditionalFormatting>
  <conditionalFormatting sqref="AI111:AK111">
    <cfRule type="cellIs" dxfId="7087" priority="1192" operator="greaterThan">
      <formula>0.03</formula>
    </cfRule>
    <cfRule type="cellIs" dxfId="7086" priority="1193" stopIfTrue="1" operator="lessThan">
      <formula>-0.03</formula>
    </cfRule>
  </conditionalFormatting>
  <conditionalFormatting sqref="AU108:AW108">
    <cfRule type="cellIs" dxfId="7085" priority="1190" operator="greaterThan">
      <formula>0.03</formula>
    </cfRule>
    <cfRule type="cellIs" dxfId="7084" priority="1191" stopIfTrue="1" operator="lessThan">
      <formula>-0.03</formula>
    </cfRule>
  </conditionalFormatting>
  <conditionalFormatting sqref="AO118:AQ118 AO115:AQ116">
    <cfRule type="cellIs" dxfId="7083" priority="1188" operator="greaterThan">
      <formula>0.03</formula>
    </cfRule>
    <cfRule type="cellIs" dxfId="7082" priority="1189" stopIfTrue="1" operator="lessThan">
      <formula>-0.03</formula>
    </cfRule>
  </conditionalFormatting>
  <conditionalFormatting sqref="AU117:AV117">
    <cfRule type="cellIs" dxfId="7081" priority="1186" operator="greaterThan">
      <formula>0.03</formula>
    </cfRule>
    <cfRule type="cellIs" dxfId="7080" priority="1187" stopIfTrue="1" operator="lessThan">
      <formula>-0.03</formula>
    </cfRule>
  </conditionalFormatting>
  <conditionalFormatting sqref="AO117:AQ117">
    <cfRule type="cellIs" dxfId="7079" priority="1184" operator="greaterThan">
      <formula>0.03</formula>
    </cfRule>
    <cfRule type="cellIs" dxfId="7078" priority="1185" stopIfTrue="1" operator="lessThan">
      <formula>-0.03</formula>
    </cfRule>
  </conditionalFormatting>
  <conditionalFormatting sqref="AI117:AK117 AI113:AK115">
    <cfRule type="cellIs" dxfId="7077" priority="1182" operator="greaterThan">
      <formula>0.03</formula>
    </cfRule>
    <cfRule type="cellIs" dxfId="7076" priority="1183" stopIfTrue="1" operator="lessThan">
      <formula>-0.03</formula>
    </cfRule>
  </conditionalFormatting>
  <conditionalFormatting sqref="AI116:AK116">
    <cfRule type="cellIs" dxfId="7075" priority="1180" operator="greaterThan">
      <formula>0.03</formula>
    </cfRule>
    <cfRule type="cellIs" dxfId="7074" priority="1181" stopIfTrue="1" operator="lessThan">
      <formula>-0.03</formula>
    </cfRule>
  </conditionalFormatting>
  <conditionalFormatting sqref="AU113:AW113">
    <cfRule type="cellIs" dxfId="7073" priority="1178" operator="greaterThan">
      <formula>0.03</formula>
    </cfRule>
    <cfRule type="cellIs" dxfId="7072" priority="1179" stopIfTrue="1" operator="lessThan">
      <formula>-0.03</formula>
    </cfRule>
  </conditionalFormatting>
  <conditionalFormatting sqref="AO123:AQ123 AO120:AQ121">
    <cfRule type="cellIs" dxfId="7071" priority="1176" operator="greaterThan">
      <formula>0.03</formula>
    </cfRule>
    <cfRule type="cellIs" dxfId="7070" priority="1177" stopIfTrue="1" operator="lessThan">
      <formula>-0.03</formula>
    </cfRule>
  </conditionalFormatting>
  <conditionalFormatting sqref="AU122:AV122">
    <cfRule type="cellIs" dxfId="7069" priority="1174" operator="greaterThan">
      <formula>0.03</formula>
    </cfRule>
    <cfRule type="cellIs" dxfId="7068" priority="1175" stopIfTrue="1" operator="lessThan">
      <formula>-0.03</formula>
    </cfRule>
  </conditionalFormatting>
  <conditionalFormatting sqref="AO122:AQ122">
    <cfRule type="cellIs" dxfId="7067" priority="1172" operator="greaterThan">
      <formula>0.03</formula>
    </cfRule>
    <cfRule type="cellIs" dxfId="7066" priority="1173" stopIfTrue="1" operator="lessThan">
      <formula>-0.03</formula>
    </cfRule>
  </conditionalFormatting>
  <conditionalFormatting sqref="AI122:AK122 AI118:AK120">
    <cfRule type="cellIs" dxfId="7065" priority="1170" operator="greaterThan">
      <formula>0.03</formula>
    </cfRule>
    <cfRule type="cellIs" dxfId="7064" priority="1171" stopIfTrue="1" operator="lessThan">
      <formula>-0.03</formula>
    </cfRule>
  </conditionalFormatting>
  <conditionalFormatting sqref="AI121:AK121">
    <cfRule type="cellIs" dxfId="7063" priority="1168" operator="greaterThan">
      <formula>0.03</formula>
    </cfRule>
    <cfRule type="cellIs" dxfId="7062" priority="1169" stopIfTrue="1" operator="lessThan">
      <formula>-0.03</formula>
    </cfRule>
  </conditionalFormatting>
  <conditionalFormatting sqref="AU118:AW118">
    <cfRule type="cellIs" dxfId="7061" priority="1166" operator="greaterThan">
      <formula>0.03</formula>
    </cfRule>
    <cfRule type="cellIs" dxfId="7060" priority="1167" stopIfTrue="1" operator="lessThan">
      <formula>-0.03</formula>
    </cfRule>
  </conditionalFormatting>
  <conditionalFormatting sqref="AO128:AQ128 AO125:AQ126">
    <cfRule type="cellIs" dxfId="7059" priority="1164" operator="greaterThan">
      <formula>0.03</formula>
    </cfRule>
    <cfRule type="cellIs" dxfId="7058" priority="1165" stopIfTrue="1" operator="lessThan">
      <formula>-0.03</formula>
    </cfRule>
  </conditionalFormatting>
  <conditionalFormatting sqref="AU127:AV127">
    <cfRule type="cellIs" dxfId="7057" priority="1162" operator="greaterThan">
      <formula>0.03</formula>
    </cfRule>
    <cfRule type="cellIs" dxfId="7056" priority="1163" stopIfTrue="1" operator="lessThan">
      <formula>-0.03</formula>
    </cfRule>
  </conditionalFormatting>
  <conditionalFormatting sqref="AO127:AQ127">
    <cfRule type="cellIs" dxfId="7055" priority="1160" operator="greaterThan">
      <formula>0.03</formula>
    </cfRule>
    <cfRule type="cellIs" dxfId="7054" priority="1161" stopIfTrue="1" operator="lessThan">
      <formula>-0.03</formula>
    </cfRule>
  </conditionalFormatting>
  <conditionalFormatting sqref="AI127:AK127 AI123:AK125">
    <cfRule type="cellIs" dxfId="7053" priority="1158" operator="greaterThan">
      <formula>0.03</formula>
    </cfRule>
    <cfRule type="cellIs" dxfId="7052" priority="1159" stopIfTrue="1" operator="lessThan">
      <formula>-0.03</formula>
    </cfRule>
  </conditionalFormatting>
  <conditionalFormatting sqref="AI126:AK126">
    <cfRule type="cellIs" dxfId="7051" priority="1156" operator="greaterThan">
      <formula>0.03</formula>
    </cfRule>
    <cfRule type="cellIs" dxfId="7050" priority="1157" stopIfTrue="1" operator="lessThan">
      <formula>-0.03</formula>
    </cfRule>
  </conditionalFormatting>
  <conditionalFormatting sqref="AU123:AW123">
    <cfRule type="cellIs" dxfId="7049" priority="1154" operator="greaterThan">
      <formula>0.03</formula>
    </cfRule>
    <cfRule type="cellIs" dxfId="7048" priority="1155" stopIfTrue="1" operator="lessThan">
      <formula>-0.03</formula>
    </cfRule>
  </conditionalFormatting>
  <conditionalFormatting sqref="AO130:AQ132">
    <cfRule type="cellIs" dxfId="7047" priority="1152" operator="greaterThan">
      <formula>0.03</formula>
    </cfRule>
    <cfRule type="cellIs" dxfId="7046" priority="1153" stopIfTrue="1" operator="lessThan">
      <formula>-0.03</formula>
    </cfRule>
  </conditionalFormatting>
  <conditionalFormatting sqref="AU132:AV132">
    <cfRule type="cellIs" dxfId="7045" priority="1150" operator="greaterThan">
      <formula>0.03</formula>
    </cfRule>
    <cfRule type="cellIs" dxfId="7044" priority="1151" stopIfTrue="1" operator="lessThan">
      <formula>-0.03</formula>
    </cfRule>
  </conditionalFormatting>
  <conditionalFormatting sqref="AI132:AK132 AI128:AK130">
    <cfRule type="cellIs" dxfId="7043" priority="1148" operator="greaterThan">
      <formula>0.03</formula>
    </cfRule>
    <cfRule type="cellIs" dxfId="7042" priority="1149" stopIfTrue="1" operator="lessThan">
      <formula>-0.03</formula>
    </cfRule>
  </conditionalFormatting>
  <conditionalFormatting sqref="AI131:AK131">
    <cfRule type="cellIs" dxfId="7041" priority="1146" operator="greaterThan">
      <formula>0.03</formula>
    </cfRule>
    <cfRule type="cellIs" dxfId="7040" priority="1147" stopIfTrue="1" operator="lessThan">
      <formula>-0.03</formula>
    </cfRule>
  </conditionalFormatting>
  <conditionalFormatting sqref="AU128:AW128">
    <cfRule type="cellIs" dxfId="7039" priority="1144" operator="greaterThan">
      <formula>0.03</formula>
    </cfRule>
    <cfRule type="cellIs" dxfId="7038" priority="1145" stopIfTrue="1" operator="lessThan">
      <formula>-0.03</formula>
    </cfRule>
  </conditionalFormatting>
  <conditionalFormatting sqref="AF7:AH7 AF3:AH5">
    <cfRule type="cellIs" dxfId="7037" priority="1142" operator="greaterThan">
      <formula>0.03</formula>
    </cfRule>
    <cfRule type="cellIs" dxfId="7036" priority="1143" stopIfTrue="1" operator="lessThan">
      <formula>-0.03</formula>
    </cfRule>
  </conditionalFormatting>
  <conditionalFormatting sqref="AF156:AH156">
    <cfRule type="cellIs" dxfId="7035" priority="1134" operator="greaterThan">
      <formula>0.03</formula>
    </cfRule>
    <cfRule type="cellIs" dxfId="7034" priority="1135" stopIfTrue="1" operator="lessThan">
      <formula>-0.03</formula>
    </cfRule>
  </conditionalFormatting>
  <conditionalFormatting sqref="AF159:AH159">
    <cfRule type="cellIs" dxfId="7033" priority="1132" operator="greaterThan">
      <formula>0.03</formula>
    </cfRule>
    <cfRule type="cellIs" dxfId="7032" priority="1133" stopIfTrue="1" operator="lessThan">
      <formula>-0.03</formula>
    </cfRule>
  </conditionalFormatting>
  <conditionalFormatting sqref="AF161:AW161">
    <cfRule type="cellIs" dxfId="7031" priority="1140" operator="greaterThan">
      <formula>0.03</formula>
    </cfRule>
    <cfRule type="cellIs" dxfId="7030" priority="1141" stopIfTrue="1" operator="lessThan">
      <formula>-0.03</formula>
    </cfRule>
  </conditionalFormatting>
  <conditionalFormatting sqref="AF153:AH153 AF155:AH155">
    <cfRule type="cellIs" dxfId="7029" priority="1136" operator="greaterThan">
      <formula>0.03</formula>
    </cfRule>
    <cfRule type="cellIs" dxfId="7028" priority="1137" stopIfTrue="1" operator="lessThan">
      <formula>-0.03</formula>
    </cfRule>
  </conditionalFormatting>
  <conditionalFormatting sqref="AF157:AH158">
    <cfRule type="cellIs" dxfId="7027" priority="1138" operator="greaterThan">
      <formula>0.03</formula>
    </cfRule>
    <cfRule type="cellIs" dxfId="7026" priority="1139" stopIfTrue="1" operator="lessThan">
      <formula>-0.03</formula>
    </cfRule>
  </conditionalFormatting>
  <conditionalFormatting sqref="AF154:AH154">
    <cfRule type="cellIs" dxfId="7025" priority="1130" operator="greaterThan">
      <formula>0.03</formula>
    </cfRule>
    <cfRule type="cellIs" dxfId="7024" priority="1131" stopIfTrue="1" operator="lessThan">
      <formula>-0.03</formula>
    </cfRule>
  </conditionalFormatting>
  <conditionalFormatting sqref="AF6:AH6">
    <cfRule type="cellIs" dxfId="7023" priority="1128" operator="greaterThan">
      <formula>0.03</formula>
    </cfRule>
    <cfRule type="cellIs" dxfId="7022" priority="1129" stopIfTrue="1" operator="lessThan">
      <formula>-0.03</formula>
    </cfRule>
  </conditionalFormatting>
  <conditionalFormatting sqref="AF12:AH12 AF8:AH10">
    <cfRule type="cellIs" dxfId="7021" priority="1126" operator="greaterThan">
      <formula>0.03</formula>
    </cfRule>
    <cfRule type="cellIs" dxfId="7020" priority="1127" stopIfTrue="1" operator="lessThan">
      <formula>-0.03</formula>
    </cfRule>
  </conditionalFormatting>
  <conditionalFormatting sqref="AF11:AH11">
    <cfRule type="cellIs" dxfId="7019" priority="1124" operator="greaterThan">
      <formula>0.03</formula>
    </cfRule>
    <cfRule type="cellIs" dxfId="7018" priority="1125" stopIfTrue="1" operator="lessThan">
      <formula>-0.03</formula>
    </cfRule>
  </conditionalFormatting>
  <conditionalFormatting sqref="AF17:AH17 AF13:AH15">
    <cfRule type="cellIs" dxfId="7017" priority="1122" operator="greaterThan">
      <formula>0.03</formula>
    </cfRule>
    <cfRule type="cellIs" dxfId="7016" priority="1123" stopIfTrue="1" operator="lessThan">
      <formula>-0.03</formula>
    </cfRule>
  </conditionalFormatting>
  <conditionalFormatting sqref="AF16:AH16">
    <cfRule type="cellIs" dxfId="7015" priority="1120" operator="greaterThan">
      <formula>0.03</formula>
    </cfRule>
    <cfRule type="cellIs" dxfId="7014" priority="1121" stopIfTrue="1" operator="lessThan">
      <formula>-0.03</formula>
    </cfRule>
  </conditionalFormatting>
  <conditionalFormatting sqref="AF22:AH22 AF18:AH20">
    <cfRule type="cellIs" dxfId="7013" priority="1118" operator="greaterThan">
      <formula>0.03</formula>
    </cfRule>
    <cfRule type="cellIs" dxfId="7012" priority="1119" stopIfTrue="1" operator="lessThan">
      <formula>-0.03</formula>
    </cfRule>
  </conditionalFormatting>
  <conditionalFormatting sqref="AF21:AH21">
    <cfRule type="cellIs" dxfId="7011" priority="1116" operator="greaterThan">
      <formula>0.03</formula>
    </cfRule>
    <cfRule type="cellIs" dxfId="7010" priority="1117" stopIfTrue="1" operator="lessThan">
      <formula>-0.03</formula>
    </cfRule>
  </conditionalFormatting>
  <conditionalFormatting sqref="AF27:AH27 AF23:AH25">
    <cfRule type="cellIs" dxfId="7009" priority="1114" operator="greaterThan">
      <formula>0.03</formula>
    </cfRule>
    <cfRule type="cellIs" dxfId="7008" priority="1115" stopIfTrue="1" operator="lessThan">
      <formula>-0.03</formula>
    </cfRule>
  </conditionalFormatting>
  <conditionalFormatting sqref="AF26:AH26">
    <cfRule type="cellIs" dxfId="7007" priority="1112" operator="greaterThan">
      <formula>0.03</formula>
    </cfRule>
    <cfRule type="cellIs" dxfId="7006" priority="1113" stopIfTrue="1" operator="lessThan">
      <formula>-0.03</formula>
    </cfRule>
  </conditionalFormatting>
  <conditionalFormatting sqref="AF32:AH32 AF28:AH30">
    <cfRule type="cellIs" dxfId="7005" priority="1110" operator="greaterThan">
      <formula>0.03</formula>
    </cfRule>
    <cfRule type="cellIs" dxfId="7004" priority="1111" stopIfTrue="1" operator="lessThan">
      <formula>-0.03</formula>
    </cfRule>
  </conditionalFormatting>
  <conditionalFormatting sqref="AF31:AH31">
    <cfRule type="cellIs" dxfId="7003" priority="1108" operator="greaterThan">
      <formula>0.03</formula>
    </cfRule>
    <cfRule type="cellIs" dxfId="7002" priority="1109" stopIfTrue="1" operator="lessThan">
      <formula>-0.03</formula>
    </cfRule>
  </conditionalFormatting>
  <conditionalFormatting sqref="AF37:AH37 AF33:AH35">
    <cfRule type="cellIs" dxfId="7001" priority="1106" operator="greaterThan">
      <formula>0.03</formula>
    </cfRule>
    <cfRule type="cellIs" dxfId="7000" priority="1107" stopIfTrue="1" operator="lessThan">
      <formula>-0.03</formula>
    </cfRule>
  </conditionalFormatting>
  <conditionalFormatting sqref="AF36:AH36">
    <cfRule type="cellIs" dxfId="6999" priority="1104" operator="greaterThan">
      <formula>0.03</formula>
    </cfRule>
    <cfRule type="cellIs" dxfId="6998" priority="1105" stopIfTrue="1" operator="lessThan">
      <formula>-0.03</formula>
    </cfRule>
  </conditionalFormatting>
  <conditionalFormatting sqref="AF42:AH42 AF38:AH40">
    <cfRule type="cellIs" dxfId="6997" priority="1102" operator="greaterThan">
      <formula>0.03</formula>
    </cfRule>
    <cfRule type="cellIs" dxfId="6996" priority="1103" stopIfTrue="1" operator="lessThan">
      <formula>-0.03</formula>
    </cfRule>
  </conditionalFormatting>
  <conditionalFormatting sqref="AF41:AH41">
    <cfRule type="cellIs" dxfId="6995" priority="1100" operator="greaterThan">
      <formula>0.03</formula>
    </cfRule>
    <cfRule type="cellIs" dxfId="6994" priority="1101" stopIfTrue="1" operator="lessThan">
      <formula>-0.03</formula>
    </cfRule>
  </conditionalFormatting>
  <conditionalFormatting sqref="AF47:AH47 AF43:AH45">
    <cfRule type="cellIs" dxfId="6993" priority="1098" operator="greaterThan">
      <formula>0.03</formula>
    </cfRule>
    <cfRule type="cellIs" dxfId="6992" priority="1099" stopIfTrue="1" operator="lessThan">
      <formula>-0.03</formula>
    </cfRule>
  </conditionalFormatting>
  <conditionalFormatting sqref="AF46:AH46">
    <cfRule type="cellIs" dxfId="6991" priority="1096" operator="greaterThan">
      <formula>0.03</formula>
    </cfRule>
    <cfRule type="cellIs" dxfId="6990" priority="1097" stopIfTrue="1" operator="lessThan">
      <formula>-0.03</formula>
    </cfRule>
  </conditionalFormatting>
  <conditionalFormatting sqref="AF52:AH52 AF48:AH50">
    <cfRule type="cellIs" dxfId="6989" priority="1094" operator="greaterThan">
      <formula>0.03</formula>
    </cfRule>
    <cfRule type="cellIs" dxfId="6988" priority="1095" stopIfTrue="1" operator="lessThan">
      <formula>-0.03</formula>
    </cfRule>
  </conditionalFormatting>
  <conditionalFormatting sqref="AF51:AH51">
    <cfRule type="cellIs" dxfId="6987" priority="1092" operator="greaterThan">
      <formula>0.03</formula>
    </cfRule>
    <cfRule type="cellIs" dxfId="6986" priority="1093" stopIfTrue="1" operator="lessThan">
      <formula>-0.03</formula>
    </cfRule>
  </conditionalFormatting>
  <conditionalFormatting sqref="AF57:AH57 AF53:AH55">
    <cfRule type="cellIs" dxfId="6985" priority="1090" operator="greaterThan">
      <formula>0.03</formula>
    </cfRule>
    <cfRule type="cellIs" dxfId="6984" priority="1091" stopIfTrue="1" operator="lessThan">
      <formula>-0.03</formula>
    </cfRule>
  </conditionalFormatting>
  <conditionalFormatting sqref="AF56:AH56">
    <cfRule type="cellIs" dxfId="6983" priority="1088" operator="greaterThan">
      <formula>0.03</formula>
    </cfRule>
    <cfRule type="cellIs" dxfId="6982" priority="1089" stopIfTrue="1" operator="lessThan">
      <formula>-0.03</formula>
    </cfRule>
  </conditionalFormatting>
  <conditionalFormatting sqref="AF62:AH62 AF58:AH60">
    <cfRule type="cellIs" dxfId="6981" priority="1086" operator="greaterThan">
      <formula>0.03</formula>
    </cfRule>
    <cfRule type="cellIs" dxfId="6980" priority="1087" stopIfTrue="1" operator="lessThan">
      <formula>-0.03</formula>
    </cfRule>
  </conditionalFormatting>
  <conditionalFormatting sqref="AF61:AH61">
    <cfRule type="cellIs" dxfId="6979" priority="1084" operator="greaterThan">
      <formula>0.03</formula>
    </cfRule>
    <cfRule type="cellIs" dxfId="6978" priority="1085" stopIfTrue="1" operator="lessThan">
      <formula>-0.03</formula>
    </cfRule>
  </conditionalFormatting>
  <conditionalFormatting sqref="AF67:AH67 AF63:AH65">
    <cfRule type="cellIs" dxfId="6977" priority="1082" operator="greaterThan">
      <formula>0.03</formula>
    </cfRule>
    <cfRule type="cellIs" dxfId="6976" priority="1083" stopIfTrue="1" operator="lessThan">
      <formula>-0.03</formula>
    </cfRule>
  </conditionalFormatting>
  <conditionalFormatting sqref="AF66:AH66">
    <cfRule type="cellIs" dxfId="6975" priority="1080" operator="greaterThan">
      <formula>0.03</formula>
    </cfRule>
    <cfRule type="cellIs" dxfId="6974" priority="1081" stopIfTrue="1" operator="lessThan">
      <formula>-0.03</formula>
    </cfRule>
  </conditionalFormatting>
  <conditionalFormatting sqref="AF72:AH72 AF68:AH70">
    <cfRule type="cellIs" dxfId="6973" priority="1078" operator="greaterThan">
      <formula>0.03</formula>
    </cfRule>
    <cfRule type="cellIs" dxfId="6972" priority="1079" stopIfTrue="1" operator="lessThan">
      <formula>-0.03</formula>
    </cfRule>
  </conditionalFormatting>
  <conditionalFormatting sqref="AF71:AH71">
    <cfRule type="cellIs" dxfId="6971" priority="1076" operator="greaterThan">
      <formula>0.03</formula>
    </cfRule>
    <cfRule type="cellIs" dxfId="6970" priority="1077" stopIfTrue="1" operator="lessThan">
      <formula>-0.03</formula>
    </cfRule>
  </conditionalFormatting>
  <conditionalFormatting sqref="AF77:AH77 AF73:AH75">
    <cfRule type="cellIs" dxfId="6969" priority="1074" operator="greaterThan">
      <formula>0.03</formula>
    </cfRule>
    <cfRule type="cellIs" dxfId="6968" priority="1075" stopIfTrue="1" operator="lessThan">
      <formula>-0.03</formula>
    </cfRule>
  </conditionalFormatting>
  <conditionalFormatting sqref="AF76:AH76">
    <cfRule type="cellIs" dxfId="6967" priority="1072" operator="greaterThan">
      <formula>0.03</formula>
    </cfRule>
    <cfRule type="cellIs" dxfId="6966" priority="1073" stopIfTrue="1" operator="lessThan">
      <formula>-0.03</formula>
    </cfRule>
  </conditionalFormatting>
  <conditionalFormatting sqref="AF82:AH82 AF78:AH80">
    <cfRule type="cellIs" dxfId="6965" priority="1070" operator="greaterThan">
      <formula>0.03</formula>
    </cfRule>
    <cfRule type="cellIs" dxfId="6964" priority="1071" stopIfTrue="1" operator="lessThan">
      <formula>-0.03</formula>
    </cfRule>
  </conditionalFormatting>
  <conditionalFormatting sqref="AF81:AH81">
    <cfRule type="cellIs" dxfId="6963" priority="1068" operator="greaterThan">
      <formula>0.03</formula>
    </cfRule>
    <cfRule type="cellIs" dxfId="6962" priority="1069" stopIfTrue="1" operator="lessThan">
      <formula>-0.03</formula>
    </cfRule>
  </conditionalFormatting>
  <conditionalFormatting sqref="AF87:AH87 AF83:AH85">
    <cfRule type="cellIs" dxfId="6961" priority="1066" operator="greaterThan">
      <formula>0.03</formula>
    </cfRule>
    <cfRule type="cellIs" dxfId="6960" priority="1067" stopIfTrue="1" operator="lessThan">
      <formula>-0.03</formula>
    </cfRule>
  </conditionalFormatting>
  <conditionalFormatting sqref="AF86:AH86">
    <cfRule type="cellIs" dxfId="6959" priority="1064" operator="greaterThan">
      <formula>0.03</formula>
    </cfRule>
    <cfRule type="cellIs" dxfId="6958" priority="1065" stopIfTrue="1" operator="lessThan">
      <formula>-0.03</formula>
    </cfRule>
  </conditionalFormatting>
  <conditionalFormatting sqref="AF92:AH92 AF88:AH90">
    <cfRule type="cellIs" dxfId="6957" priority="1062" operator="greaterThan">
      <formula>0.03</formula>
    </cfRule>
    <cfRule type="cellIs" dxfId="6956" priority="1063" stopIfTrue="1" operator="lessThan">
      <formula>-0.03</formula>
    </cfRule>
  </conditionalFormatting>
  <conditionalFormatting sqref="AF91:AH91">
    <cfRule type="cellIs" dxfId="6955" priority="1060" operator="greaterThan">
      <formula>0.03</formula>
    </cfRule>
    <cfRule type="cellIs" dxfId="6954" priority="1061" stopIfTrue="1" operator="lessThan">
      <formula>-0.03</formula>
    </cfRule>
  </conditionalFormatting>
  <conditionalFormatting sqref="AF97:AH97 AF93:AH95">
    <cfRule type="cellIs" dxfId="6953" priority="1058" operator="greaterThan">
      <formula>0.03</formula>
    </cfRule>
    <cfRule type="cellIs" dxfId="6952" priority="1059" stopIfTrue="1" operator="lessThan">
      <formula>-0.03</formula>
    </cfRule>
  </conditionalFormatting>
  <conditionalFormatting sqref="AF96:AH96">
    <cfRule type="cellIs" dxfId="6951" priority="1056" operator="greaterThan">
      <formula>0.03</formula>
    </cfRule>
    <cfRule type="cellIs" dxfId="6950" priority="1057" stopIfTrue="1" operator="lessThan">
      <formula>-0.03</formula>
    </cfRule>
  </conditionalFormatting>
  <conditionalFormatting sqref="AF102:AH102 AF98:AH100">
    <cfRule type="cellIs" dxfId="6949" priority="1054" operator="greaterThan">
      <formula>0.03</formula>
    </cfRule>
    <cfRule type="cellIs" dxfId="6948" priority="1055" stopIfTrue="1" operator="lessThan">
      <formula>-0.03</formula>
    </cfRule>
  </conditionalFormatting>
  <conditionalFormatting sqref="AF101:AH101">
    <cfRule type="cellIs" dxfId="6947" priority="1052" operator="greaterThan">
      <formula>0.03</formula>
    </cfRule>
    <cfRule type="cellIs" dxfId="6946" priority="1053" stopIfTrue="1" operator="lessThan">
      <formula>-0.03</formula>
    </cfRule>
  </conditionalFormatting>
  <conditionalFormatting sqref="AF107:AH107 AF103:AH105">
    <cfRule type="cellIs" dxfId="6945" priority="1050" operator="greaterThan">
      <formula>0.03</formula>
    </cfRule>
    <cfRule type="cellIs" dxfId="6944" priority="1051" stopIfTrue="1" operator="lessThan">
      <formula>-0.03</formula>
    </cfRule>
  </conditionalFormatting>
  <conditionalFormatting sqref="AF106:AH106">
    <cfRule type="cellIs" dxfId="6943" priority="1048" operator="greaterThan">
      <formula>0.03</formula>
    </cfRule>
    <cfRule type="cellIs" dxfId="6942" priority="1049" stopIfTrue="1" operator="lessThan">
      <formula>-0.03</formula>
    </cfRule>
  </conditionalFormatting>
  <conditionalFormatting sqref="AF112:AH112 AF108:AH110">
    <cfRule type="cellIs" dxfId="6941" priority="1046" operator="greaterThan">
      <formula>0.03</formula>
    </cfRule>
    <cfRule type="cellIs" dxfId="6940" priority="1047" stopIfTrue="1" operator="lessThan">
      <formula>-0.03</formula>
    </cfRule>
  </conditionalFormatting>
  <conditionalFormatting sqref="AF111:AH111">
    <cfRule type="cellIs" dxfId="6939" priority="1044" operator="greaterThan">
      <formula>0.03</formula>
    </cfRule>
    <cfRule type="cellIs" dxfId="6938" priority="1045" stopIfTrue="1" operator="lessThan">
      <formula>-0.03</formula>
    </cfRule>
  </conditionalFormatting>
  <conditionalFormatting sqref="AF117:AH117 AF113:AH115">
    <cfRule type="cellIs" dxfId="6937" priority="1042" operator="greaterThan">
      <formula>0.03</formula>
    </cfRule>
    <cfRule type="cellIs" dxfId="6936" priority="1043" stopIfTrue="1" operator="lessThan">
      <formula>-0.03</formula>
    </cfRule>
  </conditionalFormatting>
  <conditionalFormatting sqref="AF116:AH116">
    <cfRule type="cellIs" dxfId="6935" priority="1040" operator="greaterThan">
      <formula>0.03</formula>
    </cfRule>
    <cfRule type="cellIs" dxfId="6934" priority="1041" stopIfTrue="1" operator="lessThan">
      <formula>-0.03</formula>
    </cfRule>
  </conditionalFormatting>
  <conditionalFormatting sqref="AF122:AH122 AF118:AH120">
    <cfRule type="cellIs" dxfId="6933" priority="1038" operator="greaterThan">
      <formula>0.03</formula>
    </cfRule>
    <cfRule type="cellIs" dxfId="6932" priority="1039" stopIfTrue="1" operator="lessThan">
      <formula>-0.03</formula>
    </cfRule>
  </conditionalFormatting>
  <conditionalFormatting sqref="AF121:AH121">
    <cfRule type="cellIs" dxfId="6931" priority="1036" operator="greaterThan">
      <formula>0.03</formula>
    </cfRule>
    <cfRule type="cellIs" dxfId="6930" priority="1037" stopIfTrue="1" operator="lessThan">
      <formula>-0.03</formula>
    </cfRule>
  </conditionalFormatting>
  <conditionalFormatting sqref="AF127:AH127 AF123:AH125">
    <cfRule type="cellIs" dxfId="6929" priority="1034" operator="greaterThan">
      <formula>0.03</formula>
    </cfRule>
    <cfRule type="cellIs" dxfId="6928" priority="1035" stopIfTrue="1" operator="lessThan">
      <formula>-0.03</formula>
    </cfRule>
  </conditionalFormatting>
  <conditionalFormatting sqref="AF126:AH126">
    <cfRule type="cellIs" dxfId="6927" priority="1032" operator="greaterThan">
      <formula>0.03</formula>
    </cfRule>
    <cfRule type="cellIs" dxfId="6926" priority="1033" stopIfTrue="1" operator="lessThan">
      <formula>-0.03</formula>
    </cfRule>
  </conditionalFormatting>
  <conditionalFormatting sqref="AF132:AH132 AF128:AH130">
    <cfRule type="cellIs" dxfId="6925" priority="1030" operator="greaterThan">
      <formula>0.03</formula>
    </cfRule>
    <cfRule type="cellIs" dxfId="6924" priority="1031" stopIfTrue="1" operator="lessThan">
      <formula>-0.03</formula>
    </cfRule>
  </conditionalFormatting>
  <conditionalFormatting sqref="AF131:AH131">
    <cfRule type="cellIs" dxfId="6923" priority="1028" operator="greaterThan">
      <formula>0.03</formula>
    </cfRule>
    <cfRule type="cellIs" dxfId="6922" priority="1029" stopIfTrue="1" operator="lessThan">
      <formula>-0.03</formula>
    </cfRule>
  </conditionalFormatting>
  <conditionalFormatting sqref="AL8:AN8 AL5:AN6">
    <cfRule type="cellIs" dxfId="6921" priority="1026" operator="greaterThan">
      <formula>0.03</formula>
    </cfRule>
    <cfRule type="cellIs" dxfId="6920" priority="1027" stopIfTrue="1" operator="lessThan">
      <formula>-0.03</formula>
    </cfRule>
  </conditionalFormatting>
  <conditionalFormatting sqref="AL156:AN156">
    <cfRule type="cellIs" dxfId="6919" priority="1018" operator="greaterThan">
      <formula>0.03</formula>
    </cfRule>
    <cfRule type="cellIs" dxfId="6918" priority="1019" stopIfTrue="1" operator="lessThan">
      <formula>-0.03</formula>
    </cfRule>
  </conditionalFormatting>
  <conditionalFormatting sqref="AL159:AN159">
    <cfRule type="cellIs" dxfId="6917" priority="1016" operator="greaterThan">
      <formula>0.03</formula>
    </cfRule>
    <cfRule type="cellIs" dxfId="6916" priority="1017" stopIfTrue="1" operator="lessThan">
      <formula>-0.03</formula>
    </cfRule>
  </conditionalFormatting>
  <conditionalFormatting sqref="AL161:AN161">
    <cfRule type="cellIs" dxfId="6915" priority="1024" operator="greaterThan">
      <formula>0.03</formula>
    </cfRule>
    <cfRule type="cellIs" dxfId="6914" priority="1025" stopIfTrue="1" operator="lessThan">
      <formula>-0.03</formula>
    </cfRule>
  </conditionalFormatting>
  <conditionalFormatting sqref="AL153:AN153 AL155:AN155">
    <cfRule type="cellIs" dxfId="6913" priority="1020" operator="greaterThan">
      <formula>0.03</formula>
    </cfRule>
    <cfRule type="cellIs" dxfId="6912" priority="1021" stopIfTrue="1" operator="lessThan">
      <formula>-0.03</formula>
    </cfRule>
  </conditionalFormatting>
  <conditionalFormatting sqref="AL157:AN158">
    <cfRule type="cellIs" dxfId="6911" priority="1022" operator="greaterThan">
      <formula>0.03</formula>
    </cfRule>
    <cfRule type="cellIs" dxfId="6910" priority="1023" stopIfTrue="1" operator="lessThan">
      <formula>-0.03</formula>
    </cfRule>
  </conditionalFormatting>
  <conditionalFormatting sqref="AL154:AN154">
    <cfRule type="cellIs" dxfId="6909" priority="1014" operator="greaterThan">
      <formula>0.03</formula>
    </cfRule>
    <cfRule type="cellIs" dxfId="6908" priority="1015" stopIfTrue="1" operator="lessThan">
      <formula>-0.03</formula>
    </cfRule>
  </conditionalFormatting>
  <conditionalFormatting sqref="AL7:AN7">
    <cfRule type="cellIs" dxfId="6907" priority="1012" operator="greaterThan">
      <formula>0.03</formula>
    </cfRule>
    <cfRule type="cellIs" dxfId="6906" priority="1013" stopIfTrue="1" operator="lessThan">
      <formula>-0.03</formula>
    </cfRule>
  </conditionalFormatting>
  <conditionalFormatting sqref="AL13:AN13 AL10:AN11">
    <cfRule type="cellIs" dxfId="6905" priority="1010" operator="greaterThan">
      <formula>0.03</formula>
    </cfRule>
    <cfRule type="cellIs" dxfId="6904" priority="1011" stopIfTrue="1" operator="lessThan">
      <formula>-0.03</formula>
    </cfRule>
  </conditionalFormatting>
  <conditionalFormatting sqref="AL12:AN12">
    <cfRule type="cellIs" dxfId="6903" priority="1008" operator="greaterThan">
      <formula>0.03</formula>
    </cfRule>
    <cfRule type="cellIs" dxfId="6902" priority="1009" stopIfTrue="1" operator="lessThan">
      <formula>-0.03</formula>
    </cfRule>
  </conditionalFormatting>
  <conditionalFormatting sqref="AL18:AN18 AL15:AN16">
    <cfRule type="cellIs" dxfId="6901" priority="1006" operator="greaterThan">
      <formula>0.03</formula>
    </cfRule>
    <cfRule type="cellIs" dxfId="6900" priority="1007" stopIfTrue="1" operator="lessThan">
      <formula>-0.03</formula>
    </cfRule>
  </conditionalFormatting>
  <conditionalFormatting sqref="AL17:AN17">
    <cfRule type="cellIs" dxfId="6899" priority="1004" operator="greaterThan">
      <formula>0.03</formula>
    </cfRule>
    <cfRule type="cellIs" dxfId="6898" priority="1005" stopIfTrue="1" operator="lessThan">
      <formula>-0.03</formula>
    </cfRule>
  </conditionalFormatting>
  <conditionalFormatting sqref="AL23:AN23 AL20:AN21">
    <cfRule type="cellIs" dxfId="6897" priority="1002" operator="greaterThan">
      <formula>0.03</formula>
    </cfRule>
    <cfRule type="cellIs" dxfId="6896" priority="1003" stopIfTrue="1" operator="lessThan">
      <formula>-0.03</formula>
    </cfRule>
  </conditionalFormatting>
  <conditionalFormatting sqref="AL22:AN22">
    <cfRule type="cellIs" dxfId="6895" priority="1000" operator="greaterThan">
      <formula>0.03</formula>
    </cfRule>
    <cfRule type="cellIs" dxfId="6894" priority="1001" stopIfTrue="1" operator="lessThan">
      <formula>-0.03</formula>
    </cfRule>
  </conditionalFormatting>
  <conditionalFormatting sqref="AL28:AN28 AL25:AN26">
    <cfRule type="cellIs" dxfId="6893" priority="998" operator="greaterThan">
      <formula>0.03</formula>
    </cfRule>
    <cfRule type="cellIs" dxfId="6892" priority="999" stopIfTrue="1" operator="lessThan">
      <formula>-0.03</formula>
    </cfRule>
  </conditionalFormatting>
  <conditionalFormatting sqref="AL27:AN27">
    <cfRule type="cellIs" dxfId="6891" priority="996" operator="greaterThan">
      <formula>0.03</formula>
    </cfRule>
    <cfRule type="cellIs" dxfId="6890" priority="997" stopIfTrue="1" operator="lessThan">
      <formula>-0.03</formula>
    </cfRule>
  </conditionalFormatting>
  <conditionalFormatting sqref="AL33:AN33 AL30:AN31">
    <cfRule type="cellIs" dxfId="6889" priority="994" operator="greaterThan">
      <formula>0.03</formula>
    </cfRule>
    <cfRule type="cellIs" dxfId="6888" priority="995" stopIfTrue="1" operator="lessThan">
      <formula>-0.03</formula>
    </cfRule>
  </conditionalFormatting>
  <conditionalFormatting sqref="AL32:AN32">
    <cfRule type="cellIs" dxfId="6887" priority="992" operator="greaterThan">
      <formula>0.03</formula>
    </cfRule>
    <cfRule type="cellIs" dxfId="6886" priority="993" stopIfTrue="1" operator="lessThan">
      <formula>-0.03</formula>
    </cfRule>
  </conditionalFormatting>
  <conditionalFormatting sqref="AL38:AN38 AL35:AN36">
    <cfRule type="cellIs" dxfId="6885" priority="990" operator="greaterThan">
      <formula>0.03</formula>
    </cfRule>
    <cfRule type="cellIs" dxfId="6884" priority="991" stopIfTrue="1" operator="lessThan">
      <formula>-0.03</formula>
    </cfRule>
  </conditionalFormatting>
  <conditionalFormatting sqref="AL37:AN37">
    <cfRule type="cellIs" dxfId="6883" priority="988" operator="greaterThan">
      <formula>0.03</formula>
    </cfRule>
    <cfRule type="cellIs" dxfId="6882" priority="989" stopIfTrue="1" operator="lessThan">
      <formula>-0.03</formula>
    </cfRule>
  </conditionalFormatting>
  <conditionalFormatting sqref="AL43:AN43 AL40:AN41">
    <cfRule type="cellIs" dxfId="6881" priority="986" operator="greaterThan">
      <formula>0.03</formula>
    </cfRule>
    <cfRule type="cellIs" dxfId="6880" priority="987" stopIfTrue="1" operator="lessThan">
      <formula>-0.03</formula>
    </cfRule>
  </conditionalFormatting>
  <conditionalFormatting sqref="AL42:AN42">
    <cfRule type="cellIs" dxfId="6879" priority="984" operator="greaterThan">
      <formula>0.03</formula>
    </cfRule>
    <cfRule type="cellIs" dxfId="6878" priority="985" stopIfTrue="1" operator="lessThan">
      <formula>-0.03</formula>
    </cfRule>
  </conditionalFormatting>
  <conditionalFormatting sqref="AL48:AN48 AL45:AN46">
    <cfRule type="cellIs" dxfId="6877" priority="982" operator="greaterThan">
      <formula>0.03</formula>
    </cfRule>
    <cfRule type="cellIs" dxfId="6876" priority="983" stopIfTrue="1" operator="lessThan">
      <formula>-0.03</formula>
    </cfRule>
  </conditionalFormatting>
  <conditionalFormatting sqref="AL47:AN47">
    <cfRule type="cellIs" dxfId="6875" priority="980" operator="greaterThan">
      <formula>0.03</formula>
    </cfRule>
    <cfRule type="cellIs" dxfId="6874" priority="981" stopIfTrue="1" operator="lessThan">
      <formula>-0.03</formula>
    </cfRule>
  </conditionalFormatting>
  <conditionalFormatting sqref="AL53:AN53 AL50:AN51">
    <cfRule type="cellIs" dxfId="6873" priority="978" operator="greaterThan">
      <formula>0.03</formula>
    </cfRule>
    <cfRule type="cellIs" dxfId="6872" priority="979" stopIfTrue="1" operator="lessThan">
      <formula>-0.03</formula>
    </cfRule>
  </conditionalFormatting>
  <conditionalFormatting sqref="AL52:AN52">
    <cfRule type="cellIs" dxfId="6871" priority="976" operator="greaterThan">
      <formula>0.03</formula>
    </cfRule>
    <cfRule type="cellIs" dxfId="6870" priority="977" stopIfTrue="1" operator="lessThan">
      <formula>-0.03</formula>
    </cfRule>
  </conditionalFormatting>
  <conditionalFormatting sqref="AL58:AN58 AL55:AN56">
    <cfRule type="cellIs" dxfId="6869" priority="974" operator="greaterThan">
      <formula>0.03</formula>
    </cfRule>
    <cfRule type="cellIs" dxfId="6868" priority="975" stopIfTrue="1" operator="lessThan">
      <formula>-0.03</formula>
    </cfRule>
  </conditionalFormatting>
  <conditionalFormatting sqref="AL57:AN57">
    <cfRule type="cellIs" dxfId="6867" priority="972" operator="greaterThan">
      <formula>0.03</formula>
    </cfRule>
    <cfRule type="cellIs" dxfId="6866" priority="973" stopIfTrue="1" operator="lessThan">
      <formula>-0.03</formula>
    </cfRule>
  </conditionalFormatting>
  <conditionalFormatting sqref="AL63:AN63 AL60:AN61">
    <cfRule type="cellIs" dxfId="6865" priority="970" operator="greaterThan">
      <formula>0.03</formula>
    </cfRule>
    <cfRule type="cellIs" dxfId="6864" priority="971" stopIfTrue="1" operator="lessThan">
      <formula>-0.03</formula>
    </cfRule>
  </conditionalFormatting>
  <conditionalFormatting sqref="AL62:AN62">
    <cfRule type="cellIs" dxfId="6863" priority="968" operator="greaterThan">
      <formula>0.03</formula>
    </cfRule>
    <cfRule type="cellIs" dxfId="6862" priority="969" stopIfTrue="1" operator="lessThan">
      <formula>-0.03</formula>
    </cfRule>
  </conditionalFormatting>
  <conditionalFormatting sqref="AL68:AN68 AL65:AN66">
    <cfRule type="cellIs" dxfId="6861" priority="966" operator="greaterThan">
      <formula>0.03</formula>
    </cfRule>
    <cfRule type="cellIs" dxfId="6860" priority="967" stopIfTrue="1" operator="lessThan">
      <formula>-0.03</formula>
    </cfRule>
  </conditionalFormatting>
  <conditionalFormatting sqref="AL67:AN67">
    <cfRule type="cellIs" dxfId="6859" priority="964" operator="greaterThan">
      <formula>0.03</formula>
    </cfRule>
    <cfRule type="cellIs" dxfId="6858" priority="965" stopIfTrue="1" operator="lessThan">
      <formula>-0.03</formula>
    </cfRule>
  </conditionalFormatting>
  <conditionalFormatting sqref="AL73:AN73 AL70:AN71">
    <cfRule type="cellIs" dxfId="6857" priority="962" operator="greaterThan">
      <formula>0.03</formula>
    </cfRule>
    <cfRule type="cellIs" dxfId="6856" priority="963" stopIfTrue="1" operator="lessThan">
      <formula>-0.03</formula>
    </cfRule>
  </conditionalFormatting>
  <conditionalFormatting sqref="AL72:AN72">
    <cfRule type="cellIs" dxfId="6855" priority="960" operator="greaterThan">
      <formula>0.03</formula>
    </cfRule>
    <cfRule type="cellIs" dxfId="6854" priority="961" stopIfTrue="1" operator="lessThan">
      <formula>-0.03</formula>
    </cfRule>
  </conditionalFormatting>
  <conditionalFormatting sqref="AL78:AN78 AL75:AN76">
    <cfRule type="cellIs" dxfId="6853" priority="958" operator="greaterThan">
      <formula>0.03</formula>
    </cfRule>
    <cfRule type="cellIs" dxfId="6852" priority="959" stopIfTrue="1" operator="lessThan">
      <formula>-0.03</formula>
    </cfRule>
  </conditionalFormatting>
  <conditionalFormatting sqref="AL77:AN77">
    <cfRule type="cellIs" dxfId="6851" priority="956" operator="greaterThan">
      <formula>0.03</formula>
    </cfRule>
    <cfRule type="cellIs" dxfId="6850" priority="957" stopIfTrue="1" operator="lessThan">
      <formula>-0.03</formula>
    </cfRule>
  </conditionalFormatting>
  <conditionalFormatting sqref="AL83:AN83 AL80:AN81">
    <cfRule type="cellIs" dxfId="6849" priority="954" operator="greaterThan">
      <formula>0.03</formula>
    </cfRule>
    <cfRule type="cellIs" dxfId="6848" priority="955" stopIfTrue="1" operator="lessThan">
      <formula>-0.03</formula>
    </cfRule>
  </conditionalFormatting>
  <conditionalFormatting sqref="AL82:AN82">
    <cfRule type="cellIs" dxfId="6847" priority="952" operator="greaterThan">
      <formula>0.03</formula>
    </cfRule>
    <cfRule type="cellIs" dxfId="6846" priority="953" stopIfTrue="1" operator="lessThan">
      <formula>-0.03</formula>
    </cfRule>
  </conditionalFormatting>
  <conditionalFormatting sqref="AL88:AN88 AL85:AN86">
    <cfRule type="cellIs" dxfId="6845" priority="950" operator="greaterThan">
      <formula>0.03</formula>
    </cfRule>
    <cfRule type="cellIs" dxfId="6844" priority="951" stopIfTrue="1" operator="lessThan">
      <formula>-0.03</formula>
    </cfRule>
  </conditionalFormatting>
  <conditionalFormatting sqref="AL87:AN87">
    <cfRule type="cellIs" dxfId="6843" priority="948" operator="greaterThan">
      <formula>0.03</formula>
    </cfRule>
    <cfRule type="cellIs" dxfId="6842" priority="949" stopIfTrue="1" operator="lessThan">
      <formula>-0.03</formula>
    </cfRule>
  </conditionalFormatting>
  <conditionalFormatting sqref="AL93:AN93 AL90:AN91">
    <cfRule type="cellIs" dxfId="6841" priority="946" operator="greaterThan">
      <formula>0.03</formula>
    </cfRule>
    <cfRule type="cellIs" dxfId="6840" priority="947" stopIfTrue="1" operator="lessThan">
      <formula>-0.03</formula>
    </cfRule>
  </conditionalFormatting>
  <conditionalFormatting sqref="AL92:AN92">
    <cfRule type="cellIs" dxfId="6839" priority="944" operator="greaterThan">
      <formula>0.03</formula>
    </cfRule>
    <cfRule type="cellIs" dxfId="6838" priority="945" stopIfTrue="1" operator="lessThan">
      <formula>-0.03</formula>
    </cfRule>
  </conditionalFormatting>
  <conditionalFormatting sqref="AL98:AN98 AL95:AN96">
    <cfRule type="cellIs" dxfId="6837" priority="942" operator="greaterThan">
      <formula>0.03</formula>
    </cfRule>
    <cfRule type="cellIs" dxfId="6836" priority="943" stopIfTrue="1" operator="lessThan">
      <formula>-0.03</formula>
    </cfRule>
  </conditionalFormatting>
  <conditionalFormatting sqref="AL97:AN97">
    <cfRule type="cellIs" dxfId="6835" priority="940" operator="greaterThan">
      <formula>0.03</formula>
    </cfRule>
    <cfRule type="cellIs" dxfId="6834" priority="941" stopIfTrue="1" operator="lessThan">
      <formula>-0.03</formula>
    </cfRule>
  </conditionalFormatting>
  <conditionalFormatting sqref="AL103:AN103 AL100:AN101">
    <cfRule type="cellIs" dxfId="6833" priority="938" operator="greaterThan">
      <formula>0.03</formula>
    </cfRule>
    <cfRule type="cellIs" dxfId="6832" priority="939" stopIfTrue="1" operator="lessThan">
      <formula>-0.03</formula>
    </cfRule>
  </conditionalFormatting>
  <conditionalFormatting sqref="AL102:AN102">
    <cfRule type="cellIs" dxfId="6831" priority="936" operator="greaterThan">
      <formula>0.03</formula>
    </cfRule>
    <cfRule type="cellIs" dxfId="6830" priority="937" stopIfTrue="1" operator="lessThan">
      <formula>-0.03</formula>
    </cfRule>
  </conditionalFormatting>
  <conditionalFormatting sqref="AL108:AN108 AL105:AN106">
    <cfRule type="cellIs" dxfId="6829" priority="934" operator="greaterThan">
      <formula>0.03</formula>
    </cfRule>
    <cfRule type="cellIs" dxfId="6828" priority="935" stopIfTrue="1" operator="lessThan">
      <formula>-0.03</formula>
    </cfRule>
  </conditionalFormatting>
  <conditionalFormatting sqref="AL107:AN107">
    <cfRule type="cellIs" dxfId="6827" priority="932" operator="greaterThan">
      <formula>0.03</formula>
    </cfRule>
    <cfRule type="cellIs" dxfId="6826" priority="933" stopIfTrue="1" operator="lessThan">
      <formula>-0.03</formula>
    </cfRule>
  </conditionalFormatting>
  <conditionalFormatting sqref="AL113:AN113 AL110:AN111">
    <cfRule type="cellIs" dxfId="6825" priority="930" operator="greaterThan">
      <formula>0.03</formula>
    </cfRule>
    <cfRule type="cellIs" dxfId="6824" priority="931" stopIfTrue="1" operator="lessThan">
      <formula>-0.03</formula>
    </cfRule>
  </conditionalFormatting>
  <conditionalFormatting sqref="AL112:AN112">
    <cfRule type="cellIs" dxfId="6823" priority="928" operator="greaterThan">
      <formula>0.03</formula>
    </cfRule>
    <cfRule type="cellIs" dxfId="6822" priority="929" stopIfTrue="1" operator="lessThan">
      <formula>-0.03</formula>
    </cfRule>
  </conditionalFormatting>
  <conditionalFormatting sqref="AL118:AN118 AL115:AN116">
    <cfRule type="cellIs" dxfId="6821" priority="926" operator="greaterThan">
      <formula>0.03</formula>
    </cfRule>
    <cfRule type="cellIs" dxfId="6820" priority="927" stopIfTrue="1" operator="lessThan">
      <formula>-0.03</formula>
    </cfRule>
  </conditionalFormatting>
  <conditionalFormatting sqref="AL117:AN117">
    <cfRule type="cellIs" dxfId="6819" priority="924" operator="greaterThan">
      <formula>0.03</formula>
    </cfRule>
    <cfRule type="cellIs" dxfId="6818" priority="925" stopIfTrue="1" operator="lessThan">
      <formula>-0.03</formula>
    </cfRule>
  </conditionalFormatting>
  <conditionalFormatting sqref="AL123:AN123 AL120:AN121">
    <cfRule type="cellIs" dxfId="6817" priority="922" operator="greaterThan">
      <formula>0.03</formula>
    </cfRule>
    <cfRule type="cellIs" dxfId="6816" priority="923" stopIfTrue="1" operator="lessThan">
      <formula>-0.03</formula>
    </cfRule>
  </conditionalFormatting>
  <conditionalFormatting sqref="AL122:AN122">
    <cfRule type="cellIs" dxfId="6815" priority="920" operator="greaterThan">
      <formula>0.03</formula>
    </cfRule>
    <cfRule type="cellIs" dxfId="6814" priority="921" stopIfTrue="1" operator="lessThan">
      <formula>-0.03</formula>
    </cfRule>
  </conditionalFormatting>
  <conditionalFormatting sqref="AL128:AN128 AL125:AN126">
    <cfRule type="cellIs" dxfId="6813" priority="918" operator="greaterThan">
      <formula>0.03</formula>
    </cfRule>
    <cfRule type="cellIs" dxfId="6812" priority="919" stopIfTrue="1" operator="lessThan">
      <formula>-0.03</formula>
    </cfRule>
  </conditionalFormatting>
  <conditionalFormatting sqref="AL127:AN127">
    <cfRule type="cellIs" dxfId="6811" priority="916" operator="greaterThan">
      <formula>0.03</formula>
    </cfRule>
    <cfRule type="cellIs" dxfId="6810" priority="917" stopIfTrue="1" operator="lessThan">
      <formula>-0.03</formula>
    </cfRule>
  </conditionalFormatting>
  <conditionalFormatting sqref="AL130:AN132">
    <cfRule type="cellIs" dxfId="6809" priority="914" operator="greaterThan">
      <formula>0.03</formula>
    </cfRule>
    <cfRule type="cellIs" dxfId="6808" priority="915" stopIfTrue="1" operator="lessThan">
      <formula>-0.03</formula>
    </cfRule>
  </conditionalFormatting>
  <conditionalFormatting sqref="AR7:AS7">
    <cfRule type="cellIs" dxfId="6807" priority="912" operator="greaterThan">
      <formula>0.03</formula>
    </cfRule>
    <cfRule type="cellIs" dxfId="6806" priority="913" stopIfTrue="1" operator="lessThan">
      <formula>-0.03</formula>
    </cfRule>
  </conditionalFormatting>
  <conditionalFormatting sqref="AR156:AT156">
    <cfRule type="cellIs" dxfId="6805" priority="904" operator="greaterThan">
      <formula>0.03</formula>
    </cfRule>
    <cfRule type="cellIs" dxfId="6804" priority="905" stopIfTrue="1" operator="lessThan">
      <formula>-0.03</formula>
    </cfRule>
  </conditionalFormatting>
  <conditionalFormatting sqref="AR159:AT159">
    <cfRule type="cellIs" dxfId="6803" priority="902" operator="greaterThan">
      <formula>0.03</formula>
    </cfRule>
    <cfRule type="cellIs" dxfId="6802" priority="903" stopIfTrue="1" operator="lessThan">
      <formula>-0.03</formula>
    </cfRule>
  </conditionalFormatting>
  <conditionalFormatting sqref="AR161:AT161">
    <cfRule type="cellIs" dxfId="6801" priority="910" operator="greaterThan">
      <formula>0.03</formula>
    </cfRule>
    <cfRule type="cellIs" dxfId="6800" priority="911" stopIfTrue="1" operator="lessThan">
      <formula>-0.03</formula>
    </cfRule>
  </conditionalFormatting>
  <conditionalFormatting sqref="AR155:AT155 AR153:AT153">
    <cfRule type="cellIs" dxfId="6799" priority="906" operator="greaterThan">
      <formula>0.03</formula>
    </cfRule>
    <cfRule type="cellIs" dxfId="6798" priority="907" stopIfTrue="1" operator="lessThan">
      <formula>-0.03</formula>
    </cfRule>
  </conditionalFormatting>
  <conditionalFormatting sqref="AR157:AT158">
    <cfRule type="cellIs" dxfId="6797" priority="908" operator="greaterThan">
      <formula>0.03</formula>
    </cfRule>
    <cfRule type="cellIs" dxfId="6796" priority="909" stopIfTrue="1" operator="lessThan">
      <formula>-0.03</formula>
    </cfRule>
  </conditionalFormatting>
  <conditionalFormatting sqref="AR154:AT154">
    <cfRule type="cellIs" dxfId="6795" priority="900" operator="greaterThan">
      <formula>0.03</formula>
    </cfRule>
    <cfRule type="cellIs" dxfId="6794" priority="901" stopIfTrue="1" operator="lessThan">
      <formula>-0.03</formula>
    </cfRule>
  </conditionalFormatting>
  <conditionalFormatting sqref="AR3:AT3">
    <cfRule type="cellIs" dxfId="6793" priority="898" operator="greaterThan">
      <formula>0.03</formula>
    </cfRule>
    <cfRule type="cellIs" dxfId="6792" priority="899" stopIfTrue="1" operator="lessThan">
      <formula>-0.03</formula>
    </cfRule>
  </conditionalFormatting>
  <conditionalFormatting sqref="AR12:AS12">
    <cfRule type="cellIs" dxfId="6791" priority="896" operator="greaterThan">
      <formula>0.03</formula>
    </cfRule>
    <cfRule type="cellIs" dxfId="6790" priority="897" stopIfTrue="1" operator="lessThan">
      <formula>-0.03</formula>
    </cfRule>
  </conditionalFormatting>
  <conditionalFormatting sqref="AR8:AT8">
    <cfRule type="cellIs" dxfId="6789" priority="894" operator="greaterThan">
      <formula>0.03</formula>
    </cfRule>
    <cfRule type="cellIs" dxfId="6788" priority="895" stopIfTrue="1" operator="lessThan">
      <formula>-0.03</formula>
    </cfRule>
  </conditionalFormatting>
  <conditionalFormatting sqref="AR17:AS17">
    <cfRule type="cellIs" dxfId="6787" priority="892" operator="greaterThan">
      <formula>0.03</formula>
    </cfRule>
    <cfRule type="cellIs" dxfId="6786" priority="893" stopIfTrue="1" operator="lessThan">
      <formula>-0.03</formula>
    </cfRule>
  </conditionalFormatting>
  <conditionalFormatting sqref="AR13:AT13">
    <cfRule type="cellIs" dxfId="6785" priority="890" operator="greaterThan">
      <formula>0.03</formula>
    </cfRule>
    <cfRule type="cellIs" dxfId="6784" priority="891" stopIfTrue="1" operator="lessThan">
      <formula>-0.03</formula>
    </cfRule>
  </conditionalFormatting>
  <conditionalFormatting sqref="AR22:AS22">
    <cfRule type="cellIs" dxfId="6783" priority="888" operator="greaterThan">
      <formula>0.03</formula>
    </cfRule>
    <cfRule type="cellIs" dxfId="6782" priority="889" stopIfTrue="1" operator="lessThan">
      <formula>-0.03</formula>
    </cfRule>
  </conditionalFormatting>
  <conditionalFormatting sqref="AR18:AT18">
    <cfRule type="cellIs" dxfId="6781" priority="886" operator="greaterThan">
      <formula>0.03</formula>
    </cfRule>
    <cfRule type="cellIs" dxfId="6780" priority="887" stopIfTrue="1" operator="lessThan">
      <formula>-0.03</formula>
    </cfRule>
  </conditionalFormatting>
  <conditionalFormatting sqref="AR27:AS27">
    <cfRule type="cellIs" dxfId="6779" priority="884" operator="greaterThan">
      <formula>0.03</formula>
    </cfRule>
    <cfRule type="cellIs" dxfId="6778" priority="885" stopIfTrue="1" operator="lessThan">
      <formula>-0.03</formula>
    </cfRule>
  </conditionalFormatting>
  <conditionalFormatting sqref="AR23:AT23">
    <cfRule type="cellIs" dxfId="6777" priority="882" operator="greaterThan">
      <formula>0.03</formula>
    </cfRule>
    <cfRule type="cellIs" dxfId="6776" priority="883" stopIfTrue="1" operator="lessThan">
      <formula>-0.03</formula>
    </cfRule>
  </conditionalFormatting>
  <conditionalFormatting sqref="AR32:AS32">
    <cfRule type="cellIs" dxfId="6775" priority="880" operator="greaterThan">
      <formula>0.03</formula>
    </cfRule>
    <cfRule type="cellIs" dxfId="6774" priority="881" stopIfTrue="1" operator="lessThan">
      <formula>-0.03</formula>
    </cfRule>
  </conditionalFormatting>
  <conditionalFormatting sqref="AR28:AT28">
    <cfRule type="cellIs" dxfId="6773" priority="878" operator="greaterThan">
      <formula>0.03</formula>
    </cfRule>
    <cfRule type="cellIs" dxfId="6772" priority="879" stopIfTrue="1" operator="lessThan">
      <formula>-0.03</formula>
    </cfRule>
  </conditionalFormatting>
  <conditionalFormatting sqref="AR37:AS37">
    <cfRule type="cellIs" dxfId="6771" priority="876" operator="greaterThan">
      <formula>0.03</formula>
    </cfRule>
    <cfRule type="cellIs" dxfId="6770" priority="877" stopIfTrue="1" operator="lessThan">
      <formula>-0.03</formula>
    </cfRule>
  </conditionalFormatting>
  <conditionalFormatting sqref="AR33:AT33">
    <cfRule type="cellIs" dxfId="6769" priority="874" operator="greaterThan">
      <formula>0.03</formula>
    </cfRule>
    <cfRule type="cellIs" dxfId="6768" priority="875" stopIfTrue="1" operator="lessThan">
      <formula>-0.03</formula>
    </cfRule>
  </conditionalFormatting>
  <conditionalFormatting sqref="AR42:AS42">
    <cfRule type="cellIs" dxfId="6767" priority="872" operator="greaterThan">
      <formula>0.03</formula>
    </cfRule>
    <cfRule type="cellIs" dxfId="6766" priority="873" stopIfTrue="1" operator="lessThan">
      <formula>-0.03</formula>
    </cfRule>
  </conditionalFormatting>
  <conditionalFormatting sqref="AR38:AT38">
    <cfRule type="cellIs" dxfId="6765" priority="870" operator="greaterThan">
      <formula>0.03</formula>
    </cfRule>
    <cfRule type="cellIs" dxfId="6764" priority="871" stopIfTrue="1" operator="lessThan">
      <formula>-0.03</formula>
    </cfRule>
  </conditionalFormatting>
  <conditionalFormatting sqref="AR47:AS47">
    <cfRule type="cellIs" dxfId="6763" priority="868" operator="greaterThan">
      <formula>0.03</formula>
    </cfRule>
    <cfRule type="cellIs" dxfId="6762" priority="869" stopIfTrue="1" operator="lessThan">
      <formula>-0.03</formula>
    </cfRule>
  </conditionalFormatting>
  <conditionalFormatting sqref="AR43:AT43">
    <cfRule type="cellIs" dxfId="6761" priority="866" operator="greaterThan">
      <formula>0.03</formula>
    </cfRule>
    <cfRule type="cellIs" dxfId="6760" priority="867" stopIfTrue="1" operator="lessThan">
      <formula>-0.03</formula>
    </cfRule>
  </conditionalFormatting>
  <conditionalFormatting sqref="AR52:AS52">
    <cfRule type="cellIs" dxfId="6759" priority="864" operator="greaterThan">
      <formula>0.03</formula>
    </cfRule>
    <cfRule type="cellIs" dxfId="6758" priority="865" stopIfTrue="1" operator="lessThan">
      <formula>-0.03</formula>
    </cfRule>
  </conditionalFormatting>
  <conditionalFormatting sqref="AR48:AT48">
    <cfRule type="cellIs" dxfId="6757" priority="862" operator="greaterThan">
      <formula>0.03</formula>
    </cfRule>
    <cfRule type="cellIs" dxfId="6756" priority="863" stopIfTrue="1" operator="lessThan">
      <formula>-0.03</formula>
    </cfRule>
  </conditionalFormatting>
  <conditionalFormatting sqref="AR57:AS57">
    <cfRule type="cellIs" dxfId="6755" priority="860" operator="greaterThan">
      <formula>0.03</formula>
    </cfRule>
    <cfRule type="cellIs" dxfId="6754" priority="861" stopIfTrue="1" operator="lessThan">
      <formula>-0.03</formula>
    </cfRule>
  </conditionalFormatting>
  <conditionalFormatting sqref="AR53:AT53">
    <cfRule type="cellIs" dxfId="6753" priority="858" operator="greaterThan">
      <formula>0.03</formula>
    </cfRule>
    <cfRule type="cellIs" dxfId="6752" priority="859" stopIfTrue="1" operator="lessThan">
      <formula>-0.03</formula>
    </cfRule>
  </conditionalFormatting>
  <conditionalFormatting sqref="AR62:AS62">
    <cfRule type="cellIs" dxfId="6751" priority="856" operator="greaterThan">
      <formula>0.03</formula>
    </cfRule>
    <cfRule type="cellIs" dxfId="6750" priority="857" stopIfTrue="1" operator="lessThan">
      <formula>-0.03</formula>
    </cfRule>
  </conditionalFormatting>
  <conditionalFormatting sqref="AR58:AT58">
    <cfRule type="cellIs" dxfId="6749" priority="854" operator="greaterThan">
      <formula>0.03</formula>
    </cfRule>
    <cfRule type="cellIs" dxfId="6748" priority="855" stopIfTrue="1" operator="lessThan">
      <formula>-0.03</formula>
    </cfRule>
  </conditionalFormatting>
  <conditionalFormatting sqref="AR67:AS67">
    <cfRule type="cellIs" dxfId="6747" priority="852" operator="greaterThan">
      <formula>0.03</formula>
    </cfRule>
    <cfRule type="cellIs" dxfId="6746" priority="853" stopIfTrue="1" operator="lessThan">
      <formula>-0.03</formula>
    </cfRule>
  </conditionalFormatting>
  <conditionalFormatting sqref="AR63:AT63">
    <cfRule type="cellIs" dxfId="6745" priority="850" operator="greaterThan">
      <formula>0.03</formula>
    </cfRule>
    <cfRule type="cellIs" dxfId="6744" priority="851" stopIfTrue="1" operator="lessThan">
      <formula>-0.03</formula>
    </cfRule>
  </conditionalFormatting>
  <conditionalFormatting sqref="AR72:AS72">
    <cfRule type="cellIs" dxfId="6743" priority="848" operator="greaterThan">
      <formula>0.03</formula>
    </cfRule>
    <cfRule type="cellIs" dxfId="6742" priority="849" stopIfTrue="1" operator="lessThan">
      <formula>-0.03</formula>
    </cfRule>
  </conditionalFormatting>
  <conditionalFormatting sqref="AR68:AT68">
    <cfRule type="cellIs" dxfId="6741" priority="846" operator="greaterThan">
      <formula>0.03</formula>
    </cfRule>
    <cfRule type="cellIs" dxfId="6740" priority="847" stopIfTrue="1" operator="lessThan">
      <formula>-0.03</formula>
    </cfRule>
  </conditionalFormatting>
  <conditionalFormatting sqref="AR77:AS77">
    <cfRule type="cellIs" dxfId="6739" priority="844" operator="greaterThan">
      <formula>0.03</formula>
    </cfRule>
    <cfRule type="cellIs" dxfId="6738" priority="845" stopIfTrue="1" operator="lessThan">
      <formula>-0.03</formula>
    </cfRule>
  </conditionalFormatting>
  <conditionalFormatting sqref="AR73:AT73">
    <cfRule type="cellIs" dxfId="6737" priority="842" operator="greaterThan">
      <formula>0.03</formula>
    </cfRule>
    <cfRule type="cellIs" dxfId="6736" priority="843" stopIfTrue="1" operator="lessThan">
      <formula>-0.03</formula>
    </cfRule>
  </conditionalFormatting>
  <conditionalFormatting sqref="AR82:AS82">
    <cfRule type="cellIs" dxfId="6735" priority="840" operator="greaterThan">
      <formula>0.03</formula>
    </cfRule>
    <cfRule type="cellIs" dxfId="6734" priority="841" stopIfTrue="1" operator="lessThan">
      <formula>-0.03</formula>
    </cfRule>
  </conditionalFormatting>
  <conditionalFormatting sqref="AR78:AT78">
    <cfRule type="cellIs" dxfId="6733" priority="838" operator="greaterThan">
      <formula>0.03</formula>
    </cfRule>
    <cfRule type="cellIs" dxfId="6732" priority="839" stopIfTrue="1" operator="lessThan">
      <formula>-0.03</formula>
    </cfRule>
  </conditionalFormatting>
  <conditionalFormatting sqref="AR87:AS87">
    <cfRule type="cellIs" dxfId="6731" priority="836" operator="greaterThan">
      <formula>0.03</formula>
    </cfRule>
    <cfRule type="cellIs" dxfId="6730" priority="837" stopIfTrue="1" operator="lessThan">
      <formula>-0.03</formula>
    </cfRule>
  </conditionalFormatting>
  <conditionalFormatting sqref="AR83:AT83">
    <cfRule type="cellIs" dxfId="6729" priority="834" operator="greaterThan">
      <formula>0.03</formula>
    </cfRule>
    <cfRule type="cellIs" dxfId="6728" priority="835" stopIfTrue="1" operator="lessThan">
      <formula>-0.03</formula>
    </cfRule>
  </conditionalFormatting>
  <conditionalFormatting sqref="AR92:AS92">
    <cfRule type="cellIs" dxfId="6727" priority="832" operator="greaterThan">
      <formula>0.03</formula>
    </cfRule>
    <cfRule type="cellIs" dxfId="6726" priority="833" stopIfTrue="1" operator="lessThan">
      <formula>-0.03</formula>
    </cfRule>
  </conditionalFormatting>
  <conditionalFormatting sqref="AR88:AT88">
    <cfRule type="cellIs" dxfId="6725" priority="830" operator="greaterThan">
      <formula>0.03</formula>
    </cfRule>
    <cfRule type="cellIs" dxfId="6724" priority="831" stopIfTrue="1" operator="lessThan">
      <formula>-0.03</formula>
    </cfRule>
  </conditionalFormatting>
  <conditionalFormatting sqref="AR97:AS97">
    <cfRule type="cellIs" dxfId="6723" priority="828" operator="greaterThan">
      <formula>0.03</formula>
    </cfRule>
    <cfRule type="cellIs" dxfId="6722" priority="829" stopIfTrue="1" operator="lessThan">
      <formula>-0.03</formula>
    </cfRule>
  </conditionalFormatting>
  <conditionalFormatting sqref="AR93:AT93">
    <cfRule type="cellIs" dxfId="6721" priority="826" operator="greaterThan">
      <formula>0.03</formula>
    </cfRule>
    <cfRule type="cellIs" dxfId="6720" priority="827" stopIfTrue="1" operator="lessThan">
      <formula>-0.03</formula>
    </cfRule>
  </conditionalFormatting>
  <conditionalFormatting sqref="AR102:AS102">
    <cfRule type="cellIs" dxfId="6719" priority="824" operator="greaterThan">
      <formula>0.03</formula>
    </cfRule>
    <cfRule type="cellIs" dxfId="6718" priority="825" stopIfTrue="1" operator="lessThan">
      <formula>-0.03</formula>
    </cfRule>
  </conditionalFormatting>
  <conditionalFormatting sqref="AR98:AT98">
    <cfRule type="cellIs" dxfId="6717" priority="822" operator="greaterThan">
      <formula>0.03</formula>
    </cfRule>
    <cfRule type="cellIs" dxfId="6716" priority="823" stopIfTrue="1" operator="lessThan">
      <formula>-0.03</formula>
    </cfRule>
  </conditionalFormatting>
  <conditionalFormatting sqref="AR107:AS107">
    <cfRule type="cellIs" dxfId="6715" priority="820" operator="greaterThan">
      <formula>0.03</formula>
    </cfRule>
    <cfRule type="cellIs" dxfId="6714" priority="821" stopIfTrue="1" operator="lessThan">
      <formula>-0.03</formula>
    </cfRule>
  </conditionalFormatting>
  <conditionalFormatting sqref="AR103:AT103">
    <cfRule type="cellIs" dxfId="6713" priority="818" operator="greaterThan">
      <formula>0.03</formula>
    </cfRule>
    <cfRule type="cellIs" dxfId="6712" priority="819" stopIfTrue="1" operator="lessThan">
      <formula>-0.03</formula>
    </cfRule>
  </conditionalFormatting>
  <conditionalFormatting sqref="AR112:AS112">
    <cfRule type="cellIs" dxfId="6711" priority="816" operator="greaterThan">
      <formula>0.03</formula>
    </cfRule>
    <cfRule type="cellIs" dxfId="6710" priority="817" stopIfTrue="1" operator="lessThan">
      <formula>-0.03</formula>
    </cfRule>
  </conditionalFormatting>
  <conditionalFormatting sqref="AR108:AT108">
    <cfRule type="cellIs" dxfId="6709" priority="814" operator="greaterThan">
      <formula>0.03</formula>
    </cfRule>
    <cfRule type="cellIs" dxfId="6708" priority="815" stopIfTrue="1" operator="lessThan">
      <formula>-0.03</formula>
    </cfRule>
  </conditionalFormatting>
  <conditionalFormatting sqref="AR117:AS117">
    <cfRule type="cellIs" dxfId="6707" priority="812" operator="greaterThan">
      <formula>0.03</formula>
    </cfRule>
    <cfRule type="cellIs" dxfId="6706" priority="813" stopIfTrue="1" operator="lessThan">
      <formula>-0.03</formula>
    </cfRule>
  </conditionalFormatting>
  <conditionalFormatting sqref="AR113:AT113">
    <cfRule type="cellIs" dxfId="6705" priority="810" operator="greaterThan">
      <formula>0.03</formula>
    </cfRule>
    <cfRule type="cellIs" dxfId="6704" priority="811" stopIfTrue="1" operator="lessThan">
      <formula>-0.03</formula>
    </cfRule>
  </conditionalFormatting>
  <conditionalFormatting sqref="AR122:AS122">
    <cfRule type="cellIs" dxfId="6703" priority="808" operator="greaterThan">
      <formula>0.03</formula>
    </cfRule>
    <cfRule type="cellIs" dxfId="6702" priority="809" stopIfTrue="1" operator="lessThan">
      <formula>-0.03</formula>
    </cfRule>
  </conditionalFormatting>
  <conditionalFormatting sqref="AR118:AT118">
    <cfRule type="cellIs" dxfId="6701" priority="806" operator="greaterThan">
      <formula>0.03</formula>
    </cfRule>
    <cfRule type="cellIs" dxfId="6700" priority="807" stopIfTrue="1" operator="lessThan">
      <formula>-0.03</formula>
    </cfRule>
  </conditionalFormatting>
  <conditionalFormatting sqref="AR127:AS127">
    <cfRule type="cellIs" dxfId="6699" priority="804" operator="greaterThan">
      <formula>0.03</formula>
    </cfRule>
    <cfRule type="cellIs" dxfId="6698" priority="805" stopIfTrue="1" operator="lessThan">
      <formula>-0.03</formula>
    </cfRule>
  </conditionalFormatting>
  <conditionalFormatting sqref="AR123:AT123">
    <cfRule type="cellIs" dxfId="6697" priority="802" operator="greaterThan">
      <formula>0.03</formula>
    </cfRule>
    <cfRule type="cellIs" dxfId="6696" priority="803" stopIfTrue="1" operator="lessThan">
      <formula>-0.03</formula>
    </cfRule>
  </conditionalFormatting>
  <conditionalFormatting sqref="AR132:AS132">
    <cfRule type="cellIs" dxfId="6695" priority="800" operator="greaterThan">
      <formula>0.03</formula>
    </cfRule>
    <cfRule type="cellIs" dxfId="6694" priority="801" stopIfTrue="1" operator="lessThan">
      <formula>-0.03</formula>
    </cfRule>
  </conditionalFormatting>
  <conditionalFormatting sqref="AR128:AT128">
    <cfRule type="cellIs" dxfId="6693" priority="798" operator="greaterThan">
      <formula>0.03</formula>
    </cfRule>
    <cfRule type="cellIs" dxfId="6692" priority="799" stopIfTrue="1" operator="lessThan">
      <formula>-0.03</formula>
    </cfRule>
  </conditionalFormatting>
  <conditionalFormatting sqref="AO133:AQ133">
    <cfRule type="cellIs" dxfId="6691" priority="796" operator="greaterThan">
      <formula>0.03</formula>
    </cfRule>
    <cfRule type="cellIs" dxfId="6690" priority="797" stopIfTrue="1" operator="lessThan">
      <formula>-0.03</formula>
    </cfRule>
  </conditionalFormatting>
  <conditionalFormatting sqref="AO137:AQ137">
    <cfRule type="cellIs" dxfId="6689" priority="790" operator="greaterThan">
      <formula>0.03</formula>
    </cfRule>
    <cfRule type="cellIs" dxfId="6688" priority="791" stopIfTrue="1" operator="lessThan">
      <formula>-0.03</formula>
    </cfRule>
  </conditionalFormatting>
  <conditionalFormatting sqref="AI137:AK137 AI133:AK135">
    <cfRule type="cellIs" dxfId="6687" priority="788" operator="greaterThan">
      <formula>0.03</formula>
    </cfRule>
    <cfRule type="cellIs" dxfId="6686" priority="789" stopIfTrue="1" operator="lessThan">
      <formula>-0.03</formula>
    </cfRule>
  </conditionalFormatting>
  <conditionalFormatting sqref="AU137:AV137">
    <cfRule type="cellIs" dxfId="6685" priority="792" operator="greaterThan">
      <formula>0.03</formula>
    </cfRule>
    <cfRule type="cellIs" dxfId="6684" priority="793" stopIfTrue="1" operator="lessThan">
      <formula>-0.03</formula>
    </cfRule>
  </conditionalFormatting>
  <conditionalFormatting sqref="AO138:AQ138 AO135:AQ136">
    <cfRule type="cellIs" dxfId="6683" priority="794" operator="greaterThan">
      <formula>0.03</formula>
    </cfRule>
    <cfRule type="cellIs" dxfId="6682" priority="795" stopIfTrue="1" operator="lessThan">
      <formula>-0.03</formula>
    </cfRule>
  </conditionalFormatting>
  <conditionalFormatting sqref="AI136:AK136">
    <cfRule type="cellIs" dxfId="6681" priority="786" operator="greaterThan">
      <formula>0.03</formula>
    </cfRule>
    <cfRule type="cellIs" dxfId="6680" priority="787" stopIfTrue="1" operator="lessThan">
      <formula>-0.03</formula>
    </cfRule>
  </conditionalFormatting>
  <conditionalFormatting sqref="AU133:AW133">
    <cfRule type="cellIs" dxfId="6679" priority="784" operator="greaterThan">
      <formula>0.03</formula>
    </cfRule>
    <cfRule type="cellIs" dxfId="6678" priority="785" stopIfTrue="1" operator="lessThan">
      <formula>-0.03</formula>
    </cfRule>
  </conditionalFormatting>
  <conditionalFormatting sqref="AO143:AQ143 AO140:AQ141">
    <cfRule type="cellIs" dxfId="6677" priority="782" operator="greaterThan">
      <formula>0.03</formula>
    </cfRule>
    <cfRule type="cellIs" dxfId="6676" priority="783" stopIfTrue="1" operator="lessThan">
      <formula>-0.03</formula>
    </cfRule>
  </conditionalFormatting>
  <conditionalFormatting sqref="AU142:AV142">
    <cfRule type="cellIs" dxfId="6675" priority="780" operator="greaterThan">
      <formula>0.03</formula>
    </cfRule>
    <cfRule type="cellIs" dxfId="6674" priority="781" stopIfTrue="1" operator="lessThan">
      <formula>-0.03</formula>
    </cfRule>
  </conditionalFormatting>
  <conditionalFormatting sqref="AO142:AQ142">
    <cfRule type="cellIs" dxfId="6673" priority="778" operator="greaterThan">
      <formula>0.03</formula>
    </cfRule>
    <cfRule type="cellIs" dxfId="6672" priority="779" stopIfTrue="1" operator="lessThan">
      <formula>-0.03</formula>
    </cfRule>
  </conditionalFormatting>
  <conditionalFormatting sqref="AI142:AK142 AI138:AK140">
    <cfRule type="cellIs" dxfId="6671" priority="776" operator="greaterThan">
      <formula>0.03</formula>
    </cfRule>
    <cfRule type="cellIs" dxfId="6670" priority="777" stopIfTrue="1" operator="lessThan">
      <formula>-0.03</formula>
    </cfRule>
  </conditionalFormatting>
  <conditionalFormatting sqref="AI141:AK141">
    <cfRule type="cellIs" dxfId="6669" priority="774" operator="greaterThan">
      <formula>0.03</formula>
    </cfRule>
    <cfRule type="cellIs" dxfId="6668" priority="775" stopIfTrue="1" operator="lessThan">
      <formula>-0.03</formula>
    </cfRule>
  </conditionalFormatting>
  <conditionalFormatting sqref="AU138:AW138">
    <cfRule type="cellIs" dxfId="6667" priority="772" operator="greaterThan">
      <formula>0.03</formula>
    </cfRule>
    <cfRule type="cellIs" dxfId="6666" priority="773" stopIfTrue="1" operator="lessThan">
      <formula>-0.03</formula>
    </cfRule>
  </conditionalFormatting>
  <conditionalFormatting sqref="AO148:AQ148 AO145:AQ146">
    <cfRule type="cellIs" dxfId="6665" priority="770" operator="greaterThan">
      <formula>0.03</formula>
    </cfRule>
    <cfRule type="cellIs" dxfId="6664" priority="771" stopIfTrue="1" operator="lessThan">
      <formula>-0.03</formula>
    </cfRule>
  </conditionalFormatting>
  <conditionalFormatting sqref="AU147:AV147">
    <cfRule type="cellIs" dxfId="6663" priority="768" operator="greaterThan">
      <formula>0.03</formula>
    </cfRule>
    <cfRule type="cellIs" dxfId="6662" priority="769" stopIfTrue="1" operator="lessThan">
      <formula>-0.03</formula>
    </cfRule>
  </conditionalFormatting>
  <conditionalFormatting sqref="AO147:AQ147">
    <cfRule type="cellIs" dxfId="6661" priority="766" operator="greaterThan">
      <formula>0.03</formula>
    </cfRule>
    <cfRule type="cellIs" dxfId="6660" priority="767" stopIfTrue="1" operator="lessThan">
      <formula>-0.03</formula>
    </cfRule>
  </conditionalFormatting>
  <conditionalFormatting sqref="AI147:AK147 AI143:AK145">
    <cfRule type="cellIs" dxfId="6659" priority="764" operator="greaterThan">
      <formula>0.03</formula>
    </cfRule>
    <cfRule type="cellIs" dxfId="6658" priority="765" stopIfTrue="1" operator="lessThan">
      <formula>-0.03</formula>
    </cfRule>
  </conditionalFormatting>
  <conditionalFormatting sqref="AI146:AK146">
    <cfRule type="cellIs" dxfId="6657" priority="762" operator="greaterThan">
      <formula>0.03</formula>
    </cfRule>
    <cfRule type="cellIs" dxfId="6656" priority="763" stopIfTrue="1" operator="lessThan">
      <formula>-0.03</formula>
    </cfRule>
  </conditionalFormatting>
  <conditionalFormatting sqref="AU143:AW143">
    <cfRule type="cellIs" dxfId="6655" priority="760" operator="greaterThan">
      <formula>0.03</formula>
    </cfRule>
    <cfRule type="cellIs" dxfId="6654" priority="761" stopIfTrue="1" operator="lessThan">
      <formula>-0.03</formula>
    </cfRule>
  </conditionalFormatting>
  <conditionalFormatting sqref="AO150:AQ152">
    <cfRule type="cellIs" dxfId="6653" priority="758" operator="greaterThan">
      <formula>0.03</formula>
    </cfRule>
    <cfRule type="cellIs" dxfId="6652" priority="759" stopIfTrue="1" operator="lessThan">
      <formula>-0.03</formula>
    </cfRule>
  </conditionalFormatting>
  <conditionalFormatting sqref="AU152:AV152">
    <cfRule type="cellIs" dxfId="6651" priority="756" operator="greaterThan">
      <formula>0.03</formula>
    </cfRule>
    <cfRule type="cellIs" dxfId="6650" priority="757" stopIfTrue="1" operator="lessThan">
      <formula>-0.03</formula>
    </cfRule>
  </conditionalFormatting>
  <conditionalFormatting sqref="AI152:AK152 AI148:AK150">
    <cfRule type="cellIs" dxfId="6649" priority="754" operator="greaterThan">
      <formula>0.03</formula>
    </cfRule>
    <cfRule type="cellIs" dxfId="6648" priority="755" stopIfTrue="1" operator="lessThan">
      <formula>-0.03</formula>
    </cfRule>
  </conditionalFormatting>
  <conditionalFormatting sqref="AI151:AK151">
    <cfRule type="cellIs" dxfId="6647" priority="752" operator="greaterThan">
      <formula>0.03</formula>
    </cfRule>
    <cfRule type="cellIs" dxfId="6646" priority="753" stopIfTrue="1" operator="lessThan">
      <formula>-0.03</formula>
    </cfRule>
  </conditionalFormatting>
  <conditionalFormatting sqref="AU148:AW148">
    <cfRule type="cellIs" dxfId="6645" priority="750" operator="greaterThan">
      <formula>0.03</formula>
    </cfRule>
    <cfRule type="cellIs" dxfId="6644" priority="751" stopIfTrue="1" operator="lessThan">
      <formula>-0.03</formula>
    </cfRule>
  </conditionalFormatting>
  <conditionalFormatting sqref="AF137:AH137 AF133:AH135">
    <cfRule type="cellIs" dxfId="6643" priority="748" operator="greaterThan">
      <formula>0.03</formula>
    </cfRule>
    <cfRule type="cellIs" dxfId="6642" priority="749" stopIfTrue="1" operator="lessThan">
      <formula>-0.03</formula>
    </cfRule>
  </conditionalFormatting>
  <conditionalFormatting sqref="AF136:AH136">
    <cfRule type="cellIs" dxfId="6641" priority="746" operator="greaterThan">
      <formula>0.03</formula>
    </cfRule>
    <cfRule type="cellIs" dxfId="6640" priority="747" stopIfTrue="1" operator="lessThan">
      <formula>-0.03</formula>
    </cfRule>
  </conditionalFormatting>
  <conditionalFormatting sqref="AF142:AH142 AF138:AH140">
    <cfRule type="cellIs" dxfId="6639" priority="744" operator="greaterThan">
      <formula>0.03</formula>
    </cfRule>
    <cfRule type="cellIs" dxfId="6638" priority="745" stopIfTrue="1" operator="lessThan">
      <formula>-0.03</formula>
    </cfRule>
  </conditionalFormatting>
  <conditionalFormatting sqref="AF141:AH141">
    <cfRule type="cellIs" dxfId="6637" priority="742" operator="greaterThan">
      <formula>0.03</formula>
    </cfRule>
    <cfRule type="cellIs" dxfId="6636" priority="743" stopIfTrue="1" operator="lessThan">
      <formula>-0.03</formula>
    </cfRule>
  </conditionalFormatting>
  <conditionalFormatting sqref="AF147:AH147 AF143:AH145">
    <cfRule type="cellIs" dxfId="6635" priority="740" operator="greaterThan">
      <formula>0.03</formula>
    </cfRule>
    <cfRule type="cellIs" dxfId="6634" priority="741" stopIfTrue="1" operator="lessThan">
      <formula>-0.03</formula>
    </cfRule>
  </conditionalFormatting>
  <conditionalFormatting sqref="AF146:AH146">
    <cfRule type="cellIs" dxfId="6633" priority="738" operator="greaterThan">
      <formula>0.03</formula>
    </cfRule>
    <cfRule type="cellIs" dxfId="6632" priority="739" stopIfTrue="1" operator="lessThan">
      <formula>-0.03</formula>
    </cfRule>
  </conditionalFormatting>
  <conditionalFormatting sqref="AF152:AH152 AF148:AH150">
    <cfRule type="cellIs" dxfId="6631" priority="736" operator="greaterThan">
      <formula>0.03</formula>
    </cfRule>
    <cfRule type="cellIs" dxfId="6630" priority="737" stopIfTrue="1" operator="lessThan">
      <formula>-0.03</formula>
    </cfRule>
  </conditionalFormatting>
  <conditionalFormatting sqref="AF151:AH151">
    <cfRule type="cellIs" dxfId="6629" priority="734" operator="greaterThan">
      <formula>0.03</formula>
    </cfRule>
    <cfRule type="cellIs" dxfId="6628" priority="735" stopIfTrue="1" operator="lessThan">
      <formula>-0.03</formula>
    </cfRule>
  </conditionalFormatting>
  <conditionalFormatting sqref="AL133:AN133">
    <cfRule type="cellIs" dxfId="6627" priority="732" operator="greaterThan">
      <formula>0.03</formula>
    </cfRule>
    <cfRule type="cellIs" dxfId="6626" priority="733" stopIfTrue="1" operator="lessThan">
      <formula>-0.03</formula>
    </cfRule>
  </conditionalFormatting>
  <conditionalFormatting sqref="AL138:AN138 AL135:AN136">
    <cfRule type="cellIs" dxfId="6625" priority="730" operator="greaterThan">
      <formula>0.03</formula>
    </cfRule>
    <cfRule type="cellIs" dxfId="6624" priority="731" stopIfTrue="1" operator="lessThan">
      <formula>-0.03</formula>
    </cfRule>
  </conditionalFormatting>
  <conditionalFormatting sqref="AL137:AN137">
    <cfRule type="cellIs" dxfId="6623" priority="728" operator="greaterThan">
      <formula>0.03</formula>
    </cfRule>
    <cfRule type="cellIs" dxfId="6622" priority="729" stopIfTrue="1" operator="lessThan">
      <formula>-0.03</formula>
    </cfRule>
  </conditionalFormatting>
  <conditionalFormatting sqref="AL143:AN143 AL140:AN141">
    <cfRule type="cellIs" dxfId="6621" priority="726" operator="greaterThan">
      <formula>0.03</formula>
    </cfRule>
    <cfRule type="cellIs" dxfId="6620" priority="727" stopIfTrue="1" operator="lessThan">
      <formula>-0.03</formula>
    </cfRule>
  </conditionalFormatting>
  <conditionalFormatting sqref="AL142:AN142">
    <cfRule type="cellIs" dxfId="6619" priority="724" operator="greaterThan">
      <formula>0.03</formula>
    </cfRule>
    <cfRule type="cellIs" dxfId="6618" priority="725" stopIfTrue="1" operator="lessThan">
      <formula>-0.03</formula>
    </cfRule>
  </conditionalFormatting>
  <conditionalFormatting sqref="AL148:AN148 AL145:AN146">
    <cfRule type="cellIs" dxfId="6617" priority="722" operator="greaterThan">
      <formula>0.03</formula>
    </cfRule>
    <cfRule type="cellIs" dxfId="6616" priority="723" stopIfTrue="1" operator="lessThan">
      <formula>-0.03</formula>
    </cfRule>
  </conditionalFormatting>
  <conditionalFormatting sqref="AL147:AN147">
    <cfRule type="cellIs" dxfId="6615" priority="720" operator="greaterThan">
      <formula>0.03</formula>
    </cfRule>
    <cfRule type="cellIs" dxfId="6614" priority="721" stopIfTrue="1" operator="lessThan">
      <formula>-0.03</formula>
    </cfRule>
  </conditionalFormatting>
  <conditionalFormatting sqref="AL150:AN152">
    <cfRule type="cellIs" dxfId="6613" priority="718" operator="greaterThan">
      <formula>0.03</formula>
    </cfRule>
    <cfRule type="cellIs" dxfId="6612" priority="719" stopIfTrue="1" operator="lessThan">
      <formula>-0.03</formula>
    </cfRule>
  </conditionalFormatting>
  <conditionalFormatting sqref="AR137:AS137">
    <cfRule type="cellIs" dxfId="6611" priority="716" operator="greaterThan">
      <formula>0.03</formula>
    </cfRule>
    <cfRule type="cellIs" dxfId="6610" priority="717" stopIfTrue="1" operator="lessThan">
      <formula>-0.03</formula>
    </cfRule>
  </conditionalFormatting>
  <conditionalFormatting sqref="AR133:AT133">
    <cfRule type="cellIs" dxfId="6609" priority="714" operator="greaterThan">
      <formula>0.03</formula>
    </cfRule>
    <cfRule type="cellIs" dxfId="6608" priority="715" stopIfTrue="1" operator="lessThan">
      <formula>-0.03</formula>
    </cfRule>
  </conditionalFormatting>
  <conditionalFormatting sqref="AR142:AS142">
    <cfRule type="cellIs" dxfId="6607" priority="712" operator="greaterThan">
      <formula>0.03</formula>
    </cfRule>
    <cfRule type="cellIs" dxfId="6606" priority="713" stopIfTrue="1" operator="lessThan">
      <formula>-0.03</formula>
    </cfRule>
  </conditionalFormatting>
  <conditionalFormatting sqref="AR138:AT138">
    <cfRule type="cellIs" dxfId="6605" priority="710" operator="greaterThan">
      <formula>0.03</formula>
    </cfRule>
    <cfRule type="cellIs" dxfId="6604" priority="711" stopIfTrue="1" operator="lessThan">
      <formula>-0.03</formula>
    </cfRule>
  </conditionalFormatting>
  <conditionalFormatting sqref="AR147:AS147">
    <cfRule type="cellIs" dxfId="6603" priority="708" operator="greaterThan">
      <formula>0.03</formula>
    </cfRule>
    <cfRule type="cellIs" dxfId="6602" priority="709" stopIfTrue="1" operator="lessThan">
      <formula>-0.03</formula>
    </cfRule>
  </conditionalFormatting>
  <conditionalFormatting sqref="AR143:AT143">
    <cfRule type="cellIs" dxfId="6601" priority="706" operator="greaterThan">
      <formula>0.03</formula>
    </cfRule>
    <cfRule type="cellIs" dxfId="6600" priority="707" stopIfTrue="1" operator="lessThan">
      <formula>-0.03</formula>
    </cfRule>
  </conditionalFormatting>
  <conditionalFormatting sqref="AR152:AS152">
    <cfRule type="cellIs" dxfId="6599" priority="704" operator="greaterThan">
      <formula>0.03</formula>
    </cfRule>
    <cfRule type="cellIs" dxfId="6598" priority="705" stopIfTrue="1" operator="lessThan">
      <formula>-0.03</formula>
    </cfRule>
  </conditionalFormatting>
  <conditionalFormatting sqref="AR148:AT148">
    <cfRule type="cellIs" dxfId="6597" priority="702" operator="greaterThan">
      <formula>0.03</formula>
    </cfRule>
    <cfRule type="cellIs" dxfId="6596" priority="703" stopIfTrue="1" operator="lessThan">
      <formula>-0.03</formula>
    </cfRule>
  </conditionalFormatting>
  <conditionalFormatting sqref="AO19:AQ19">
    <cfRule type="cellIs" dxfId="6595" priority="582" operator="greaterThan">
      <formula>0.03</formula>
    </cfRule>
    <cfRule type="cellIs" dxfId="6594" priority="583" stopIfTrue="1" operator="lessThan">
      <formula>-0.03</formula>
    </cfRule>
  </conditionalFormatting>
  <conditionalFormatting sqref="AF160:AH160">
    <cfRule type="cellIs" dxfId="6593" priority="700" operator="greaterThan">
      <formula>0.03</formula>
    </cfRule>
    <cfRule type="cellIs" dxfId="6592" priority="701" stopIfTrue="1" operator="lessThan">
      <formula>-0.03</formula>
    </cfRule>
  </conditionalFormatting>
  <conditionalFormatting sqref="AI160:AK160">
    <cfRule type="cellIs" dxfId="6591" priority="698" operator="greaterThan">
      <formula>0.03</formula>
    </cfRule>
    <cfRule type="cellIs" dxfId="6590" priority="699" stopIfTrue="1" operator="lessThan">
      <formula>-0.03</formula>
    </cfRule>
  </conditionalFormatting>
  <conditionalFormatting sqref="AL160:AN160">
    <cfRule type="cellIs" dxfId="6589" priority="696" operator="greaterThan">
      <formula>0.03</formula>
    </cfRule>
    <cfRule type="cellIs" dxfId="6588" priority="697" stopIfTrue="1" operator="lessThan">
      <formula>-0.03</formula>
    </cfRule>
  </conditionalFormatting>
  <conditionalFormatting sqref="AO160:AQ160">
    <cfRule type="cellIs" dxfId="6587" priority="694" operator="greaterThan">
      <formula>0.03</formula>
    </cfRule>
    <cfRule type="cellIs" dxfId="6586" priority="695" stopIfTrue="1" operator="lessThan">
      <formula>-0.03</formula>
    </cfRule>
  </conditionalFormatting>
  <conditionalFormatting sqref="AR160:AT160">
    <cfRule type="cellIs" dxfId="6585" priority="692" operator="greaterThan">
      <formula>0.03</formula>
    </cfRule>
    <cfRule type="cellIs" dxfId="6584" priority="693" stopIfTrue="1" operator="lessThan">
      <formula>-0.03</formula>
    </cfRule>
  </conditionalFormatting>
  <conditionalFormatting sqref="AO4:AQ4">
    <cfRule type="cellIs" dxfId="6583" priority="570" operator="greaterThan">
      <formula>0.03</formula>
    </cfRule>
    <cfRule type="cellIs" dxfId="6582" priority="571" stopIfTrue="1" operator="lessThan">
      <formula>-0.03</formula>
    </cfRule>
  </conditionalFormatting>
  <conditionalFormatting sqref="AU160:AW160">
    <cfRule type="cellIs" dxfId="6581" priority="690" operator="greaterThan">
      <formula>0.03</formula>
    </cfRule>
    <cfRule type="cellIs" dxfId="6580" priority="691" stopIfTrue="1" operator="lessThan">
      <formula>-0.03</formula>
    </cfRule>
  </conditionalFormatting>
  <conditionalFormatting sqref="AL29:AN29">
    <cfRule type="cellIs" dxfId="6579" priority="592" operator="greaterThan">
      <formula>0.03</formula>
    </cfRule>
    <cfRule type="cellIs" dxfId="6578" priority="593" stopIfTrue="1" operator="lessThan">
      <formula>-0.03</formula>
    </cfRule>
  </conditionalFormatting>
  <conditionalFormatting sqref="AO59:AQ59">
    <cfRule type="cellIs" dxfId="6577" priority="614" operator="greaterThan">
      <formula>0.03</formula>
    </cfRule>
    <cfRule type="cellIs" dxfId="6576" priority="615" stopIfTrue="1" operator="lessThan">
      <formula>-0.03</formula>
    </cfRule>
  </conditionalFormatting>
  <conditionalFormatting sqref="AO49:AQ49">
    <cfRule type="cellIs" dxfId="6575" priority="606" operator="greaterThan">
      <formula>0.03</formula>
    </cfRule>
    <cfRule type="cellIs" dxfId="6574" priority="607" stopIfTrue="1" operator="lessThan">
      <formula>-0.03</formula>
    </cfRule>
  </conditionalFormatting>
  <conditionalFormatting sqref="AO39:AQ39">
    <cfRule type="cellIs" dxfId="6573" priority="598" operator="greaterThan">
      <formula>0.03</formula>
    </cfRule>
    <cfRule type="cellIs" dxfId="6572" priority="599" stopIfTrue="1" operator="lessThan">
      <formula>-0.03</formula>
    </cfRule>
  </conditionalFormatting>
  <conditionalFormatting sqref="AL49:AN49">
    <cfRule type="cellIs" dxfId="6571" priority="608" operator="greaterThan">
      <formula>0.03</formula>
    </cfRule>
    <cfRule type="cellIs" dxfId="6570" priority="609" stopIfTrue="1" operator="lessThan">
      <formula>-0.03</formula>
    </cfRule>
  </conditionalFormatting>
  <conditionalFormatting sqref="AL134:AN134">
    <cfRule type="cellIs" dxfId="6569" priority="688" operator="greaterThan">
      <formula>0.03</formula>
    </cfRule>
    <cfRule type="cellIs" dxfId="6568" priority="689" stopIfTrue="1" operator="lessThan">
      <formula>-0.03</formula>
    </cfRule>
  </conditionalFormatting>
  <conditionalFormatting sqref="AO134:AQ134">
    <cfRule type="cellIs" dxfId="6567" priority="686" operator="greaterThan">
      <formula>0.03</formula>
    </cfRule>
    <cfRule type="cellIs" dxfId="6566" priority="687" stopIfTrue="1" operator="lessThan">
      <formula>-0.03</formula>
    </cfRule>
  </conditionalFormatting>
  <conditionalFormatting sqref="AL24:AN24">
    <cfRule type="cellIs" dxfId="6565" priority="588" operator="greaterThan">
      <formula>0.03</formula>
    </cfRule>
    <cfRule type="cellIs" dxfId="6564" priority="589" stopIfTrue="1" operator="lessThan">
      <formula>-0.03</formula>
    </cfRule>
  </conditionalFormatting>
  <conditionalFormatting sqref="AO24:AQ24">
    <cfRule type="cellIs" dxfId="6563" priority="586" operator="greaterThan">
      <formula>0.03</formula>
    </cfRule>
    <cfRule type="cellIs" dxfId="6562" priority="587" stopIfTrue="1" operator="lessThan">
      <formula>-0.03</formula>
    </cfRule>
  </conditionalFormatting>
  <conditionalFormatting sqref="AL14:AN14">
    <cfRule type="cellIs" dxfId="6561" priority="580" operator="greaterThan">
      <formula>0.03</formula>
    </cfRule>
    <cfRule type="cellIs" dxfId="6560" priority="581" stopIfTrue="1" operator="lessThan">
      <formula>-0.03</formula>
    </cfRule>
  </conditionalFormatting>
  <conditionalFormatting sqref="AO14:AQ14">
    <cfRule type="cellIs" dxfId="6559" priority="578" operator="greaterThan">
      <formula>0.03</formula>
    </cfRule>
    <cfRule type="cellIs" dxfId="6558" priority="579" stopIfTrue="1" operator="lessThan">
      <formula>-0.03</formula>
    </cfRule>
  </conditionalFormatting>
  <conditionalFormatting sqref="AL149:AN149">
    <cfRule type="cellIs" dxfId="6557" priority="684" operator="greaterThan">
      <formula>0.03</formula>
    </cfRule>
    <cfRule type="cellIs" dxfId="6556" priority="685" stopIfTrue="1" operator="lessThan">
      <formula>-0.03</formula>
    </cfRule>
  </conditionalFormatting>
  <conditionalFormatting sqref="AO149:AQ149">
    <cfRule type="cellIs" dxfId="6555" priority="682" operator="greaterThan">
      <formula>0.03</formula>
    </cfRule>
    <cfRule type="cellIs" dxfId="6554" priority="683" stopIfTrue="1" operator="lessThan">
      <formula>-0.03</formula>
    </cfRule>
  </conditionalFormatting>
  <conditionalFormatting sqref="AL144:AN144">
    <cfRule type="cellIs" dxfId="6553" priority="680" operator="greaterThan">
      <formula>0.03</formula>
    </cfRule>
    <cfRule type="cellIs" dxfId="6552" priority="681" stopIfTrue="1" operator="lessThan">
      <formula>-0.03</formula>
    </cfRule>
  </conditionalFormatting>
  <conditionalFormatting sqref="AO144:AQ144">
    <cfRule type="cellIs" dxfId="6551" priority="678" operator="greaterThan">
      <formula>0.03</formula>
    </cfRule>
    <cfRule type="cellIs" dxfId="6550" priority="679" stopIfTrue="1" operator="lessThan">
      <formula>-0.03</formula>
    </cfRule>
  </conditionalFormatting>
  <conditionalFormatting sqref="AL139:AN139">
    <cfRule type="cellIs" dxfId="6549" priority="676" operator="greaterThan">
      <formula>0.03</formula>
    </cfRule>
    <cfRule type="cellIs" dxfId="6548" priority="677" stopIfTrue="1" operator="lessThan">
      <formula>-0.03</formula>
    </cfRule>
  </conditionalFormatting>
  <conditionalFormatting sqref="AO139:AQ139">
    <cfRule type="cellIs" dxfId="6547" priority="674" operator="greaterThan">
      <formula>0.03</formula>
    </cfRule>
    <cfRule type="cellIs" dxfId="6546" priority="675" stopIfTrue="1" operator="lessThan">
      <formula>-0.03</formula>
    </cfRule>
  </conditionalFormatting>
  <conditionalFormatting sqref="AL129:AN129">
    <cfRule type="cellIs" dxfId="6545" priority="672" operator="greaterThan">
      <formula>0.03</formula>
    </cfRule>
    <cfRule type="cellIs" dxfId="6544" priority="673" stopIfTrue="1" operator="lessThan">
      <formula>-0.03</formula>
    </cfRule>
  </conditionalFormatting>
  <conditionalFormatting sqref="AO129:AQ129">
    <cfRule type="cellIs" dxfId="6543" priority="670" operator="greaterThan">
      <formula>0.03</formula>
    </cfRule>
    <cfRule type="cellIs" dxfId="6542" priority="671" stopIfTrue="1" operator="lessThan">
      <formula>-0.03</formula>
    </cfRule>
  </conditionalFormatting>
  <conditionalFormatting sqref="AL124:AN124">
    <cfRule type="cellIs" dxfId="6541" priority="668" operator="greaterThan">
      <formula>0.03</formula>
    </cfRule>
    <cfRule type="cellIs" dxfId="6540" priority="669" stopIfTrue="1" operator="lessThan">
      <formula>-0.03</formula>
    </cfRule>
  </conditionalFormatting>
  <conditionalFormatting sqref="AO124:AQ124">
    <cfRule type="cellIs" dxfId="6539" priority="666" operator="greaterThan">
      <formula>0.03</formula>
    </cfRule>
    <cfRule type="cellIs" dxfId="6538" priority="667" stopIfTrue="1" operator="lessThan">
      <formula>-0.03</formula>
    </cfRule>
  </conditionalFormatting>
  <conditionalFormatting sqref="AL119:AN119">
    <cfRule type="cellIs" dxfId="6537" priority="664" operator="greaterThan">
      <formula>0.03</formula>
    </cfRule>
    <cfRule type="cellIs" dxfId="6536" priority="665" stopIfTrue="1" operator="lessThan">
      <formula>-0.03</formula>
    </cfRule>
  </conditionalFormatting>
  <conditionalFormatting sqref="AO119:AQ119">
    <cfRule type="cellIs" dxfId="6535" priority="662" operator="greaterThan">
      <formula>0.03</formula>
    </cfRule>
    <cfRule type="cellIs" dxfId="6534" priority="663" stopIfTrue="1" operator="lessThan">
      <formula>-0.03</formula>
    </cfRule>
  </conditionalFormatting>
  <conditionalFormatting sqref="AL114:AN114">
    <cfRule type="cellIs" dxfId="6533" priority="660" operator="greaterThan">
      <formula>0.03</formula>
    </cfRule>
    <cfRule type="cellIs" dxfId="6532" priority="661" stopIfTrue="1" operator="lessThan">
      <formula>-0.03</formula>
    </cfRule>
  </conditionalFormatting>
  <conditionalFormatting sqref="AO114:AQ114">
    <cfRule type="cellIs" dxfId="6531" priority="658" operator="greaterThan">
      <formula>0.03</formula>
    </cfRule>
    <cfRule type="cellIs" dxfId="6530" priority="659" stopIfTrue="1" operator="lessThan">
      <formula>-0.03</formula>
    </cfRule>
  </conditionalFormatting>
  <conditionalFormatting sqref="AL109:AN109">
    <cfRule type="cellIs" dxfId="6529" priority="656" operator="greaterThan">
      <formula>0.03</formula>
    </cfRule>
    <cfRule type="cellIs" dxfId="6528" priority="657" stopIfTrue="1" operator="lessThan">
      <formula>-0.03</formula>
    </cfRule>
  </conditionalFormatting>
  <conditionalFormatting sqref="AO109:AQ109">
    <cfRule type="cellIs" dxfId="6527" priority="654" operator="greaterThan">
      <formula>0.03</formula>
    </cfRule>
    <cfRule type="cellIs" dxfId="6526" priority="655" stopIfTrue="1" operator="lessThan">
      <formula>-0.03</formula>
    </cfRule>
  </conditionalFormatting>
  <conditionalFormatting sqref="AL104:AN104">
    <cfRule type="cellIs" dxfId="6525" priority="652" operator="greaterThan">
      <formula>0.03</formula>
    </cfRule>
    <cfRule type="cellIs" dxfId="6524" priority="653" stopIfTrue="1" operator="lessThan">
      <formula>-0.03</formula>
    </cfRule>
  </conditionalFormatting>
  <conditionalFormatting sqref="AO104:AQ104">
    <cfRule type="cellIs" dxfId="6523" priority="650" operator="greaterThan">
      <formula>0.03</formula>
    </cfRule>
    <cfRule type="cellIs" dxfId="6522" priority="651" stopIfTrue="1" operator="lessThan">
      <formula>-0.03</formula>
    </cfRule>
  </conditionalFormatting>
  <conditionalFormatting sqref="AL99:AN99">
    <cfRule type="cellIs" dxfId="6521" priority="648" operator="greaterThan">
      <formula>0.03</formula>
    </cfRule>
    <cfRule type="cellIs" dxfId="6520" priority="649" stopIfTrue="1" operator="lessThan">
      <formula>-0.03</formula>
    </cfRule>
  </conditionalFormatting>
  <conditionalFormatting sqref="AO99:AQ99">
    <cfRule type="cellIs" dxfId="6519" priority="646" operator="greaterThan">
      <formula>0.03</formula>
    </cfRule>
    <cfRule type="cellIs" dxfId="6518" priority="647" stopIfTrue="1" operator="lessThan">
      <formula>-0.03</formula>
    </cfRule>
  </conditionalFormatting>
  <conditionalFormatting sqref="AL94:AN94">
    <cfRule type="cellIs" dxfId="6517" priority="644" operator="greaterThan">
      <formula>0.03</formula>
    </cfRule>
    <cfRule type="cellIs" dxfId="6516" priority="645" stopIfTrue="1" operator="lessThan">
      <formula>-0.03</formula>
    </cfRule>
  </conditionalFormatting>
  <conditionalFormatting sqref="AO94:AQ94">
    <cfRule type="cellIs" dxfId="6515" priority="642" operator="greaterThan">
      <formula>0.03</formula>
    </cfRule>
    <cfRule type="cellIs" dxfId="6514" priority="643" stopIfTrue="1" operator="lessThan">
      <formula>-0.03</formula>
    </cfRule>
  </conditionalFormatting>
  <conditionalFormatting sqref="AL89:AN89">
    <cfRule type="cellIs" dxfId="6513" priority="640" operator="greaterThan">
      <formula>0.03</formula>
    </cfRule>
    <cfRule type="cellIs" dxfId="6512" priority="641" stopIfTrue="1" operator="lessThan">
      <formula>-0.03</formula>
    </cfRule>
  </conditionalFormatting>
  <conditionalFormatting sqref="AO89:AQ89">
    <cfRule type="cellIs" dxfId="6511" priority="638" operator="greaterThan">
      <formula>0.03</formula>
    </cfRule>
    <cfRule type="cellIs" dxfId="6510" priority="639" stopIfTrue="1" operator="lessThan">
      <formula>-0.03</formula>
    </cfRule>
  </conditionalFormatting>
  <conditionalFormatting sqref="AL84:AN84">
    <cfRule type="cellIs" dxfId="6509" priority="636" operator="greaterThan">
      <formula>0.03</formula>
    </cfRule>
    <cfRule type="cellIs" dxfId="6508" priority="637" stopIfTrue="1" operator="lessThan">
      <formula>-0.03</formula>
    </cfRule>
  </conditionalFormatting>
  <conditionalFormatting sqref="AO84:AQ84">
    <cfRule type="cellIs" dxfId="6507" priority="634" operator="greaterThan">
      <formula>0.03</formula>
    </cfRule>
    <cfRule type="cellIs" dxfId="6506" priority="635" stopIfTrue="1" operator="lessThan">
      <formula>-0.03</formula>
    </cfRule>
  </conditionalFormatting>
  <conditionalFormatting sqref="AL79:AN79">
    <cfRule type="cellIs" dxfId="6505" priority="632" operator="greaterThan">
      <formula>0.03</formula>
    </cfRule>
    <cfRule type="cellIs" dxfId="6504" priority="633" stopIfTrue="1" operator="lessThan">
      <formula>-0.03</formula>
    </cfRule>
  </conditionalFormatting>
  <conditionalFormatting sqref="AO79:AQ79">
    <cfRule type="cellIs" dxfId="6503" priority="630" operator="greaterThan">
      <formula>0.03</formula>
    </cfRule>
    <cfRule type="cellIs" dxfId="6502" priority="631" stopIfTrue="1" operator="lessThan">
      <formula>-0.03</formula>
    </cfRule>
  </conditionalFormatting>
  <conditionalFormatting sqref="AL74:AN74">
    <cfRule type="cellIs" dxfId="6501" priority="628" operator="greaterThan">
      <formula>0.03</formula>
    </cfRule>
    <cfRule type="cellIs" dxfId="6500" priority="629" stopIfTrue="1" operator="lessThan">
      <formula>-0.03</formula>
    </cfRule>
  </conditionalFormatting>
  <conditionalFormatting sqref="AO74:AQ74">
    <cfRule type="cellIs" dxfId="6499" priority="626" operator="greaterThan">
      <formula>0.03</formula>
    </cfRule>
    <cfRule type="cellIs" dxfId="6498" priority="627" stopIfTrue="1" operator="lessThan">
      <formula>-0.03</formula>
    </cfRule>
  </conditionalFormatting>
  <conditionalFormatting sqref="AL69:AN69">
    <cfRule type="cellIs" dxfId="6497" priority="624" operator="greaterThan">
      <formula>0.03</formula>
    </cfRule>
    <cfRule type="cellIs" dxfId="6496" priority="625" stopIfTrue="1" operator="lessThan">
      <formula>-0.03</formula>
    </cfRule>
  </conditionalFormatting>
  <conditionalFormatting sqref="AO69:AQ69">
    <cfRule type="cellIs" dxfId="6495" priority="622" operator="greaterThan">
      <formula>0.03</formula>
    </cfRule>
    <cfRule type="cellIs" dxfId="6494" priority="623" stopIfTrue="1" operator="lessThan">
      <formula>-0.03</formula>
    </cfRule>
  </conditionalFormatting>
  <conditionalFormatting sqref="AL64:AN64">
    <cfRule type="cellIs" dxfId="6493" priority="620" operator="greaterThan">
      <formula>0.03</formula>
    </cfRule>
    <cfRule type="cellIs" dxfId="6492" priority="621" stopIfTrue="1" operator="lessThan">
      <formula>-0.03</formula>
    </cfRule>
  </conditionalFormatting>
  <conditionalFormatting sqref="AO64:AQ64">
    <cfRule type="cellIs" dxfId="6491" priority="618" operator="greaterThan">
      <formula>0.03</formula>
    </cfRule>
    <cfRule type="cellIs" dxfId="6490" priority="619" stopIfTrue="1" operator="lessThan">
      <formula>-0.03</formula>
    </cfRule>
  </conditionalFormatting>
  <conditionalFormatting sqref="AL59:AN59">
    <cfRule type="cellIs" dxfId="6489" priority="616" operator="greaterThan">
      <formula>0.03</formula>
    </cfRule>
    <cfRule type="cellIs" dxfId="6488" priority="617" stopIfTrue="1" operator="lessThan">
      <formula>-0.03</formula>
    </cfRule>
  </conditionalFormatting>
  <conditionalFormatting sqref="AL54:AN54">
    <cfRule type="cellIs" dxfId="6487" priority="612" operator="greaterThan">
      <formula>0.03</formula>
    </cfRule>
    <cfRule type="cellIs" dxfId="6486" priority="613" stopIfTrue="1" operator="lessThan">
      <formula>-0.03</formula>
    </cfRule>
  </conditionalFormatting>
  <conditionalFormatting sqref="AO54:AQ54">
    <cfRule type="cellIs" dxfId="6485" priority="610" operator="greaterThan">
      <formula>0.03</formula>
    </cfRule>
    <cfRule type="cellIs" dxfId="6484" priority="611" stopIfTrue="1" operator="lessThan">
      <formula>-0.03</formula>
    </cfRule>
  </conditionalFormatting>
  <conditionalFormatting sqref="AL44:AN44">
    <cfRule type="cellIs" dxfId="6483" priority="604" operator="greaterThan">
      <formula>0.03</formula>
    </cfRule>
    <cfRule type="cellIs" dxfId="6482" priority="605" stopIfTrue="1" operator="lessThan">
      <formula>-0.03</formula>
    </cfRule>
  </conditionalFormatting>
  <conditionalFormatting sqref="AO44:AQ44">
    <cfRule type="cellIs" dxfId="6481" priority="602" operator="greaterThan">
      <formula>0.03</formula>
    </cfRule>
    <cfRule type="cellIs" dxfId="6480" priority="603" stopIfTrue="1" operator="lessThan">
      <formula>-0.03</formula>
    </cfRule>
  </conditionalFormatting>
  <conditionalFormatting sqref="AL39:AN39">
    <cfRule type="cellIs" dxfId="6479" priority="600" operator="greaterThan">
      <formula>0.03</formula>
    </cfRule>
    <cfRule type="cellIs" dxfId="6478" priority="601" stopIfTrue="1" operator="lessThan">
      <formula>-0.03</formula>
    </cfRule>
  </conditionalFormatting>
  <conditionalFormatting sqref="AL34:AN34">
    <cfRule type="cellIs" dxfId="6477" priority="596" operator="greaterThan">
      <formula>0.03</formula>
    </cfRule>
    <cfRule type="cellIs" dxfId="6476" priority="597" stopIfTrue="1" operator="lessThan">
      <formula>-0.03</formula>
    </cfRule>
  </conditionalFormatting>
  <conditionalFormatting sqref="AO34:AQ34">
    <cfRule type="cellIs" dxfId="6475" priority="594" operator="greaterThan">
      <formula>0.03</formula>
    </cfRule>
    <cfRule type="cellIs" dxfId="6474" priority="595" stopIfTrue="1" operator="lessThan">
      <formula>-0.03</formula>
    </cfRule>
  </conditionalFormatting>
  <conditionalFormatting sqref="AO29:AQ29">
    <cfRule type="cellIs" dxfId="6473" priority="590" operator="greaterThan">
      <formula>0.03</formula>
    </cfRule>
    <cfRule type="cellIs" dxfId="6472" priority="591" stopIfTrue="1" operator="lessThan">
      <formula>-0.03</formula>
    </cfRule>
  </conditionalFormatting>
  <conditionalFormatting sqref="AL19:AN19">
    <cfRule type="cellIs" dxfId="6471" priority="584" operator="greaterThan">
      <formula>0.03</formula>
    </cfRule>
    <cfRule type="cellIs" dxfId="6470" priority="585" stopIfTrue="1" operator="lessThan">
      <formula>-0.03</formula>
    </cfRule>
  </conditionalFormatting>
  <conditionalFormatting sqref="AL9:AN9">
    <cfRule type="cellIs" dxfId="6469" priority="576" operator="greaterThan">
      <formula>0.03</formula>
    </cfRule>
    <cfRule type="cellIs" dxfId="6468" priority="577" stopIfTrue="1" operator="lessThan">
      <formula>-0.03</formula>
    </cfRule>
  </conditionalFormatting>
  <conditionalFormatting sqref="AO9:AQ9">
    <cfRule type="cellIs" dxfId="6467" priority="574" operator="greaterThan">
      <formula>0.03</formula>
    </cfRule>
    <cfRule type="cellIs" dxfId="6466" priority="575" stopIfTrue="1" operator="lessThan">
      <formula>-0.03</formula>
    </cfRule>
  </conditionalFormatting>
  <conditionalFormatting sqref="AL4:AN4">
    <cfRule type="cellIs" dxfId="6465" priority="572" operator="greaterThan">
      <formula>0.03</formula>
    </cfRule>
    <cfRule type="cellIs" dxfId="6464" priority="573" stopIfTrue="1" operator="lessThan">
      <formula>-0.03</formula>
    </cfRule>
  </conditionalFormatting>
  <conditionalFormatting sqref="AF3:AW168 AF175:AW1048576 AF169:AF174 AJ169:AW174">
    <cfRule type="cellIs" dxfId="6463" priority="567" operator="greaterThan">
      <formula>0</formula>
    </cfRule>
    <cfRule type="cellIs" dxfId="6462" priority="568" operator="lessThan">
      <formula>0</formula>
    </cfRule>
    <cfRule type="cellIs" dxfId="6461" priority="569" operator="lessThan">
      <formula>0</formula>
    </cfRule>
  </conditionalFormatting>
  <conditionalFormatting sqref="AI8">
    <cfRule type="cellIs" dxfId="6460" priority="565" operator="greaterThan">
      <formula>0.03</formula>
    </cfRule>
    <cfRule type="cellIs" dxfId="6459" priority="566" stopIfTrue="1" operator="lessThan">
      <formula>-0.03</formula>
    </cfRule>
  </conditionalFormatting>
  <conditionalFormatting sqref="AI13">
    <cfRule type="cellIs" dxfId="6458" priority="563" operator="greaterThan">
      <formula>0.03</formula>
    </cfRule>
    <cfRule type="cellIs" dxfId="6457" priority="564" stopIfTrue="1" operator="lessThan">
      <formula>-0.03</formula>
    </cfRule>
  </conditionalFormatting>
  <conditionalFormatting sqref="AI13">
    <cfRule type="cellIs" dxfId="6456" priority="561" operator="greaterThan">
      <formula>0.03</formula>
    </cfRule>
    <cfRule type="cellIs" dxfId="6455" priority="562" stopIfTrue="1" operator="lessThan">
      <formula>-0.03</formula>
    </cfRule>
  </conditionalFormatting>
  <conditionalFormatting sqref="AI18">
    <cfRule type="cellIs" dxfId="6454" priority="559" operator="greaterThan">
      <formula>0.03</formula>
    </cfRule>
    <cfRule type="cellIs" dxfId="6453" priority="560" stopIfTrue="1" operator="lessThan">
      <formula>-0.03</formula>
    </cfRule>
  </conditionalFormatting>
  <conditionalFormatting sqref="AI18">
    <cfRule type="cellIs" dxfId="6452" priority="557" operator="greaterThan">
      <formula>0.03</formula>
    </cfRule>
    <cfRule type="cellIs" dxfId="6451" priority="558" stopIfTrue="1" operator="lessThan">
      <formula>-0.03</formula>
    </cfRule>
  </conditionalFormatting>
  <conditionalFormatting sqref="AI23">
    <cfRule type="cellIs" dxfId="6450" priority="555" operator="greaterThan">
      <formula>0.03</formula>
    </cfRule>
    <cfRule type="cellIs" dxfId="6449" priority="556" stopIfTrue="1" operator="lessThan">
      <formula>-0.03</formula>
    </cfRule>
  </conditionalFormatting>
  <conditionalFormatting sqref="AI23">
    <cfRule type="cellIs" dxfId="6448" priority="553" operator="greaterThan">
      <formula>0.03</formula>
    </cfRule>
    <cfRule type="cellIs" dxfId="6447" priority="554" stopIfTrue="1" operator="lessThan">
      <formula>-0.03</formula>
    </cfRule>
  </conditionalFormatting>
  <conditionalFormatting sqref="AI28">
    <cfRule type="cellIs" dxfId="6446" priority="551" operator="greaterThan">
      <formula>0.03</formula>
    </cfRule>
    <cfRule type="cellIs" dxfId="6445" priority="552" stopIfTrue="1" operator="lessThan">
      <formula>-0.03</formula>
    </cfRule>
  </conditionalFormatting>
  <conditionalFormatting sqref="AI28">
    <cfRule type="cellIs" dxfId="6444" priority="549" operator="greaterThan">
      <formula>0.03</formula>
    </cfRule>
    <cfRule type="cellIs" dxfId="6443" priority="550" stopIfTrue="1" operator="lessThan">
      <formula>-0.03</formula>
    </cfRule>
  </conditionalFormatting>
  <conditionalFormatting sqref="AI33">
    <cfRule type="cellIs" dxfId="6442" priority="547" operator="greaterThan">
      <formula>0.03</formula>
    </cfRule>
    <cfRule type="cellIs" dxfId="6441" priority="548" stopIfTrue="1" operator="lessThan">
      <formula>-0.03</formula>
    </cfRule>
  </conditionalFormatting>
  <conditionalFormatting sqref="AI33">
    <cfRule type="cellIs" dxfId="6440" priority="545" operator="greaterThan">
      <formula>0.03</formula>
    </cfRule>
    <cfRule type="cellIs" dxfId="6439" priority="546" stopIfTrue="1" operator="lessThan">
      <formula>-0.03</formula>
    </cfRule>
  </conditionalFormatting>
  <conditionalFormatting sqref="AI38">
    <cfRule type="cellIs" dxfId="6438" priority="543" operator="greaterThan">
      <formula>0.03</formula>
    </cfRule>
    <cfRule type="cellIs" dxfId="6437" priority="544" stopIfTrue="1" operator="lessThan">
      <formula>-0.03</formula>
    </cfRule>
  </conditionalFormatting>
  <conditionalFormatting sqref="AI38">
    <cfRule type="cellIs" dxfId="6436" priority="541" operator="greaterThan">
      <formula>0.03</formula>
    </cfRule>
    <cfRule type="cellIs" dxfId="6435" priority="542" stopIfTrue="1" operator="lessThan">
      <formula>-0.03</formula>
    </cfRule>
  </conditionalFormatting>
  <conditionalFormatting sqref="AI43">
    <cfRule type="cellIs" dxfId="6434" priority="539" operator="greaterThan">
      <formula>0.03</formula>
    </cfRule>
    <cfRule type="cellIs" dxfId="6433" priority="540" stopIfTrue="1" operator="lessThan">
      <formula>-0.03</formula>
    </cfRule>
  </conditionalFormatting>
  <conditionalFormatting sqref="AI43">
    <cfRule type="cellIs" dxfId="6432" priority="537" operator="greaterThan">
      <formula>0.03</formula>
    </cfRule>
    <cfRule type="cellIs" dxfId="6431" priority="538" stopIfTrue="1" operator="lessThan">
      <formula>-0.03</formula>
    </cfRule>
  </conditionalFormatting>
  <conditionalFormatting sqref="AI48">
    <cfRule type="cellIs" dxfId="6430" priority="535" operator="greaterThan">
      <formula>0.03</formula>
    </cfRule>
    <cfRule type="cellIs" dxfId="6429" priority="536" stopIfTrue="1" operator="lessThan">
      <formula>-0.03</formula>
    </cfRule>
  </conditionalFormatting>
  <conditionalFormatting sqref="AI48">
    <cfRule type="cellIs" dxfId="6428" priority="533" operator="greaterThan">
      <formula>0.03</formula>
    </cfRule>
    <cfRule type="cellIs" dxfId="6427" priority="534" stopIfTrue="1" operator="lessThan">
      <formula>-0.03</formula>
    </cfRule>
  </conditionalFormatting>
  <conditionalFormatting sqref="AI53">
    <cfRule type="cellIs" dxfId="6426" priority="531" operator="greaterThan">
      <formula>0.03</formula>
    </cfRule>
    <cfRule type="cellIs" dxfId="6425" priority="532" stopIfTrue="1" operator="lessThan">
      <formula>-0.03</formula>
    </cfRule>
  </conditionalFormatting>
  <conditionalFormatting sqref="AI53">
    <cfRule type="cellIs" dxfId="6424" priority="529" operator="greaterThan">
      <formula>0.03</formula>
    </cfRule>
    <cfRule type="cellIs" dxfId="6423" priority="530" stopIfTrue="1" operator="lessThan">
      <formula>-0.03</formula>
    </cfRule>
  </conditionalFormatting>
  <conditionalFormatting sqref="AI58">
    <cfRule type="cellIs" dxfId="6422" priority="527" operator="greaterThan">
      <formula>0.03</formula>
    </cfRule>
    <cfRule type="cellIs" dxfId="6421" priority="528" stopIfTrue="1" operator="lessThan">
      <formula>-0.03</formula>
    </cfRule>
  </conditionalFormatting>
  <conditionalFormatting sqref="AI58">
    <cfRule type="cellIs" dxfId="6420" priority="525" operator="greaterThan">
      <formula>0.03</formula>
    </cfRule>
    <cfRule type="cellIs" dxfId="6419" priority="526" stopIfTrue="1" operator="lessThan">
      <formula>-0.03</formula>
    </cfRule>
  </conditionalFormatting>
  <conditionalFormatting sqref="AI63">
    <cfRule type="cellIs" dxfId="6418" priority="523" operator="greaterThan">
      <formula>0.03</formula>
    </cfRule>
    <cfRule type="cellIs" dxfId="6417" priority="524" stopIfTrue="1" operator="lessThan">
      <formula>-0.03</formula>
    </cfRule>
  </conditionalFormatting>
  <conditionalFormatting sqref="AI63">
    <cfRule type="cellIs" dxfId="6416" priority="521" operator="greaterThan">
      <formula>0.03</formula>
    </cfRule>
    <cfRule type="cellIs" dxfId="6415" priority="522" stopIfTrue="1" operator="lessThan">
      <formula>-0.03</formula>
    </cfRule>
  </conditionalFormatting>
  <conditionalFormatting sqref="AI68">
    <cfRule type="cellIs" dxfId="6414" priority="519" operator="greaterThan">
      <formula>0.03</formula>
    </cfRule>
    <cfRule type="cellIs" dxfId="6413" priority="520" stopIfTrue="1" operator="lessThan">
      <formula>-0.03</formula>
    </cfRule>
  </conditionalFormatting>
  <conditionalFormatting sqref="AI68">
    <cfRule type="cellIs" dxfId="6412" priority="517" operator="greaterThan">
      <formula>0.03</formula>
    </cfRule>
    <cfRule type="cellIs" dxfId="6411" priority="518" stopIfTrue="1" operator="lessThan">
      <formula>-0.03</formula>
    </cfRule>
  </conditionalFormatting>
  <conditionalFormatting sqref="AI73">
    <cfRule type="cellIs" dxfId="6410" priority="515" operator="greaterThan">
      <formula>0.03</formula>
    </cfRule>
    <cfRule type="cellIs" dxfId="6409" priority="516" stopIfTrue="1" operator="lessThan">
      <formula>-0.03</formula>
    </cfRule>
  </conditionalFormatting>
  <conditionalFormatting sqref="AI73">
    <cfRule type="cellIs" dxfId="6408" priority="513" operator="greaterThan">
      <formula>0.03</formula>
    </cfRule>
    <cfRule type="cellIs" dxfId="6407" priority="514" stopIfTrue="1" operator="lessThan">
      <formula>-0.03</formula>
    </cfRule>
  </conditionalFormatting>
  <conditionalFormatting sqref="AI78">
    <cfRule type="cellIs" dxfId="6406" priority="511" operator="greaterThan">
      <formula>0.03</formula>
    </cfRule>
    <cfRule type="cellIs" dxfId="6405" priority="512" stopIfTrue="1" operator="lessThan">
      <formula>-0.03</formula>
    </cfRule>
  </conditionalFormatting>
  <conditionalFormatting sqref="AI78">
    <cfRule type="cellIs" dxfId="6404" priority="509" operator="greaterThan">
      <formula>0.03</formula>
    </cfRule>
    <cfRule type="cellIs" dxfId="6403" priority="510" stopIfTrue="1" operator="lessThan">
      <formula>-0.03</formula>
    </cfRule>
  </conditionalFormatting>
  <conditionalFormatting sqref="AI83">
    <cfRule type="cellIs" dxfId="6402" priority="507" operator="greaterThan">
      <formula>0.03</formula>
    </cfRule>
    <cfRule type="cellIs" dxfId="6401" priority="508" stopIfTrue="1" operator="lessThan">
      <formula>-0.03</formula>
    </cfRule>
  </conditionalFormatting>
  <conditionalFormatting sqref="AI83">
    <cfRule type="cellIs" dxfId="6400" priority="505" operator="greaterThan">
      <formula>0.03</formula>
    </cfRule>
    <cfRule type="cellIs" dxfId="6399" priority="506" stopIfTrue="1" operator="lessThan">
      <formula>-0.03</formula>
    </cfRule>
  </conditionalFormatting>
  <conditionalFormatting sqref="AI88">
    <cfRule type="cellIs" dxfId="6398" priority="503" operator="greaterThan">
      <formula>0.03</formula>
    </cfRule>
    <cfRule type="cellIs" dxfId="6397" priority="504" stopIfTrue="1" operator="lessThan">
      <formula>-0.03</formula>
    </cfRule>
  </conditionalFormatting>
  <conditionalFormatting sqref="AI88">
    <cfRule type="cellIs" dxfId="6396" priority="501" operator="greaterThan">
      <formula>0.03</formula>
    </cfRule>
    <cfRule type="cellIs" dxfId="6395" priority="502" stopIfTrue="1" operator="lessThan">
      <formula>-0.03</formula>
    </cfRule>
  </conditionalFormatting>
  <conditionalFormatting sqref="AI93">
    <cfRule type="cellIs" dxfId="6394" priority="499" operator="greaterThan">
      <formula>0.03</formula>
    </cfRule>
    <cfRule type="cellIs" dxfId="6393" priority="500" stopIfTrue="1" operator="lessThan">
      <formula>-0.03</formula>
    </cfRule>
  </conditionalFormatting>
  <conditionalFormatting sqref="AI93">
    <cfRule type="cellIs" dxfId="6392" priority="497" operator="greaterThan">
      <formula>0.03</formula>
    </cfRule>
    <cfRule type="cellIs" dxfId="6391" priority="498" stopIfTrue="1" operator="lessThan">
      <formula>-0.03</formula>
    </cfRule>
  </conditionalFormatting>
  <conditionalFormatting sqref="AI98">
    <cfRule type="cellIs" dxfId="6390" priority="495" operator="greaterThan">
      <formula>0.03</formula>
    </cfRule>
    <cfRule type="cellIs" dxfId="6389" priority="496" stopIfTrue="1" operator="lessThan">
      <formula>-0.03</formula>
    </cfRule>
  </conditionalFormatting>
  <conditionalFormatting sqref="AI98">
    <cfRule type="cellIs" dxfId="6388" priority="493" operator="greaterThan">
      <formula>0.03</formula>
    </cfRule>
    <cfRule type="cellIs" dxfId="6387" priority="494" stopIfTrue="1" operator="lessThan">
      <formula>-0.03</formula>
    </cfRule>
  </conditionalFormatting>
  <conditionalFormatting sqref="AI103">
    <cfRule type="cellIs" dxfId="6386" priority="491" operator="greaterThan">
      <formula>0.03</formula>
    </cfRule>
    <cfRule type="cellIs" dxfId="6385" priority="492" stopIfTrue="1" operator="lessThan">
      <formula>-0.03</formula>
    </cfRule>
  </conditionalFormatting>
  <conditionalFormatting sqref="AI103">
    <cfRule type="cellIs" dxfId="6384" priority="489" operator="greaterThan">
      <formula>0.03</formula>
    </cfRule>
    <cfRule type="cellIs" dxfId="6383" priority="490" stopIfTrue="1" operator="lessThan">
      <formula>-0.03</formula>
    </cfRule>
  </conditionalFormatting>
  <conditionalFormatting sqref="AI108">
    <cfRule type="cellIs" dxfId="6382" priority="487" operator="greaterThan">
      <formula>0.03</formula>
    </cfRule>
    <cfRule type="cellIs" dxfId="6381" priority="488" stopIfTrue="1" operator="lessThan">
      <formula>-0.03</formula>
    </cfRule>
  </conditionalFormatting>
  <conditionalFormatting sqref="AI108">
    <cfRule type="cellIs" dxfId="6380" priority="485" operator="greaterThan">
      <formula>0.03</formula>
    </cfRule>
    <cfRule type="cellIs" dxfId="6379" priority="486" stopIfTrue="1" operator="lessThan">
      <formula>-0.03</formula>
    </cfRule>
  </conditionalFormatting>
  <conditionalFormatting sqref="AI113">
    <cfRule type="cellIs" dxfId="6378" priority="483" operator="greaterThan">
      <formula>0.03</formula>
    </cfRule>
    <cfRule type="cellIs" dxfId="6377" priority="484" stopIfTrue="1" operator="lessThan">
      <formula>-0.03</formula>
    </cfRule>
  </conditionalFormatting>
  <conditionalFormatting sqref="AI113">
    <cfRule type="cellIs" dxfId="6376" priority="481" operator="greaterThan">
      <formula>0.03</formula>
    </cfRule>
    <cfRule type="cellIs" dxfId="6375" priority="482" stopIfTrue="1" operator="lessThan">
      <formula>-0.03</formula>
    </cfRule>
  </conditionalFormatting>
  <conditionalFormatting sqref="AI118">
    <cfRule type="cellIs" dxfId="6374" priority="479" operator="greaterThan">
      <formula>0.03</formula>
    </cfRule>
    <cfRule type="cellIs" dxfId="6373" priority="480" stopIfTrue="1" operator="lessThan">
      <formula>-0.03</formula>
    </cfRule>
  </conditionalFormatting>
  <conditionalFormatting sqref="AI118">
    <cfRule type="cellIs" dxfId="6372" priority="477" operator="greaterThan">
      <formula>0.03</formula>
    </cfRule>
    <cfRule type="cellIs" dxfId="6371" priority="478" stopIfTrue="1" operator="lessThan">
      <formula>-0.03</formula>
    </cfRule>
  </conditionalFormatting>
  <conditionalFormatting sqref="AI123">
    <cfRule type="cellIs" dxfId="6370" priority="475" operator="greaterThan">
      <formula>0.03</formula>
    </cfRule>
    <cfRule type="cellIs" dxfId="6369" priority="476" stopIfTrue="1" operator="lessThan">
      <formula>-0.03</formula>
    </cfRule>
  </conditionalFormatting>
  <conditionalFormatting sqref="AI123">
    <cfRule type="cellIs" dxfId="6368" priority="473" operator="greaterThan">
      <formula>0.03</formula>
    </cfRule>
    <cfRule type="cellIs" dxfId="6367" priority="474" stopIfTrue="1" operator="lessThan">
      <formula>-0.03</formula>
    </cfRule>
  </conditionalFormatting>
  <conditionalFormatting sqref="AI128">
    <cfRule type="cellIs" dxfId="6366" priority="471" operator="greaterThan">
      <formula>0.03</formula>
    </cfRule>
    <cfRule type="cellIs" dxfId="6365" priority="472" stopIfTrue="1" operator="lessThan">
      <formula>-0.03</formula>
    </cfRule>
  </conditionalFormatting>
  <conditionalFormatting sqref="AI128">
    <cfRule type="cellIs" dxfId="6364" priority="469" operator="greaterThan">
      <formula>0.03</formula>
    </cfRule>
    <cfRule type="cellIs" dxfId="6363" priority="470" stopIfTrue="1" operator="lessThan">
      <formula>-0.03</formula>
    </cfRule>
  </conditionalFormatting>
  <conditionalFormatting sqref="AO9">
    <cfRule type="cellIs" dxfId="6362" priority="467" operator="greaterThan">
      <formula>0.03</formula>
    </cfRule>
    <cfRule type="cellIs" dxfId="6361" priority="468" stopIfTrue="1" operator="lessThan">
      <formula>-0.03</formula>
    </cfRule>
  </conditionalFormatting>
  <conditionalFormatting sqref="AO14">
    <cfRule type="cellIs" dxfId="6360" priority="465" operator="greaterThan">
      <formula>0.03</formula>
    </cfRule>
    <cfRule type="cellIs" dxfId="6359" priority="466" stopIfTrue="1" operator="lessThan">
      <formula>-0.03</formula>
    </cfRule>
  </conditionalFormatting>
  <conditionalFormatting sqref="AO19">
    <cfRule type="cellIs" dxfId="6358" priority="463" operator="greaterThan">
      <formula>0.03</formula>
    </cfRule>
    <cfRule type="cellIs" dxfId="6357" priority="464" stopIfTrue="1" operator="lessThan">
      <formula>-0.03</formula>
    </cfRule>
  </conditionalFormatting>
  <conditionalFormatting sqref="AO24">
    <cfRule type="cellIs" dxfId="6356" priority="461" operator="greaterThan">
      <formula>0.03</formula>
    </cfRule>
    <cfRule type="cellIs" dxfId="6355" priority="462" stopIfTrue="1" operator="lessThan">
      <formula>-0.03</formula>
    </cfRule>
  </conditionalFormatting>
  <conditionalFormatting sqref="AO29">
    <cfRule type="cellIs" dxfId="6354" priority="459" operator="greaterThan">
      <formula>0.03</formula>
    </cfRule>
    <cfRule type="cellIs" dxfId="6353" priority="460" stopIfTrue="1" operator="lessThan">
      <formula>-0.03</formula>
    </cfRule>
  </conditionalFormatting>
  <conditionalFormatting sqref="AO34">
    <cfRule type="cellIs" dxfId="6352" priority="457" operator="greaterThan">
      <formula>0.03</formula>
    </cfRule>
    <cfRule type="cellIs" dxfId="6351" priority="458" stopIfTrue="1" operator="lessThan">
      <formula>-0.03</formula>
    </cfRule>
  </conditionalFormatting>
  <conditionalFormatting sqref="AO39">
    <cfRule type="cellIs" dxfId="6350" priority="455" operator="greaterThan">
      <formula>0.03</formula>
    </cfRule>
    <cfRule type="cellIs" dxfId="6349" priority="456" stopIfTrue="1" operator="lessThan">
      <formula>-0.03</formula>
    </cfRule>
  </conditionalFormatting>
  <conditionalFormatting sqref="AO44">
    <cfRule type="cellIs" dxfId="6348" priority="453" operator="greaterThan">
      <formula>0.03</formula>
    </cfRule>
    <cfRule type="cellIs" dxfId="6347" priority="454" stopIfTrue="1" operator="lessThan">
      <formula>-0.03</formula>
    </cfRule>
  </conditionalFormatting>
  <conditionalFormatting sqref="AO49">
    <cfRule type="cellIs" dxfId="6346" priority="451" operator="greaterThan">
      <formula>0.03</formula>
    </cfRule>
    <cfRule type="cellIs" dxfId="6345" priority="452" stopIfTrue="1" operator="lessThan">
      <formula>-0.03</formula>
    </cfRule>
  </conditionalFormatting>
  <conditionalFormatting sqref="AO54">
    <cfRule type="cellIs" dxfId="6344" priority="449" operator="greaterThan">
      <formula>0.03</formula>
    </cfRule>
    <cfRule type="cellIs" dxfId="6343" priority="450" stopIfTrue="1" operator="lessThan">
      <formula>-0.03</formula>
    </cfRule>
  </conditionalFormatting>
  <conditionalFormatting sqref="AO59">
    <cfRule type="cellIs" dxfId="6342" priority="447" operator="greaterThan">
      <formula>0.03</formula>
    </cfRule>
    <cfRule type="cellIs" dxfId="6341" priority="448" stopIfTrue="1" operator="lessThan">
      <formula>-0.03</formula>
    </cfRule>
  </conditionalFormatting>
  <conditionalFormatting sqref="AO64">
    <cfRule type="cellIs" dxfId="6340" priority="445" operator="greaterThan">
      <formula>0.03</formula>
    </cfRule>
    <cfRule type="cellIs" dxfId="6339" priority="446" stopIfTrue="1" operator="lessThan">
      <formula>-0.03</formula>
    </cfRule>
  </conditionalFormatting>
  <conditionalFormatting sqref="AO69">
    <cfRule type="cellIs" dxfId="6338" priority="443" operator="greaterThan">
      <formula>0.03</formula>
    </cfRule>
    <cfRule type="cellIs" dxfId="6337" priority="444" stopIfTrue="1" operator="lessThan">
      <formula>-0.03</formula>
    </cfRule>
  </conditionalFormatting>
  <conditionalFormatting sqref="AO74">
    <cfRule type="cellIs" dxfId="6336" priority="441" operator="greaterThan">
      <formula>0.03</formula>
    </cfRule>
    <cfRule type="cellIs" dxfId="6335" priority="442" stopIfTrue="1" operator="lessThan">
      <formula>-0.03</formula>
    </cfRule>
  </conditionalFormatting>
  <conditionalFormatting sqref="AO79">
    <cfRule type="cellIs" dxfId="6334" priority="439" operator="greaterThan">
      <formula>0.03</formula>
    </cfRule>
    <cfRule type="cellIs" dxfId="6333" priority="440" stopIfTrue="1" operator="lessThan">
      <formula>-0.03</formula>
    </cfRule>
  </conditionalFormatting>
  <conditionalFormatting sqref="AO84">
    <cfRule type="cellIs" dxfId="6332" priority="437" operator="greaterThan">
      <formula>0.03</formula>
    </cfRule>
    <cfRule type="cellIs" dxfId="6331" priority="438" stopIfTrue="1" operator="lessThan">
      <formula>-0.03</formula>
    </cfRule>
  </conditionalFormatting>
  <conditionalFormatting sqref="AO89">
    <cfRule type="cellIs" dxfId="6330" priority="435" operator="greaterThan">
      <formula>0.03</formula>
    </cfRule>
    <cfRule type="cellIs" dxfId="6329" priority="436" stopIfTrue="1" operator="lessThan">
      <formula>-0.03</formula>
    </cfRule>
  </conditionalFormatting>
  <conditionalFormatting sqref="AO94">
    <cfRule type="cellIs" dxfId="6328" priority="433" operator="greaterThan">
      <formula>0.03</formula>
    </cfRule>
    <cfRule type="cellIs" dxfId="6327" priority="434" stopIfTrue="1" operator="lessThan">
      <formula>-0.03</formula>
    </cfRule>
  </conditionalFormatting>
  <conditionalFormatting sqref="AO99">
    <cfRule type="cellIs" dxfId="6326" priority="431" operator="greaterThan">
      <formula>0.03</formula>
    </cfRule>
    <cfRule type="cellIs" dxfId="6325" priority="432" stopIfTrue="1" operator="lessThan">
      <formula>-0.03</formula>
    </cfRule>
  </conditionalFormatting>
  <conditionalFormatting sqref="AO104">
    <cfRule type="cellIs" dxfId="6324" priority="429" operator="greaterThan">
      <formula>0.03</formula>
    </cfRule>
    <cfRule type="cellIs" dxfId="6323" priority="430" stopIfTrue="1" operator="lessThan">
      <formula>-0.03</formula>
    </cfRule>
  </conditionalFormatting>
  <conditionalFormatting sqref="AO109">
    <cfRule type="cellIs" dxfId="6322" priority="427" operator="greaterThan">
      <formula>0.03</formula>
    </cfRule>
    <cfRule type="cellIs" dxfId="6321" priority="428" stopIfTrue="1" operator="lessThan">
      <formula>-0.03</formula>
    </cfRule>
  </conditionalFormatting>
  <conditionalFormatting sqref="AO114">
    <cfRule type="cellIs" dxfId="6320" priority="425" operator="greaterThan">
      <formula>0.03</formula>
    </cfRule>
    <cfRule type="cellIs" dxfId="6319" priority="426" stopIfTrue="1" operator="lessThan">
      <formula>-0.03</formula>
    </cfRule>
  </conditionalFormatting>
  <conditionalFormatting sqref="AO119">
    <cfRule type="cellIs" dxfId="6318" priority="423" operator="greaterThan">
      <formula>0.03</formula>
    </cfRule>
    <cfRule type="cellIs" dxfId="6317" priority="424" stopIfTrue="1" operator="lessThan">
      <formula>-0.03</formula>
    </cfRule>
  </conditionalFormatting>
  <conditionalFormatting sqref="AO124">
    <cfRule type="cellIs" dxfId="6316" priority="421" operator="greaterThan">
      <formula>0.03</formula>
    </cfRule>
    <cfRule type="cellIs" dxfId="6315" priority="422" stopIfTrue="1" operator="lessThan">
      <formula>-0.03</formula>
    </cfRule>
  </conditionalFormatting>
  <conditionalFormatting sqref="AO129">
    <cfRule type="cellIs" dxfId="6314" priority="419" operator="greaterThan">
      <formula>0.03</formula>
    </cfRule>
    <cfRule type="cellIs" dxfId="6313" priority="420" stopIfTrue="1" operator="lessThan">
      <formula>-0.03</formula>
    </cfRule>
  </conditionalFormatting>
  <conditionalFormatting sqref="AU8">
    <cfRule type="cellIs" dxfId="6312" priority="417" operator="greaterThan">
      <formula>0.03</formula>
    </cfRule>
    <cfRule type="cellIs" dxfId="6311" priority="418" stopIfTrue="1" operator="lessThan">
      <formula>-0.03</formula>
    </cfRule>
  </conditionalFormatting>
  <conditionalFormatting sqref="AU13">
    <cfRule type="cellIs" dxfId="6310" priority="415" operator="greaterThan">
      <formula>0.03</formula>
    </cfRule>
    <cfRule type="cellIs" dxfId="6309" priority="416" stopIfTrue="1" operator="lessThan">
      <formula>-0.03</formula>
    </cfRule>
  </conditionalFormatting>
  <conditionalFormatting sqref="AU18">
    <cfRule type="cellIs" dxfId="6308" priority="413" operator="greaterThan">
      <formula>0.03</formula>
    </cfRule>
    <cfRule type="cellIs" dxfId="6307" priority="414" stopIfTrue="1" operator="lessThan">
      <formula>-0.03</formula>
    </cfRule>
  </conditionalFormatting>
  <conditionalFormatting sqref="AU23">
    <cfRule type="cellIs" dxfId="6306" priority="411" operator="greaterThan">
      <formula>0.03</formula>
    </cfRule>
    <cfRule type="cellIs" dxfId="6305" priority="412" stopIfTrue="1" operator="lessThan">
      <formula>-0.03</formula>
    </cfRule>
  </conditionalFormatting>
  <conditionalFormatting sqref="AU28">
    <cfRule type="cellIs" dxfId="6304" priority="409" operator="greaterThan">
      <formula>0.03</formula>
    </cfRule>
    <cfRule type="cellIs" dxfId="6303" priority="410" stopIfTrue="1" operator="lessThan">
      <formula>-0.03</formula>
    </cfRule>
  </conditionalFormatting>
  <conditionalFormatting sqref="AU33">
    <cfRule type="cellIs" dxfId="6302" priority="407" operator="greaterThan">
      <formula>0.03</formula>
    </cfRule>
    <cfRule type="cellIs" dxfId="6301" priority="408" stopIfTrue="1" operator="lessThan">
      <formula>-0.03</formula>
    </cfRule>
  </conditionalFormatting>
  <conditionalFormatting sqref="AU38">
    <cfRule type="cellIs" dxfId="6300" priority="405" operator="greaterThan">
      <formula>0.03</formula>
    </cfRule>
    <cfRule type="cellIs" dxfId="6299" priority="406" stopIfTrue="1" operator="lessThan">
      <formula>-0.03</formula>
    </cfRule>
  </conditionalFormatting>
  <conditionalFormatting sqref="AU43">
    <cfRule type="cellIs" dxfId="6298" priority="403" operator="greaterThan">
      <formula>0.03</formula>
    </cfRule>
    <cfRule type="cellIs" dxfId="6297" priority="404" stopIfTrue="1" operator="lessThan">
      <formula>-0.03</formula>
    </cfRule>
  </conditionalFormatting>
  <conditionalFormatting sqref="AU48">
    <cfRule type="cellIs" dxfId="6296" priority="401" operator="greaterThan">
      <formula>0.03</formula>
    </cfRule>
    <cfRule type="cellIs" dxfId="6295" priority="402" stopIfTrue="1" operator="lessThan">
      <formula>-0.03</formula>
    </cfRule>
  </conditionalFormatting>
  <conditionalFormatting sqref="AU53">
    <cfRule type="cellIs" dxfId="6294" priority="399" operator="greaterThan">
      <formula>0.03</formula>
    </cfRule>
    <cfRule type="cellIs" dxfId="6293" priority="400" stopIfTrue="1" operator="lessThan">
      <formula>-0.03</formula>
    </cfRule>
  </conditionalFormatting>
  <conditionalFormatting sqref="AU58">
    <cfRule type="cellIs" dxfId="6292" priority="397" operator="greaterThan">
      <formula>0.03</formula>
    </cfRule>
    <cfRule type="cellIs" dxfId="6291" priority="398" stopIfTrue="1" operator="lessThan">
      <formula>-0.03</formula>
    </cfRule>
  </conditionalFormatting>
  <conditionalFormatting sqref="AU63">
    <cfRule type="cellIs" dxfId="6290" priority="395" operator="greaterThan">
      <formula>0.03</formula>
    </cfRule>
    <cfRule type="cellIs" dxfId="6289" priority="396" stopIfTrue="1" operator="lessThan">
      <formula>-0.03</formula>
    </cfRule>
  </conditionalFormatting>
  <conditionalFormatting sqref="AU68">
    <cfRule type="cellIs" dxfId="6288" priority="393" operator="greaterThan">
      <formula>0.03</formula>
    </cfRule>
    <cfRule type="cellIs" dxfId="6287" priority="394" stopIfTrue="1" operator="lessThan">
      <formula>-0.03</formula>
    </cfRule>
  </conditionalFormatting>
  <conditionalFormatting sqref="AU73">
    <cfRule type="cellIs" dxfId="6286" priority="391" operator="greaterThan">
      <formula>0.03</formula>
    </cfRule>
    <cfRule type="cellIs" dxfId="6285" priority="392" stopIfTrue="1" operator="lessThan">
      <formula>-0.03</formula>
    </cfRule>
  </conditionalFormatting>
  <conditionalFormatting sqref="AU78">
    <cfRule type="cellIs" dxfId="6284" priority="389" operator="greaterThan">
      <formula>0.03</formula>
    </cfRule>
    <cfRule type="cellIs" dxfId="6283" priority="390" stopIfTrue="1" operator="lessThan">
      <formula>-0.03</formula>
    </cfRule>
  </conditionalFormatting>
  <conditionalFormatting sqref="AU83">
    <cfRule type="cellIs" dxfId="6282" priority="387" operator="greaterThan">
      <formula>0.03</formula>
    </cfRule>
    <cfRule type="cellIs" dxfId="6281" priority="388" stopIfTrue="1" operator="lessThan">
      <formula>-0.03</formula>
    </cfRule>
  </conditionalFormatting>
  <conditionalFormatting sqref="AU88">
    <cfRule type="cellIs" dxfId="6280" priority="385" operator="greaterThan">
      <formula>0.03</formula>
    </cfRule>
    <cfRule type="cellIs" dxfId="6279" priority="386" stopIfTrue="1" operator="lessThan">
      <formula>-0.03</formula>
    </cfRule>
  </conditionalFormatting>
  <conditionalFormatting sqref="AU93">
    <cfRule type="cellIs" dxfId="6278" priority="383" operator="greaterThan">
      <formula>0.03</formula>
    </cfRule>
    <cfRule type="cellIs" dxfId="6277" priority="384" stopIfTrue="1" operator="lessThan">
      <formula>-0.03</formula>
    </cfRule>
  </conditionalFormatting>
  <conditionalFormatting sqref="AU98">
    <cfRule type="cellIs" dxfId="6276" priority="381" operator="greaterThan">
      <formula>0.03</formula>
    </cfRule>
    <cfRule type="cellIs" dxfId="6275" priority="382" stopIfTrue="1" operator="lessThan">
      <formula>-0.03</formula>
    </cfRule>
  </conditionalFormatting>
  <conditionalFormatting sqref="AU103">
    <cfRule type="cellIs" dxfId="6274" priority="379" operator="greaterThan">
      <formula>0.03</formula>
    </cfRule>
    <cfRule type="cellIs" dxfId="6273" priority="380" stopIfTrue="1" operator="lessThan">
      <formula>-0.03</formula>
    </cfRule>
  </conditionalFormatting>
  <conditionalFormatting sqref="AU108">
    <cfRule type="cellIs" dxfId="6272" priority="377" operator="greaterThan">
      <formula>0.03</formula>
    </cfRule>
    <cfRule type="cellIs" dxfId="6271" priority="378" stopIfTrue="1" operator="lessThan">
      <formula>-0.03</formula>
    </cfRule>
  </conditionalFormatting>
  <conditionalFormatting sqref="AU113">
    <cfRule type="cellIs" dxfId="6270" priority="375" operator="greaterThan">
      <formula>0.03</formula>
    </cfRule>
    <cfRule type="cellIs" dxfId="6269" priority="376" stopIfTrue="1" operator="lessThan">
      <formula>-0.03</formula>
    </cfRule>
  </conditionalFormatting>
  <conditionalFormatting sqref="AU118">
    <cfRule type="cellIs" dxfId="6268" priority="373" operator="greaterThan">
      <formula>0.03</formula>
    </cfRule>
    <cfRule type="cellIs" dxfId="6267" priority="374" stopIfTrue="1" operator="lessThan">
      <formula>-0.03</formula>
    </cfRule>
  </conditionalFormatting>
  <conditionalFormatting sqref="AU123">
    <cfRule type="cellIs" dxfId="6266" priority="371" operator="greaterThan">
      <formula>0.03</formula>
    </cfRule>
    <cfRule type="cellIs" dxfId="6265" priority="372" stopIfTrue="1" operator="lessThan">
      <formula>-0.03</formula>
    </cfRule>
  </conditionalFormatting>
  <conditionalFormatting sqref="AU128">
    <cfRule type="cellIs" dxfId="6264" priority="369" operator="greaterThan">
      <formula>0.03</formula>
    </cfRule>
    <cfRule type="cellIs" dxfId="6263" priority="370" stopIfTrue="1" operator="lessThan">
      <formula>-0.03</formula>
    </cfRule>
  </conditionalFormatting>
  <conditionalFormatting sqref="AG73">
    <cfRule type="cellIs" dxfId="6262" priority="367" operator="equal">
      <formula>0</formula>
    </cfRule>
    <cfRule type="cellIs" dxfId="6261" priority="368" operator="equal">
      <formula>0</formula>
    </cfRule>
  </conditionalFormatting>
  <conditionalFormatting sqref="AP9">
    <cfRule type="cellIs" dxfId="6260" priority="365" operator="greaterThan">
      <formula>0.03</formula>
    </cfRule>
    <cfRule type="cellIs" dxfId="6259" priority="366" stopIfTrue="1" operator="lessThan">
      <formula>-0.03</formula>
    </cfRule>
  </conditionalFormatting>
  <conditionalFormatting sqref="AP14">
    <cfRule type="cellIs" dxfId="6258" priority="363" operator="greaterThan">
      <formula>0.03</formula>
    </cfRule>
    <cfRule type="cellIs" dxfId="6257" priority="364" stopIfTrue="1" operator="lessThan">
      <formula>-0.03</formula>
    </cfRule>
  </conditionalFormatting>
  <conditionalFormatting sqref="AP19">
    <cfRule type="cellIs" dxfId="6256" priority="361" operator="greaterThan">
      <formula>0.03</formula>
    </cfRule>
    <cfRule type="cellIs" dxfId="6255" priority="362" stopIfTrue="1" operator="lessThan">
      <formula>-0.03</formula>
    </cfRule>
  </conditionalFormatting>
  <conditionalFormatting sqref="AP24">
    <cfRule type="cellIs" dxfId="6254" priority="359" operator="greaterThan">
      <formula>0.03</formula>
    </cfRule>
    <cfRule type="cellIs" dxfId="6253" priority="360" stopIfTrue="1" operator="lessThan">
      <formula>-0.03</formula>
    </cfRule>
  </conditionalFormatting>
  <conditionalFormatting sqref="AP29">
    <cfRule type="cellIs" dxfId="6252" priority="357" operator="greaterThan">
      <formula>0.03</formula>
    </cfRule>
    <cfRule type="cellIs" dxfId="6251" priority="358" stopIfTrue="1" operator="lessThan">
      <formula>-0.03</formula>
    </cfRule>
  </conditionalFormatting>
  <conditionalFormatting sqref="AP34">
    <cfRule type="cellIs" dxfId="6250" priority="355" operator="greaterThan">
      <formula>0.03</formula>
    </cfRule>
    <cfRule type="cellIs" dxfId="6249" priority="356" stopIfTrue="1" operator="lessThan">
      <formula>-0.03</formula>
    </cfRule>
  </conditionalFormatting>
  <conditionalFormatting sqref="AP39">
    <cfRule type="cellIs" dxfId="6248" priority="353" operator="greaterThan">
      <formula>0.03</formula>
    </cfRule>
    <cfRule type="cellIs" dxfId="6247" priority="354" stopIfTrue="1" operator="lessThan">
      <formula>-0.03</formula>
    </cfRule>
  </conditionalFormatting>
  <conditionalFormatting sqref="AP44">
    <cfRule type="cellIs" dxfId="6246" priority="351" operator="greaterThan">
      <formula>0.03</formula>
    </cfRule>
    <cfRule type="cellIs" dxfId="6245" priority="352" stopIfTrue="1" operator="lessThan">
      <formula>-0.03</formula>
    </cfRule>
  </conditionalFormatting>
  <conditionalFormatting sqref="AP49">
    <cfRule type="cellIs" dxfId="6244" priority="349" operator="greaterThan">
      <formula>0.03</formula>
    </cfRule>
    <cfRule type="cellIs" dxfId="6243" priority="350" stopIfTrue="1" operator="lessThan">
      <formula>-0.03</formula>
    </cfRule>
  </conditionalFormatting>
  <conditionalFormatting sqref="AP54">
    <cfRule type="cellIs" dxfId="6242" priority="347" operator="greaterThan">
      <formula>0.03</formula>
    </cfRule>
    <cfRule type="cellIs" dxfId="6241" priority="348" stopIfTrue="1" operator="lessThan">
      <formula>-0.03</formula>
    </cfRule>
  </conditionalFormatting>
  <conditionalFormatting sqref="AP59">
    <cfRule type="cellIs" dxfId="6240" priority="345" operator="greaterThan">
      <formula>0.03</formula>
    </cfRule>
    <cfRule type="cellIs" dxfId="6239" priority="346" stopIfTrue="1" operator="lessThan">
      <formula>-0.03</formula>
    </cfRule>
  </conditionalFormatting>
  <conditionalFormatting sqref="AP64">
    <cfRule type="cellIs" dxfId="6238" priority="343" operator="greaterThan">
      <formula>0.03</formula>
    </cfRule>
    <cfRule type="cellIs" dxfId="6237" priority="344" stopIfTrue="1" operator="lessThan">
      <formula>-0.03</formula>
    </cfRule>
  </conditionalFormatting>
  <conditionalFormatting sqref="AP69">
    <cfRule type="cellIs" dxfId="6236" priority="341" operator="greaterThan">
      <formula>0.03</formula>
    </cfRule>
    <cfRule type="cellIs" dxfId="6235" priority="342" stopIfTrue="1" operator="lessThan">
      <formula>-0.03</formula>
    </cfRule>
  </conditionalFormatting>
  <conditionalFormatting sqref="AP74">
    <cfRule type="cellIs" dxfId="6234" priority="339" operator="greaterThan">
      <formula>0.03</formula>
    </cfRule>
    <cfRule type="cellIs" dxfId="6233" priority="340" stopIfTrue="1" operator="lessThan">
      <formula>-0.03</formula>
    </cfRule>
  </conditionalFormatting>
  <conditionalFormatting sqref="AP79">
    <cfRule type="cellIs" dxfId="6232" priority="337" operator="greaterThan">
      <formula>0.03</formula>
    </cfRule>
    <cfRule type="cellIs" dxfId="6231" priority="338" stopIfTrue="1" operator="lessThan">
      <formula>-0.03</formula>
    </cfRule>
  </conditionalFormatting>
  <conditionalFormatting sqref="AP84">
    <cfRule type="cellIs" dxfId="6230" priority="335" operator="greaterThan">
      <formula>0.03</formula>
    </cfRule>
    <cfRule type="cellIs" dxfId="6229" priority="336" stopIfTrue="1" operator="lessThan">
      <formula>-0.03</formula>
    </cfRule>
  </conditionalFormatting>
  <conditionalFormatting sqref="AP89">
    <cfRule type="cellIs" dxfId="6228" priority="333" operator="greaterThan">
      <formula>0.03</formula>
    </cfRule>
    <cfRule type="cellIs" dxfId="6227" priority="334" stopIfTrue="1" operator="lessThan">
      <formula>-0.03</formula>
    </cfRule>
  </conditionalFormatting>
  <conditionalFormatting sqref="AP94">
    <cfRule type="cellIs" dxfId="6226" priority="331" operator="greaterThan">
      <formula>0.03</formula>
    </cfRule>
    <cfRule type="cellIs" dxfId="6225" priority="332" stopIfTrue="1" operator="lessThan">
      <formula>-0.03</formula>
    </cfRule>
  </conditionalFormatting>
  <conditionalFormatting sqref="AP99">
    <cfRule type="cellIs" dxfId="6224" priority="329" operator="greaterThan">
      <formula>0.03</formula>
    </cfRule>
    <cfRule type="cellIs" dxfId="6223" priority="330" stopIfTrue="1" operator="lessThan">
      <formula>-0.03</formula>
    </cfRule>
  </conditionalFormatting>
  <conditionalFormatting sqref="AP104">
    <cfRule type="cellIs" dxfId="6222" priority="327" operator="greaterThan">
      <formula>0.03</formula>
    </cfRule>
    <cfRule type="cellIs" dxfId="6221" priority="328" stopIfTrue="1" operator="lessThan">
      <formula>-0.03</formula>
    </cfRule>
  </conditionalFormatting>
  <conditionalFormatting sqref="AP109">
    <cfRule type="cellIs" dxfId="6220" priority="325" operator="greaterThan">
      <formula>0.03</formula>
    </cfRule>
    <cfRule type="cellIs" dxfId="6219" priority="326" stopIfTrue="1" operator="lessThan">
      <formula>-0.03</formula>
    </cfRule>
  </conditionalFormatting>
  <conditionalFormatting sqref="AP114">
    <cfRule type="cellIs" dxfId="6218" priority="323" operator="greaterThan">
      <formula>0.03</formula>
    </cfRule>
    <cfRule type="cellIs" dxfId="6217" priority="324" stopIfTrue="1" operator="lessThan">
      <formula>-0.03</formula>
    </cfRule>
  </conditionalFormatting>
  <conditionalFormatting sqref="AP119">
    <cfRule type="cellIs" dxfId="6216" priority="321" operator="greaterThan">
      <formula>0.03</formula>
    </cfRule>
    <cfRule type="cellIs" dxfId="6215" priority="322" stopIfTrue="1" operator="lessThan">
      <formula>-0.03</formula>
    </cfRule>
  </conditionalFormatting>
  <conditionalFormatting sqref="AP124">
    <cfRule type="cellIs" dxfId="6214" priority="319" operator="greaterThan">
      <formula>0.03</formula>
    </cfRule>
    <cfRule type="cellIs" dxfId="6213" priority="320" stopIfTrue="1" operator="lessThan">
      <formula>-0.03</formula>
    </cfRule>
  </conditionalFormatting>
  <conditionalFormatting sqref="AP129">
    <cfRule type="cellIs" dxfId="6212" priority="317" operator="greaterThan">
      <formula>0.03</formula>
    </cfRule>
    <cfRule type="cellIs" dxfId="6211" priority="318" stopIfTrue="1" operator="lessThan">
      <formula>-0.03</formula>
    </cfRule>
  </conditionalFormatting>
  <conditionalFormatting sqref="AI8:AK8">
    <cfRule type="cellIs" dxfId="6210" priority="315" operator="greaterThan">
      <formula>0.03</formula>
    </cfRule>
    <cfRule type="cellIs" dxfId="6209" priority="316" stopIfTrue="1" operator="lessThan">
      <formula>-0.03</formula>
    </cfRule>
  </conditionalFormatting>
  <conditionalFormatting sqref="AF8:AH8">
    <cfRule type="cellIs" dxfId="6208" priority="313" operator="greaterThan">
      <formula>0.03</formula>
    </cfRule>
    <cfRule type="cellIs" dxfId="6207" priority="314" stopIfTrue="1" operator="lessThan">
      <formula>-0.03</formula>
    </cfRule>
  </conditionalFormatting>
  <conditionalFormatting sqref="AI13:AK13">
    <cfRule type="cellIs" dxfId="6206" priority="311" operator="greaterThan">
      <formula>0.03</formula>
    </cfRule>
    <cfRule type="cellIs" dxfId="6205" priority="312" stopIfTrue="1" operator="lessThan">
      <formula>-0.03</formula>
    </cfRule>
  </conditionalFormatting>
  <conditionalFormatting sqref="AF13:AH13">
    <cfRule type="cellIs" dxfId="6204" priority="309" operator="greaterThan">
      <formula>0.03</formula>
    </cfRule>
    <cfRule type="cellIs" dxfId="6203" priority="310" stopIfTrue="1" operator="lessThan">
      <formula>-0.03</formula>
    </cfRule>
  </conditionalFormatting>
  <conditionalFormatting sqref="AI18:AK18">
    <cfRule type="cellIs" dxfId="6202" priority="307" operator="greaterThan">
      <formula>0.03</formula>
    </cfRule>
    <cfRule type="cellIs" dxfId="6201" priority="308" stopIfTrue="1" operator="lessThan">
      <formula>-0.03</formula>
    </cfRule>
  </conditionalFormatting>
  <conditionalFormatting sqref="AF18:AH18">
    <cfRule type="cellIs" dxfId="6200" priority="305" operator="greaterThan">
      <formula>0.03</formula>
    </cfRule>
    <cfRule type="cellIs" dxfId="6199" priority="306" stopIfTrue="1" operator="lessThan">
      <formula>-0.03</formula>
    </cfRule>
  </conditionalFormatting>
  <conditionalFormatting sqref="AI23:AK23">
    <cfRule type="cellIs" dxfId="6198" priority="303" operator="greaterThan">
      <formula>0.03</formula>
    </cfRule>
    <cfRule type="cellIs" dxfId="6197" priority="304" stopIfTrue="1" operator="lessThan">
      <formula>-0.03</formula>
    </cfRule>
  </conditionalFormatting>
  <conditionalFormatting sqref="AF23:AH23">
    <cfRule type="cellIs" dxfId="6196" priority="301" operator="greaterThan">
      <formula>0.03</formula>
    </cfRule>
    <cfRule type="cellIs" dxfId="6195" priority="302" stopIfTrue="1" operator="lessThan">
      <formula>-0.03</formula>
    </cfRule>
  </conditionalFormatting>
  <conditionalFormatting sqref="AI28:AK28">
    <cfRule type="cellIs" dxfId="6194" priority="299" operator="greaterThan">
      <formula>0.03</formula>
    </cfRule>
    <cfRule type="cellIs" dxfId="6193" priority="300" stopIfTrue="1" operator="lessThan">
      <formula>-0.03</formula>
    </cfRule>
  </conditionalFormatting>
  <conditionalFormatting sqref="AF28:AH28">
    <cfRule type="cellIs" dxfId="6192" priority="297" operator="greaterThan">
      <formula>0.03</formula>
    </cfRule>
    <cfRule type="cellIs" dxfId="6191" priority="298" stopIfTrue="1" operator="lessThan">
      <formula>-0.03</formula>
    </cfRule>
  </conditionalFormatting>
  <conditionalFormatting sqref="AI33:AK33">
    <cfRule type="cellIs" dxfId="6190" priority="295" operator="greaterThan">
      <formula>0.03</formula>
    </cfRule>
    <cfRule type="cellIs" dxfId="6189" priority="296" stopIfTrue="1" operator="lessThan">
      <formula>-0.03</formula>
    </cfRule>
  </conditionalFormatting>
  <conditionalFormatting sqref="AF33:AH33">
    <cfRule type="cellIs" dxfId="6188" priority="293" operator="greaterThan">
      <formula>0.03</formula>
    </cfRule>
    <cfRule type="cellIs" dxfId="6187" priority="294" stopIfTrue="1" operator="lessThan">
      <formula>-0.03</formula>
    </cfRule>
  </conditionalFormatting>
  <conditionalFormatting sqref="AI38:AK38">
    <cfRule type="cellIs" dxfId="6186" priority="291" operator="greaterThan">
      <formula>0.03</formula>
    </cfRule>
    <cfRule type="cellIs" dxfId="6185" priority="292" stopIfTrue="1" operator="lessThan">
      <formula>-0.03</formula>
    </cfRule>
  </conditionalFormatting>
  <conditionalFormatting sqref="AF38:AH38">
    <cfRule type="cellIs" dxfId="6184" priority="289" operator="greaterThan">
      <formula>0.03</formula>
    </cfRule>
    <cfRule type="cellIs" dxfId="6183" priority="290" stopIfTrue="1" operator="lessThan">
      <formula>-0.03</formula>
    </cfRule>
  </conditionalFormatting>
  <conditionalFormatting sqref="AI43:AK43">
    <cfRule type="cellIs" dxfId="6182" priority="287" operator="greaterThan">
      <formula>0.03</formula>
    </cfRule>
    <cfRule type="cellIs" dxfId="6181" priority="288" stopIfTrue="1" operator="lessThan">
      <formula>-0.03</formula>
    </cfRule>
  </conditionalFormatting>
  <conditionalFormatting sqref="AF43:AH43">
    <cfRule type="cellIs" dxfId="6180" priority="285" operator="greaterThan">
      <formula>0.03</formula>
    </cfRule>
    <cfRule type="cellIs" dxfId="6179" priority="286" stopIfTrue="1" operator="lessThan">
      <formula>-0.03</formula>
    </cfRule>
  </conditionalFormatting>
  <conditionalFormatting sqref="AI48:AK48">
    <cfRule type="cellIs" dxfId="6178" priority="283" operator="greaterThan">
      <formula>0.03</formula>
    </cfRule>
    <cfRule type="cellIs" dxfId="6177" priority="284" stopIfTrue="1" operator="lessThan">
      <formula>-0.03</formula>
    </cfRule>
  </conditionalFormatting>
  <conditionalFormatting sqref="AF48:AH48">
    <cfRule type="cellIs" dxfId="6176" priority="281" operator="greaterThan">
      <formula>0.03</formula>
    </cfRule>
    <cfRule type="cellIs" dxfId="6175" priority="282" stopIfTrue="1" operator="lessThan">
      <formula>-0.03</formula>
    </cfRule>
  </conditionalFormatting>
  <conditionalFormatting sqref="AI53:AK53">
    <cfRule type="cellIs" dxfId="6174" priority="279" operator="greaterThan">
      <formula>0.03</formula>
    </cfRule>
    <cfRule type="cellIs" dxfId="6173" priority="280" stopIfTrue="1" operator="lessThan">
      <formula>-0.03</formula>
    </cfRule>
  </conditionalFormatting>
  <conditionalFormatting sqref="AF53:AH53">
    <cfRule type="cellIs" dxfId="6172" priority="277" operator="greaterThan">
      <formula>0.03</formula>
    </cfRule>
    <cfRule type="cellIs" dxfId="6171" priority="278" stopIfTrue="1" operator="lessThan">
      <formula>-0.03</formula>
    </cfRule>
  </conditionalFormatting>
  <conditionalFormatting sqref="AI58:AK58">
    <cfRule type="cellIs" dxfId="6170" priority="275" operator="greaterThan">
      <formula>0.03</formula>
    </cfRule>
    <cfRule type="cellIs" dxfId="6169" priority="276" stopIfTrue="1" operator="lessThan">
      <formula>-0.03</formula>
    </cfRule>
  </conditionalFormatting>
  <conditionalFormatting sqref="AF58:AH58">
    <cfRule type="cellIs" dxfId="6168" priority="273" operator="greaterThan">
      <formula>0.03</formula>
    </cfRule>
    <cfRule type="cellIs" dxfId="6167" priority="274" stopIfTrue="1" operator="lessThan">
      <formula>-0.03</formula>
    </cfRule>
  </conditionalFormatting>
  <conditionalFormatting sqref="AI63:AK63">
    <cfRule type="cellIs" dxfId="6166" priority="271" operator="greaterThan">
      <formula>0.03</formula>
    </cfRule>
    <cfRule type="cellIs" dxfId="6165" priority="272" stopIfTrue="1" operator="lessThan">
      <formula>-0.03</formula>
    </cfRule>
  </conditionalFormatting>
  <conditionalFormatting sqref="AF63:AH63">
    <cfRule type="cellIs" dxfId="6164" priority="269" operator="greaterThan">
      <formula>0.03</formula>
    </cfRule>
    <cfRule type="cellIs" dxfId="6163" priority="270" stopIfTrue="1" operator="lessThan">
      <formula>-0.03</formula>
    </cfRule>
  </conditionalFormatting>
  <conditionalFormatting sqref="AI68:AK68">
    <cfRule type="cellIs" dxfId="6162" priority="267" operator="greaterThan">
      <formula>0.03</formula>
    </cfRule>
    <cfRule type="cellIs" dxfId="6161" priority="268" stopIfTrue="1" operator="lessThan">
      <formula>-0.03</formula>
    </cfRule>
  </conditionalFormatting>
  <conditionalFormatting sqref="AF68:AH68">
    <cfRule type="cellIs" dxfId="6160" priority="265" operator="greaterThan">
      <formula>0.03</formula>
    </cfRule>
    <cfRule type="cellIs" dxfId="6159" priority="266" stopIfTrue="1" operator="lessThan">
      <formula>-0.03</formula>
    </cfRule>
  </conditionalFormatting>
  <conditionalFormatting sqref="AI73:AK73">
    <cfRule type="cellIs" dxfId="6158" priority="263" operator="greaterThan">
      <formula>0.03</formula>
    </cfRule>
    <cfRule type="cellIs" dxfId="6157" priority="264" stopIfTrue="1" operator="lessThan">
      <formula>-0.03</formula>
    </cfRule>
  </conditionalFormatting>
  <conditionalFormatting sqref="AF73:AH73">
    <cfRule type="cellIs" dxfId="6156" priority="261" operator="greaterThan">
      <formula>0.03</formula>
    </cfRule>
    <cfRule type="cellIs" dxfId="6155" priority="262" stopIfTrue="1" operator="lessThan">
      <formula>-0.03</formula>
    </cfRule>
  </conditionalFormatting>
  <conditionalFormatting sqref="AI78:AK78">
    <cfRule type="cellIs" dxfId="6154" priority="259" operator="greaterThan">
      <formula>0.03</formula>
    </cfRule>
    <cfRule type="cellIs" dxfId="6153" priority="260" stopIfTrue="1" operator="lessThan">
      <formula>-0.03</formula>
    </cfRule>
  </conditionalFormatting>
  <conditionalFormatting sqref="AF78:AH78">
    <cfRule type="cellIs" dxfId="6152" priority="257" operator="greaterThan">
      <formula>0.03</formula>
    </cfRule>
    <cfRule type="cellIs" dxfId="6151" priority="258" stopIfTrue="1" operator="lessThan">
      <formula>-0.03</formula>
    </cfRule>
  </conditionalFormatting>
  <conditionalFormatting sqref="AI83:AK83">
    <cfRule type="cellIs" dxfId="6150" priority="255" operator="greaterThan">
      <formula>0.03</formula>
    </cfRule>
    <cfRule type="cellIs" dxfId="6149" priority="256" stopIfTrue="1" operator="lessThan">
      <formula>-0.03</formula>
    </cfRule>
  </conditionalFormatting>
  <conditionalFormatting sqref="AF83:AH83">
    <cfRule type="cellIs" dxfId="6148" priority="253" operator="greaterThan">
      <formula>0.03</formula>
    </cfRule>
    <cfRule type="cellIs" dxfId="6147" priority="254" stopIfTrue="1" operator="lessThan">
      <formula>-0.03</formula>
    </cfRule>
  </conditionalFormatting>
  <conditionalFormatting sqref="AI88:AK88">
    <cfRule type="cellIs" dxfId="6146" priority="251" operator="greaterThan">
      <formula>0.03</formula>
    </cfRule>
    <cfRule type="cellIs" dxfId="6145" priority="252" stopIfTrue="1" operator="lessThan">
      <formula>-0.03</formula>
    </cfRule>
  </conditionalFormatting>
  <conditionalFormatting sqref="AF88:AH88">
    <cfRule type="cellIs" dxfId="6144" priority="249" operator="greaterThan">
      <formula>0.03</formula>
    </cfRule>
    <cfRule type="cellIs" dxfId="6143" priority="250" stopIfTrue="1" operator="lessThan">
      <formula>-0.03</formula>
    </cfRule>
  </conditionalFormatting>
  <conditionalFormatting sqref="AI93:AK93">
    <cfRule type="cellIs" dxfId="6142" priority="247" operator="greaterThan">
      <formula>0.03</formula>
    </cfRule>
    <cfRule type="cellIs" dxfId="6141" priority="248" stopIfTrue="1" operator="lessThan">
      <formula>-0.03</formula>
    </cfRule>
  </conditionalFormatting>
  <conditionalFormatting sqref="AF93:AH93">
    <cfRule type="cellIs" dxfId="6140" priority="245" operator="greaterThan">
      <formula>0.03</formula>
    </cfRule>
    <cfRule type="cellIs" dxfId="6139" priority="246" stopIfTrue="1" operator="lessThan">
      <formula>-0.03</formula>
    </cfRule>
  </conditionalFormatting>
  <conditionalFormatting sqref="AI98:AK98">
    <cfRule type="cellIs" dxfId="6138" priority="243" operator="greaterThan">
      <formula>0.03</formula>
    </cfRule>
    <cfRule type="cellIs" dxfId="6137" priority="244" stopIfTrue="1" operator="lessThan">
      <formula>-0.03</formula>
    </cfRule>
  </conditionalFormatting>
  <conditionalFormatting sqref="AF98:AH98">
    <cfRule type="cellIs" dxfId="6136" priority="241" operator="greaterThan">
      <formula>0.03</formula>
    </cfRule>
    <cfRule type="cellIs" dxfId="6135" priority="242" stopIfTrue="1" operator="lessThan">
      <formula>-0.03</formula>
    </cfRule>
  </conditionalFormatting>
  <conditionalFormatting sqref="AI103:AK103">
    <cfRule type="cellIs" dxfId="6134" priority="239" operator="greaterThan">
      <formula>0.03</formula>
    </cfRule>
    <cfRule type="cellIs" dxfId="6133" priority="240" stopIfTrue="1" operator="lessThan">
      <formula>-0.03</formula>
    </cfRule>
  </conditionalFormatting>
  <conditionalFormatting sqref="AF103:AH103">
    <cfRule type="cellIs" dxfId="6132" priority="237" operator="greaterThan">
      <formula>0.03</formula>
    </cfRule>
    <cfRule type="cellIs" dxfId="6131" priority="238" stopIfTrue="1" operator="lessThan">
      <formula>-0.03</formula>
    </cfRule>
  </conditionalFormatting>
  <conditionalFormatting sqref="AI108:AK108">
    <cfRule type="cellIs" dxfId="6130" priority="235" operator="greaterThan">
      <formula>0.03</formula>
    </cfRule>
    <cfRule type="cellIs" dxfId="6129" priority="236" stopIfTrue="1" operator="lessThan">
      <formula>-0.03</formula>
    </cfRule>
  </conditionalFormatting>
  <conditionalFormatting sqref="AF108:AH108">
    <cfRule type="cellIs" dxfId="6128" priority="233" operator="greaterThan">
      <formula>0.03</formula>
    </cfRule>
    <cfRule type="cellIs" dxfId="6127" priority="234" stopIfTrue="1" operator="lessThan">
      <formula>-0.03</formula>
    </cfRule>
  </conditionalFormatting>
  <conditionalFormatting sqref="AI113:AK113">
    <cfRule type="cellIs" dxfId="6126" priority="231" operator="greaterThan">
      <formula>0.03</formula>
    </cfRule>
    <cfRule type="cellIs" dxfId="6125" priority="232" stopIfTrue="1" operator="lessThan">
      <formula>-0.03</formula>
    </cfRule>
  </conditionalFormatting>
  <conditionalFormatting sqref="AF113:AH113">
    <cfRule type="cellIs" dxfId="6124" priority="229" operator="greaterThan">
      <formula>0.03</formula>
    </cfRule>
    <cfRule type="cellIs" dxfId="6123" priority="230" stopIfTrue="1" operator="lessThan">
      <formula>-0.03</formula>
    </cfRule>
  </conditionalFormatting>
  <conditionalFormatting sqref="AI118:AK118">
    <cfRule type="cellIs" dxfId="6122" priority="227" operator="greaterThan">
      <formula>0.03</formula>
    </cfRule>
    <cfRule type="cellIs" dxfId="6121" priority="228" stopIfTrue="1" operator="lessThan">
      <formula>-0.03</formula>
    </cfRule>
  </conditionalFormatting>
  <conditionalFormatting sqref="AF118:AH118">
    <cfRule type="cellIs" dxfId="6120" priority="225" operator="greaterThan">
      <formula>0.03</formula>
    </cfRule>
    <cfRule type="cellIs" dxfId="6119" priority="226" stopIfTrue="1" operator="lessThan">
      <formula>-0.03</formula>
    </cfRule>
  </conditionalFormatting>
  <conditionalFormatting sqref="AI123:AK123">
    <cfRule type="cellIs" dxfId="6118" priority="223" operator="greaterThan">
      <formula>0.03</formula>
    </cfRule>
    <cfRule type="cellIs" dxfId="6117" priority="224" stopIfTrue="1" operator="lessThan">
      <formula>-0.03</formula>
    </cfRule>
  </conditionalFormatting>
  <conditionalFormatting sqref="AF123:AH123">
    <cfRule type="cellIs" dxfId="6116" priority="221" operator="greaterThan">
      <formula>0.03</formula>
    </cfRule>
    <cfRule type="cellIs" dxfId="6115" priority="222" stopIfTrue="1" operator="lessThan">
      <formula>-0.03</formula>
    </cfRule>
  </conditionalFormatting>
  <conditionalFormatting sqref="AI128:AK128">
    <cfRule type="cellIs" dxfId="6114" priority="219" operator="greaterThan">
      <formula>0.03</formula>
    </cfRule>
    <cfRule type="cellIs" dxfId="6113" priority="220" stopIfTrue="1" operator="lessThan">
      <formula>-0.03</formula>
    </cfRule>
  </conditionalFormatting>
  <conditionalFormatting sqref="AF128:AH128">
    <cfRule type="cellIs" dxfId="6112" priority="217" operator="greaterThan">
      <formula>0.03</formula>
    </cfRule>
    <cfRule type="cellIs" dxfId="6111" priority="218" stopIfTrue="1" operator="lessThan">
      <formula>-0.03</formula>
    </cfRule>
  </conditionalFormatting>
  <conditionalFormatting sqref="AO9:AQ9">
    <cfRule type="cellIs" dxfId="6110" priority="213" operator="greaterThan">
      <formula>0.03</formula>
    </cfRule>
    <cfRule type="cellIs" dxfId="6109" priority="214" stopIfTrue="1" operator="lessThan">
      <formula>-0.03</formula>
    </cfRule>
  </conditionalFormatting>
  <conditionalFormatting sqref="AL9:AN9">
    <cfRule type="cellIs" dxfId="6108" priority="215" operator="greaterThan">
      <formula>0.03</formula>
    </cfRule>
    <cfRule type="cellIs" dxfId="6107" priority="216" stopIfTrue="1" operator="lessThan">
      <formula>-0.03</formula>
    </cfRule>
  </conditionalFormatting>
  <conditionalFormatting sqref="AO14:AQ14">
    <cfRule type="cellIs" dxfId="6106" priority="209" operator="greaterThan">
      <formula>0.03</formula>
    </cfRule>
    <cfRule type="cellIs" dxfId="6105" priority="210" stopIfTrue="1" operator="lessThan">
      <formula>-0.03</formula>
    </cfRule>
  </conditionalFormatting>
  <conditionalFormatting sqref="AL14:AN14">
    <cfRule type="cellIs" dxfId="6104" priority="211" operator="greaterThan">
      <formula>0.03</formula>
    </cfRule>
    <cfRule type="cellIs" dxfId="6103" priority="212" stopIfTrue="1" operator="lessThan">
      <formula>-0.03</formula>
    </cfRule>
  </conditionalFormatting>
  <conditionalFormatting sqref="AO19:AQ19">
    <cfRule type="cellIs" dxfId="6102" priority="205" operator="greaterThan">
      <formula>0.03</formula>
    </cfRule>
    <cfRule type="cellIs" dxfId="6101" priority="206" stopIfTrue="1" operator="lessThan">
      <formula>-0.03</formula>
    </cfRule>
  </conditionalFormatting>
  <conditionalFormatting sqref="AL19:AN19">
    <cfRule type="cellIs" dxfId="6100" priority="207" operator="greaterThan">
      <formula>0.03</formula>
    </cfRule>
    <cfRule type="cellIs" dxfId="6099" priority="208" stopIfTrue="1" operator="lessThan">
      <formula>-0.03</formula>
    </cfRule>
  </conditionalFormatting>
  <conditionalFormatting sqref="AO24:AQ24">
    <cfRule type="cellIs" dxfId="6098" priority="201" operator="greaterThan">
      <formula>0.03</formula>
    </cfRule>
    <cfRule type="cellIs" dxfId="6097" priority="202" stopIfTrue="1" operator="lessThan">
      <formula>-0.03</formula>
    </cfRule>
  </conditionalFormatting>
  <conditionalFormatting sqref="AL24:AN24">
    <cfRule type="cellIs" dxfId="6096" priority="203" operator="greaterThan">
      <formula>0.03</formula>
    </cfRule>
    <cfRule type="cellIs" dxfId="6095" priority="204" stopIfTrue="1" operator="lessThan">
      <formula>-0.03</formula>
    </cfRule>
  </conditionalFormatting>
  <conditionalFormatting sqref="AO29:AQ29">
    <cfRule type="cellIs" dxfId="6094" priority="197" operator="greaterThan">
      <formula>0.03</formula>
    </cfRule>
    <cfRule type="cellIs" dxfId="6093" priority="198" stopIfTrue="1" operator="lessThan">
      <formula>-0.03</formula>
    </cfRule>
  </conditionalFormatting>
  <conditionalFormatting sqref="AL29:AN29">
    <cfRule type="cellIs" dxfId="6092" priority="199" operator="greaterThan">
      <formula>0.03</formula>
    </cfRule>
    <cfRule type="cellIs" dxfId="6091" priority="200" stopIfTrue="1" operator="lessThan">
      <formula>-0.03</formula>
    </cfRule>
  </conditionalFormatting>
  <conditionalFormatting sqref="AO34:AQ34">
    <cfRule type="cellIs" dxfId="6090" priority="193" operator="greaterThan">
      <formula>0.03</formula>
    </cfRule>
    <cfRule type="cellIs" dxfId="6089" priority="194" stopIfTrue="1" operator="lessThan">
      <formula>-0.03</formula>
    </cfRule>
  </conditionalFormatting>
  <conditionalFormatting sqref="AL34:AN34">
    <cfRule type="cellIs" dxfId="6088" priority="195" operator="greaterThan">
      <formula>0.03</formula>
    </cfRule>
    <cfRule type="cellIs" dxfId="6087" priority="196" stopIfTrue="1" operator="lessThan">
      <formula>-0.03</formula>
    </cfRule>
  </conditionalFormatting>
  <conditionalFormatting sqref="AO39:AQ39">
    <cfRule type="cellIs" dxfId="6086" priority="189" operator="greaterThan">
      <formula>0.03</formula>
    </cfRule>
    <cfRule type="cellIs" dxfId="6085" priority="190" stopIfTrue="1" operator="lessThan">
      <formula>-0.03</formula>
    </cfRule>
  </conditionalFormatting>
  <conditionalFormatting sqref="AL39:AN39">
    <cfRule type="cellIs" dxfId="6084" priority="191" operator="greaterThan">
      <formula>0.03</formula>
    </cfRule>
    <cfRule type="cellIs" dxfId="6083" priority="192" stopIfTrue="1" operator="lessThan">
      <formula>-0.03</formula>
    </cfRule>
  </conditionalFormatting>
  <conditionalFormatting sqref="AO44:AQ44">
    <cfRule type="cellIs" dxfId="6082" priority="185" operator="greaterThan">
      <formula>0.03</formula>
    </cfRule>
    <cfRule type="cellIs" dxfId="6081" priority="186" stopIfTrue="1" operator="lessThan">
      <formula>-0.03</formula>
    </cfRule>
  </conditionalFormatting>
  <conditionalFormatting sqref="AL44:AN44">
    <cfRule type="cellIs" dxfId="6080" priority="187" operator="greaterThan">
      <formula>0.03</formula>
    </cfRule>
    <cfRule type="cellIs" dxfId="6079" priority="188" stopIfTrue="1" operator="lessThan">
      <formula>-0.03</formula>
    </cfRule>
  </conditionalFormatting>
  <conditionalFormatting sqref="AO49:AQ49">
    <cfRule type="cellIs" dxfId="6078" priority="181" operator="greaterThan">
      <formula>0.03</formula>
    </cfRule>
    <cfRule type="cellIs" dxfId="6077" priority="182" stopIfTrue="1" operator="lessThan">
      <formula>-0.03</formula>
    </cfRule>
  </conditionalFormatting>
  <conditionalFormatting sqref="AL49:AN49">
    <cfRule type="cellIs" dxfId="6076" priority="183" operator="greaterThan">
      <formula>0.03</formula>
    </cfRule>
    <cfRule type="cellIs" dxfId="6075" priority="184" stopIfTrue="1" operator="lessThan">
      <formula>-0.03</formula>
    </cfRule>
  </conditionalFormatting>
  <conditionalFormatting sqref="AO54:AQ54">
    <cfRule type="cellIs" dxfId="6074" priority="177" operator="greaterThan">
      <formula>0.03</formula>
    </cfRule>
    <cfRule type="cellIs" dxfId="6073" priority="178" stopIfTrue="1" operator="lessThan">
      <formula>-0.03</formula>
    </cfRule>
  </conditionalFormatting>
  <conditionalFormatting sqref="AL54:AN54">
    <cfRule type="cellIs" dxfId="6072" priority="179" operator="greaterThan">
      <formula>0.03</formula>
    </cfRule>
    <cfRule type="cellIs" dxfId="6071" priority="180" stopIfTrue="1" operator="lessThan">
      <formula>-0.03</formula>
    </cfRule>
  </conditionalFormatting>
  <conditionalFormatting sqref="AO59:AQ59">
    <cfRule type="cellIs" dxfId="6070" priority="173" operator="greaterThan">
      <formula>0.03</formula>
    </cfRule>
    <cfRule type="cellIs" dxfId="6069" priority="174" stopIfTrue="1" operator="lessThan">
      <formula>-0.03</formula>
    </cfRule>
  </conditionalFormatting>
  <conditionalFormatting sqref="AL59:AN59">
    <cfRule type="cellIs" dxfId="6068" priority="175" operator="greaterThan">
      <formula>0.03</formula>
    </cfRule>
    <cfRule type="cellIs" dxfId="6067" priority="176" stopIfTrue="1" operator="lessThan">
      <formula>-0.03</formula>
    </cfRule>
  </conditionalFormatting>
  <conditionalFormatting sqref="AO64:AQ64">
    <cfRule type="cellIs" dxfId="6066" priority="169" operator="greaterThan">
      <formula>0.03</formula>
    </cfRule>
    <cfRule type="cellIs" dxfId="6065" priority="170" stopIfTrue="1" operator="lessThan">
      <formula>-0.03</formula>
    </cfRule>
  </conditionalFormatting>
  <conditionalFormatting sqref="AL64:AN64">
    <cfRule type="cellIs" dxfId="6064" priority="171" operator="greaterThan">
      <formula>0.03</formula>
    </cfRule>
    <cfRule type="cellIs" dxfId="6063" priority="172" stopIfTrue="1" operator="lessThan">
      <formula>-0.03</formula>
    </cfRule>
  </conditionalFormatting>
  <conditionalFormatting sqref="AO69:AQ69">
    <cfRule type="cellIs" dxfId="6062" priority="165" operator="greaterThan">
      <formula>0.03</formula>
    </cfRule>
    <cfRule type="cellIs" dxfId="6061" priority="166" stopIfTrue="1" operator="lessThan">
      <formula>-0.03</formula>
    </cfRule>
  </conditionalFormatting>
  <conditionalFormatting sqref="AL69:AN69">
    <cfRule type="cellIs" dxfId="6060" priority="167" operator="greaterThan">
      <formula>0.03</formula>
    </cfRule>
    <cfRule type="cellIs" dxfId="6059" priority="168" stopIfTrue="1" operator="lessThan">
      <formula>-0.03</formula>
    </cfRule>
  </conditionalFormatting>
  <conditionalFormatting sqref="AO74:AQ74">
    <cfRule type="cellIs" dxfId="6058" priority="161" operator="greaterThan">
      <formula>0.03</formula>
    </cfRule>
    <cfRule type="cellIs" dxfId="6057" priority="162" stopIfTrue="1" operator="lessThan">
      <formula>-0.03</formula>
    </cfRule>
  </conditionalFormatting>
  <conditionalFormatting sqref="AL74:AN74">
    <cfRule type="cellIs" dxfId="6056" priority="163" operator="greaterThan">
      <formula>0.03</formula>
    </cfRule>
    <cfRule type="cellIs" dxfId="6055" priority="164" stopIfTrue="1" operator="lessThan">
      <formula>-0.03</formula>
    </cfRule>
  </conditionalFormatting>
  <conditionalFormatting sqref="AO79:AQ79">
    <cfRule type="cellIs" dxfId="6054" priority="157" operator="greaterThan">
      <formula>0.03</formula>
    </cfRule>
    <cfRule type="cellIs" dxfId="6053" priority="158" stopIfTrue="1" operator="lessThan">
      <formula>-0.03</formula>
    </cfRule>
  </conditionalFormatting>
  <conditionalFormatting sqref="AL79:AN79">
    <cfRule type="cellIs" dxfId="6052" priority="159" operator="greaterThan">
      <formula>0.03</formula>
    </cfRule>
    <cfRule type="cellIs" dxfId="6051" priority="160" stopIfTrue="1" operator="lessThan">
      <formula>-0.03</formula>
    </cfRule>
  </conditionalFormatting>
  <conditionalFormatting sqref="AO84:AQ84">
    <cfRule type="cellIs" dxfId="6050" priority="153" operator="greaterThan">
      <formula>0.03</formula>
    </cfRule>
    <cfRule type="cellIs" dxfId="6049" priority="154" stopIfTrue="1" operator="lessThan">
      <formula>-0.03</formula>
    </cfRule>
  </conditionalFormatting>
  <conditionalFormatting sqref="AL84:AN84">
    <cfRule type="cellIs" dxfId="6048" priority="155" operator="greaterThan">
      <formula>0.03</formula>
    </cfRule>
    <cfRule type="cellIs" dxfId="6047" priority="156" stopIfTrue="1" operator="lessThan">
      <formula>-0.03</formula>
    </cfRule>
  </conditionalFormatting>
  <conditionalFormatting sqref="AO89:AQ89">
    <cfRule type="cellIs" dxfId="6046" priority="149" operator="greaterThan">
      <formula>0.03</formula>
    </cfRule>
    <cfRule type="cellIs" dxfId="6045" priority="150" stopIfTrue="1" operator="lessThan">
      <formula>-0.03</formula>
    </cfRule>
  </conditionalFormatting>
  <conditionalFormatting sqref="AL89:AN89">
    <cfRule type="cellIs" dxfId="6044" priority="151" operator="greaterThan">
      <formula>0.03</formula>
    </cfRule>
    <cfRule type="cellIs" dxfId="6043" priority="152" stopIfTrue="1" operator="lessThan">
      <formula>-0.03</formula>
    </cfRule>
  </conditionalFormatting>
  <conditionalFormatting sqref="AO94:AQ94">
    <cfRule type="cellIs" dxfId="6042" priority="145" operator="greaterThan">
      <formula>0.03</formula>
    </cfRule>
    <cfRule type="cellIs" dxfId="6041" priority="146" stopIfTrue="1" operator="lessThan">
      <formula>-0.03</formula>
    </cfRule>
  </conditionalFormatting>
  <conditionalFormatting sqref="AL94:AN94">
    <cfRule type="cellIs" dxfId="6040" priority="147" operator="greaterThan">
      <formula>0.03</formula>
    </cfRule>
    <cfRule type="cellIs" dxfId="6039" priority="148" stopIfTrue="1" operator="lessThan">
      <formula>-0.03</formula>
    </cfRule>
  </conditionalFormatting>
  <conditionalFormatting sqref="AO99:AQ99">
    <cfRule type="cellIs" dxfId="6038" priority="141" operator="greaterThan">
      <formula>0.03</formula>
    </cfRule>
    <cfRule type="cellIs" dxfId="6037" priority="142" stopIfTrue="1" operator="lessThan">
      <formula>-0.03</formula>
    </cfRule>
  </conditionalFormatting>
  <conditionalFormatting sqref="AL99:AN99">
    <cfRule type="cellIs" dxfId="6036" priority="143" operator="greaterThan">
      <formula>0.03</formula>
    </cfRule>
    <cfRule type="cellIs" dxfId="6035" priority="144" stopIfTrue="1" operator="lessThan">
      <formula>-0.03</formula>
    </cfRule>
  </conditionalFormatting>
  <conditionalFormatting sqref="AO104:AQ104">
    <cfRule type="cellIs" dxfId="6034" priority="137" operator="greaterThan">
      <formula>0.03</formula>
    </cfRule>
    <cfRule type="cellIs" dxfId="6033" priority="138" stopIfTrue="1" operator="lessThan">
      <formula>-0.03</formula>
    </cfRule>
  </conditionalFormatting>
  <conditionalFormatting sqref="AL104:AN104">
    <cfRule type="cellIs" dxfId="6032" priority="139" operator="greaterThan">
      <formula>0.03</formula>
    </cfRule>
    <cfRule type="cellIs" dxfId="6031" priority="140" stopIfTrue="1" operator="lessThan">
      <formula>-0.03</formula>
    </cfRule>
  </conditionalFormatting>
  <conditionalFormatting sqref="AO109:AQ109">
    <cfRule type="cellIs" dxfId="6030" priority="133" operator="greaterThan">
      <formula>0.03</formula>
    </cfRule>
    <cfRule type="cellIs" dxfId="6029" priority="134" stopIfTrue="1" operator="lessThan">
      <formula>-0.03</formula>
    </cfRule>
  </conditionalFormatting>
  <conditionalFormatting sqref="AL109:AN109">
    <cfRule type="cellIs" dxfId="6028" priority="135" operator="greaterThan">
      <formula>0.03</formula>
    </cfRule>
    <cfRule type="cellIs" dxfId="6027" priority="136" stopIfTrue="1" operator="lessThan">
      <formula>-0.03</formula>
    </cfRule>
  </conditionalFormatting>
  <conditionalFormatting sqref="AO114:AQ114">
    <cfRule type="cellIs" dxfId="6026" priority="129" operator="greaterThan">
      <formula>0.03</formula>
    </cfRule>
    <cfRule type="cellIs" dxfId="6025" priority="130" stopIfTrue="1" operator="lessThan">
      <formula>-0.03</formula>
    </cfRule>
  </conditionalFormatting>
  <conditionalFormatting sqref="AL114:AN114">
    <cfRule type="cellIs" dxfId="6024" priority="131" operator="greaterThan">
      <formula>0.03</formula>
    </cfRule>
    <cfRule type="cellIs" dxfId="6023" priority="132" stopIfTrue="1" operator="lessThan">
      <formula>-0.03</formula>
    </cfRule>
  </conditionalFormatting>
  <conditionalFormatting sqref="AO119:AQ119">
    <cfRule type="cellIs" dxfId="6022" priority="125" operator="greaterThan">
      <formula>0.03</formula>
    </cfRule>
    <cfRule type="cellIs" dxfId="6021" priority="126" stopIfTrue="1" operator="lessThan">
      <formula>-0.03</formula>
    </cfRule>
  </conditionalFormatting>
  <conditionalFormatting sqref="AL119:AN119">
    <cfRule type="cellIs" dxfId="6020" priority="127" operator="greaterThan">
      <formula>0.03</formula>
    </cfRule>
    <cfRule type="cellIs" dxfId="6019" priority="128" stopIfTrue="1" operator="lessThan">
      <formula>-0.03</formula>
    </cfRule>
  </conditionalFormatting>
  <conditionalFormatting sqref="AO124:AQ124">
    <cfRule type="cellIs" dxfId="6018" priority="121" operator="greaterThan">
      <formula>0.03</formula>
    </cfRule>
    <cfRule type="cellIs" dxfId="6017" priority="122" stopIfTrue="1" operator="lessThan">
      <formula>-0.03</formula>
    </cfRule>
  </conditionalFormatting>
  <conditionalFormatting sqref="AL124:AN124">
    <cfRule type="cellIs" dxfId="6016" priority="123" operator="greaterThan">
      <formula>0.03</formula>
    </cfRule>
    <cfRule type="cellIs" dxfId="6015" priority="124" stopIfTrue="1" operator="lessThan">
      <formula>-0.03</formula>
    </cfRule>
  </conditionalFormatting>
  <conditionalFormatting sqref="AO129:AQ129">
    <cfRule type="cellIs" dxfId="6014" priority="117" operator="greaterThan">
      <formula>0.03</formula>
    </cfRule>
    <cfRule type="cellIs" dxfId="6013" priority="118" stopIfTrue="1" operator="lessThan">
      <formula>-0.03</formula>
    </cfRule>
  </conditionalFormatting>
  <conditionalFormatting sqref="AL129:AN129">
    <cfRule type="cellIs" dxfId="6012" priority="119" operator="greaterThan">
      <formula>0.03</formula>
    </cfRule>
    <cfRule type="cellIs" dxfId="6011" priority="120" stopIfTrue="1" operator="lessThan">
      <formula>-0.03</formula>
    </cfRule>
  </conditionalFormatting>
  <conditionalFormatting sqref="AU8:AW8">
    <cfRule type="cellIs" dxfId="6010" priority="115" operator="greaterThan">
      <formula>0.03</formula>
    </cfRule>
    <cfRule type="cellIs" dxfId="6009" priority="116" stopIfTrue="1" operator="lessThan">
      <formula>-0.03</formula>
    </cfRule>
  </conditionalFormatting>
  <conditionalFormatting sqref="AR8:AT8">
    <cfRule type="cellIs" dxfId="6008" priority="113" operator="greaterThan">
      <formula>0.03</formula>
    </cfRule>
    <cfRule type="cellIs" dxfId="6007" priority="114" stopIfTrue="1" operator="lessThan">
      <formula>-0.03</formula>
    </cfRule>
  </conditionalFormatting>
  <conditionalFormatting sqref="AU13:AW13">
    <cfRule type="cellIs" dxfId="6006" priority="111" operator="greaterThan">
      <formula>0.03</formula>
    </cfRule>
    <cfRule type="cellIs" dxfId="6005" priority="112" stopIfTrue="1" operator="lessThan">
      <formula>-0.03</formula>
    </cfRule>
  </conditionalFormatting>
  <conditionalFormatting sqref="AR13:AT13">
    <cfRule type="cellIs" dxfId="6004" priority="109" operator="greaterThan">
      <formula>0.03</formula>
    </cfRule>
    <cfRule type="cellIs" dxfId="6003" priority="110" stopIfTrue="1" operator="lessThan">
      <formula>-0.03</formula>
    </cfRule>
  </conditionalFormatting>
  <conditionalFormatting sqref="AU18:AW18">
    <cfRule type="cellIs" dxfId="6002" priority="107" operator="greaterThan">
      <formula>0.03</formula>
    </cfRule>
    <cfRule type="cellIs" dxfId="6001" priority="108" stopIfTrue="1" operator="lessThan">
      <formula>-0.03</formula>
    </cfRule>
  </conditionalFormatting>
  <conditionalFormatting sqref="AR18:AT18">
    <cfRule type="cellIs" dxfId="6000" priority="105" operator="greaterThan">
      <formula>0.03</formula>
    </cfRule>
    <cfRule type="cellIs" dxfId="5999" priority="106" stopIfTrue="1" operator="lessThan">
      <formula>-0.03</formula>
    </cfRule>
  </conditionalFormatting>
  <conditionalFormatting sqref="AU23:AW23">
    <cfRule type="cellIs" dxfId="5998" priority="103" operator="greaterThan">
      <formula>0.03</formula>
    </cfRule>
    <cfRule type="cellIs" dxfId="5997" priority="104" stopIfTrue="1" operator="lessThan">
      <formula>-0.03</formula>
    </cfRule>
  </conditionalFormatting>
  <conditionalFormatting sqref="AR23:AT23">
    <cfRule type="cellIs" dxfId="5996" priority="101" operator="greaterThan">
      <formula>0.03</formula>
    </cfRule>
    <cfRule type="cellIs" dxfId="5995" priority="102" stopIfTrue="1" operator="lessThan">
      <formula>-0.03</formula>
    </cfRule>
  </conditionalFormatting>
  <conditionalFormatting sqref="AU28:AW28">
    <cfRule type="cellIs" dxfId="5994" priority="99" operator="greaterThan">
      <formula>0.03</formula>
    </cfRule>
    <cfRule type="cellIs" dxfId="5993" priority="100" stopIfTrue="1" operator="lessThan">
      <formula>-0.03</formula>
    </cfRule>
  </conditionalFormatting>
  <conditionalFormatting sqref="AR28:AT28">
    <cfRule type="cellIs" dxfId="5992" priority="97" operator="greaterThan">
      <formula>0.03</formula>
    </cfRule>
    <cfRule type="cellIs" dxfId="5991" priority="98" stopIfTrue="1" operator="lessThan">
      <formula>-0.03</formula>
    </cfRule>
  </conditionalFormatting>
  <conditionalFormatting sqref="AU33:AW33">
    <cfRule type="cellIs" dxfId="5990" priority="95" operator="greaterThan">
      <formula>0.03</formula>
    </cfRule>
    <cfRule type="cellIs" dxfId="5989" priority="96" stopIfTrue="1" operator="lessThan">
      <formula>-0.03</formula>
    </cfRule>
  </conditionalFormatting>
  <conditionalFormatting sqref="AR33:AT33">
    <cfRule type="cellIs" dxfId="5988" priority="93" operator="greaterThan">
      <formula>0.03</formula>
    </cfRule>
    <cfRule type="cellIs" dxfId="5987" priority="94" stopIfTrue="1" operator="lessThan">
      <formula>-0.03</formula>
    </cfRule>
  </conditionalFormatting>
  <conditionalFormatting sqref="AU38:AW38">
    <cfRule type="cellIs" dxfId="5986" priority="91" operator="greaterThan">
      <formula>0.03</formula>
    </cfRule>
    <cfRule type="cellIs" dxfId="5985" priority="92" stopIfTrue="1" operator="lessThan">
      <formula>-0.03</formula>
    </cfRule>
  </conditionalFormatting>
  <conditionalFormatting sqref="AR38:AT38">
    <cfRule type="cellIs" dxfId="5984" priority="89" operator="greaterThan">
      <formula>0.03</formula>
    </cfRule>
    <cfRule type="cellIs" dxfId="5983" priority="90" stopIfTrue="1" operator="lessThan">
      <formula>-0.03</formula>
    </cfRule>
  </conditionalFormatting>
  <conditionalFormatting sqref="AU43:AW43">
    <cfRule type="cellIs" dxfId="5982" priority="87" operator="greaterThan">
      <formula>0.03</formula>
    </cfRule>
    <cfRule type="cellIs" dxfId="5981" priority="88" stopIfTrue="1" operator="lessThan">
      <formula>-0.03</formula>
    </cfRule>
  </conditionalFormatting>
  <conditionalFormatting sqref="AR43:AT43">
    <cfRule type="cellIs" dxfId="5980" priority="85" operator="greaterThan">
      <formula>0.03</formula>
    </cfRule>
    <cfRule type="cellIs" dxfId="5979" priority="86" stopIfTrue="1" operator="lessThan">
      <formula>-0.03</formula>
    </cfRule>
  </conditionalFormatting>
  <conditionalFormatting sqref="AU48:AW48">
    <cfRule type="cellIs" dxfId="5978" priority="83" operator="greaterThan">
      <formula>0.03</formula>
    </cfRule>
    <cfRule type="cellIs" dxfId="5977" priority="84" stopIfTrue="1" operator="lessThan">
      <formula>-0.03</formula>
    </cfRule>
  </conditionalFormatting>
  <conditionalFormatting sqref="AR48:AT48">
    <cfRule type="cellIs" dxfId="5976" priority="81" operator="greaterThan">
      <formula>0.03</formula>
    </cfRule>
    <cfRule type="cellIs" dxfId="5975" priority="82" stopIfTrue="1" operator="lessThan">
      <formula>-0.03</formula>
    </cfRule>
  </conditionalFormatting>
  <conditionalFormatting sqref="AU53:AW53">
    <cfRule type="cellIs" dxfId="5974" priority="79" operator="greaterThan">
      <formula>0.03</formula>
    </cfRule>
    <cfRule type="cellIs" dxfId="5973" priority="80" stopIfTrue="1" operator="lessThan">
      <formula>-0.03</formula>
    </cfRule>
  </conditionalFormatting>
  <conditionalFormatting sqref="AR53:AT53">
    <cfRule type="cellIs" dxfId="5972" priority="77" operator="greaterThan">
      <formula>0.03</formula>
    </cfRule>
    <cfRule type="cellIs" dxfId="5971" priority="78" stopIfTrue="1" operator="lessThan">
      <formula>-0.03</formula>
    </cfRule>
  </conditionalFormatting>
  <conditionalFormatting sqref="AU58:AW58">
    <cfRule type="cellIs" dxfId="5970" priority="75" operator="greaterThan">
      <formula>0.03</formula>
    </cfRule>
    <cfRule type="cellIs" dxfId="5969" priority="76" stopIfTrue="1" operator="lessThan">
      <formula>-0.03</formula>
    </cfRule>
  </conditionalFormatting>
  <conditionalFormatting sqref="AR58:AT58">
    <cfRule type="cellIs" dxfId="5968" priority="73" operator="greaterThan">
      <formula>0.03</formula>
    </cfRule>
    <cfRule type="cellIs" dxfId="5967" priority="74" stopIfTrue="1" operator="lessThan">
      <formula>-0.03</formula>
    </cfRule>
  </conditionalFormatting>
  <conditionalFormatting sqref="AU63:AW63">
    <cfRule type="cellIs" dxfId="5966" priority="71" operator="greaterThan">
      <formula>0.03</formula>
    </cfRule>
    <cfRule type="cellIs" dxfId="5965" priority="72" stopIfTrue="1" operator="lessThan">
      <formula>-0.03</formula>
    </cfRule>
  </conditionalFormatting>
  <conditionalFormatting sqref="AR63:AT63">
    <cfRule type="cellIs" dxfId="5964" priority="69" operator="greaterThan">
      <formula>0.03</formula>
    </cfRule>
    <cfRule type="cellIs" dxfId="5963" priority="70" stopIfTrue="1" operator="lessThan">
      <formula>-0.03</formula>
    </cfRule>
  </conditionalFormatting>
  <conditionalFormatting sqref="AU68:AW68">
    <cfRule type="cellIs" dxfId="5962" priority="67" operator="greaterThan">
      <formula>0.03</formula>
    </cfRule>
    <cfRule type="cellIs" dxfId="5961" priority="68" stopIfTrue="1" operator="lessThan">
      <formula>-0.03</formula>
    </cfRule>
  </conditionalFormatting>
  <conditionalFormatting sqref="AR68:AT68">
    <cfRule type="cellIs" dxfId="5960" priority="65" operator="greaterThan">
      <formula>0.03</formula>
    </cfRule>
    <cfRule type="cellIs" dxfId="5959" priority="66" stopIfTrue="1" operator="lessThan">
      <formula>-0.03</formula>
    </cfRule>
  </conditionalFormatting>
  <conditionalFormatting sqref="AU78:AW78">
    <cfRule type="cellIs" dxfId="5958" priority="63" operator="greaterThan">
      <formula>0.03</formula>
    </cfRule>
    <cfRule type="cellIs" dxfId="5957" priority="64" stopIfTrue="1" operator="lessThan">
      <formula>-0.03</formula>
    </cfRule>
  </conditionalFormatting>
  <conditionalFormatting sqref="AR78:AT78">
    <cfRule type="cellIs" dxfId="5956" priority="61" operator="greaterThan">
      <formula>0.03</formula>
    </cfRule>
    <cfRule type="cellIs" dxfId="5955" priority="62" stopIfTrue="1" operator="lessThan">
      <formula>-0.03</formula>
    </cfRule>
  </conditionalFormatting>
  <conditionalFormatting sqref="AU83:AW83">
    <cfRule type="cellIs" dxfId="5954" priority="59" operator="greaterThan">
      <formula>0.03</formula>
    </cfRule>
    <cfRule type="cellIs" dxfId="5953" priority="60" stopIfTrue="1" operator="lessThan">
      <formula>-0.03</formula>
    </cfRule>
  </conditionalFormatting>
  <conditionalFormatting sqref="AR83:AT83">
    <cfRule type="cellIs" dxfId="5952" priority="57" operator="greaterThan">
      <formula>0.03</formula>
    </cfRule>
    <cfRule type="cellIs" dxfId="5951" priority="58" stopIfTrue="1" operator="lessThan">
      <formula>-0.03</formula>
    </cfRule>
  </conditionalFormatting>
  <conditionalFormatting sqref="AU88:AW88">
    <cfRule type="cellIs" dxfId="5950" priority="55" operator="greaterThan">
      <formula>0.03</formula>
    </cfRule>
    <cfRule type="cellIs" dxfId="5949" priority="56" stopIfTrue="1" operator="lessThan">
      <formula>-0.03</formula>
    </cfRule>
  </conditionalFormatting>
  <conditionalFormatting sqref="AR88:AT88">
    <cfRule type="cellIs" dxfId="5948" priority="53" operator="greaterThan">
      <formula>0.03</formula>
    </cfRule>
    <cfRule type="cellIs" dxfId="5947" priority="54" stopIfTrue="1" operator="lessThan">
      <formula>-0.03</formula>
    </cfRule>
  </conditionalFormatting>
  <conditionalFormatting sqref="AU93:AW93">
    <cfRule type="cellIs" dxfId="5946" priority="51" operator="greaterThan">
      <formula>0.03</formula>
    </cfRule>
    <cfRule type="cellIs" dxfId="5945" priority="52" stopIfTrue="1" operator="lessThan">
      <formula>-0.03</formula>
    </cfRule>
  </conditionalFormatting>
  <conditionalFormatting sqref="AR93:AT93">
    <cfRule type="cellIs" dxfId="5944" priority="49" operator="greaterThan">
      <formula>0.03</formula>
    </cfRule>
    <cfRule type="cellIs" dxfId="5943" priority="50" stopIfTrue="1" operator="lessThan">
      <formula>-0.03</formula>
    </cfRule>
  </conditionalFormatting>
  <conditionalFormatting sqref="AU98:AW98">
    <cfRule type="cellIs" dxfId="5942" priority="47" operator="greaterThan">
      <formula>0.03</formula>
    </cfRule>
    <cfRule type="cellIs" dxfId="5941" priority="48" stopIfTrue="1" operator="lessThan">
      <formula>-0.03</formula>
    </cfRule>
  </conditionalFormatting>
  <conditionalFormatting sqref="AR98:AT98">
    <cfRule type="cellIs" dxfId="5940" priority="45" operator="greaterThan">
      <formula>0.03</formula>
    </cfRule>
    <cfRule type="cellIs" dxfId="5939" priority="46" stopIfTrue="1" operator="lessThan">
      <formula>-0.03</formula>
    </cfRule>
  </conditionalFormatting>
  <conditionalFormatting sqref="AU103:AW103">
    <cfRule type="cellIs" dxfId="5938" priority="43" operator="greaterThan">
      <formula>0.03</formula>
    </cfRule>
    <cfRule type="cellIs" dxfId="5937" priority="44" stopIfTrue="1" operator="lessThan">
      <formula>-0.03</formula>
    </cfRule>
  </conditionalFormatting>
  <conditionalFormatting sqref="AR103:AT103">
    <cfRule type="cellIs" dxfId="5936" priority="41" operator="greaterThan">
      <formula>0.03</formula>
    </cfRule>
    <cfRule type="cellIs" dxfId="5935" priority="42" stopIfTrue="1" operator="lessThan">
      <formula>-0.03</formula>
    </cfRule>
  </conditionalFormatting>
  <conditionalFormatting sqref="AU108:AW108">
    <cfRule type="cellIs" dxfId="5934" priority="39" operator="greaterThan">
      <formula>0.03</formula>
    </cfRule>
    <cfRule type="cellIs" dxfId="5933" priority="40" stopIfTrue="1" operator="lessThan">
      <formula>-0.03</formula>
    </cfRule>
  </conditionalFormatting>
  <conditionalFormatting sqref="AR108:AT108">
    <cfRule type="cellIs" dxfId="5932" priority="37" operator="greaterThan">
      <formula>0.03</formula>
    </cfRule>
    <cfRule type="cellIs" dxfId="5931" priority="38" stopIfTrue="1" operator="lessThan">
      <formula>-0.03</formula>
    </cfRule>
  </conditionalFormatting>
  <conditionalFormatting sqref="AU113:AW113">
    <cfRule type="cellIs" dxfId="5930" priority="35" operator="greaterThan">
      <formula>0.03</formula>
    </cfRule>
    <cfRule type="cellIs" dxfId="5929" priority="36" stopIfTrue="1" operator="lessThan">
      <formula>-0.03</formula>
    </cfRule>
  </conditionalFormatting>
  <conditionalFormatting sqref="AR113:AT113">
    <cfRule type="cellIs" dxfId="5928" priority="33" operator="greaterThan">
      <formula>0.03</formula>
    </cfRule>
    <cfRule type="cellIs" dxfId="5927" priority="34" stopIfTrue="1" operator="lessThan">
      <formula>-0.03</formula>
    </cfRule>
  </conditionalFormatting>
  <conditionalFormatting sqref="AU118:AW118">
    <cfRule type="cellIs" dxfId="5926" priority="31" operator="greaterThan">
      <formula>0.03</formula>
    </cfRule>
    <cfRule type="cellIs" dxfId="5925" priority="32" stopIfTrue="1" operator="lessThan">
      <formula>-0.03</formula>
    </cfRule>
  </conditionalFormatting>
  <conditionalFormatting sqref="AR118:AT118">
    <cfRule type="cellIs" dxfId="5924" priority="29" operator="greaterThan">
      <formula>0.03</formula>
    </cfRule>
    <cfRule type="cellIs" dxfId="5923" priority="30" stopIfTrue="1" operator="lessThan">
      <formula>-0.03</formula>
    </cfRule>
  </conditionalFormatting>
  <conditionalFormatting sqref="AU123:AW123">
    <cfRule type="cellIs" dxfId="5922" priority="27" operator="greaterThan">
      <formula>0.03</formula>
    </cfRule>
    <cfRule type="cellIs" dxfId="5921" priority="28" stopIfTrue="1" operator="lessThan">
      <formula>-0.03</formula>
    </cfRule>
  </conditionalFormatting>
  <conditionalFormatting sqref="AR123:AT123">
    <cfRule type="cellIs" dxfId="5920" priority="25" operator="greaterThan">
      <formula>0.03</formula>
    </cfRule>
    <cfRule type="cellIs" dxfId="5919" priority="26" stopIfTrue="1" operator="lessThan">
      <formula>-0.03</formula>
    </cfRule>
  </conditionalFormatting>
  <conditionalFormatting sqref="AU128:AW128">
    <cfRule type="cellIs" dxfId="5918" priority="23" operator="greaterThan">
      <formula>0.03</formula>
    </cfRule>
    <cfRule type="cellIs" dxfId="5917" priority="24" stopIfTrue="1" operator="lessThan">
      <formula>-0.03</formula>
    </cfRule>
  </conditionalFormatting>
  <conditionalFormatting sqref="AR128:AT128">
    <cfRule type="cellIs" dxfId="5916" priority="21" operator="greaterThan">
      <formula>0.03</formula>
    </cfRule>
    <cfRule type="cellIs" dxfId="5915" priority="22" stopIfTrue="1" operator="lessThan">
      <formula>-0.03</formula>
    </cfRule>
  </conditionalFormatting>
  <conditionalFormatting sqref="V3:V7">
    <cfRule type="cellIs" dxfId="5914" priority="20" operator="equal">
      <formula>FALSE</formula>
    </cfRule>
  </conditionalFormatting>
  <conditionalFormatting sqref="V98:V112">
    <cfRule type="cellIs" dxfId="5913" priority="19" operator="equal">
      <formula>FALSE</formula>
    </cfRule>
  </conditionalFormatting>
  <conditionalFormatting sqref="Y206:AC208 Z198:AC199 AA204:AC205 Z203:AC203 AA200:AC202">
    <cfRule type="cellIs" dxfId="5912" priority="13" operator="greaterThan">
      <formula>0</formula>
    </cfRule>
    <cfRule type="cellIs" dxfId="5911" priority="14" operator="lessThan">
      <formula>0</formula>
    </cfRule>
    <cfRule type="cellIs" dxfId="5910" priority="15" operator="lessThan">
      <formula>0</formula>
    </cfRule>
  </conditionalFormatting>
  <conditionalFormatting sqref="T202">
    <cfRule type="cellIs" dxfId="5909" priority="10" operator="greaterThan">
      <formula>0</formula>
    </cfRule>
    <cfRule type="cellIs" dxfId="5908" priority="11" operator="lessThan">
      <formula>0</formula>
    </cfRule>
    <cfRule type="cellIs" dxfId="5907" priority="12" operator="lessThan">
      <formula>0</formula>
    </cfRule>
  </conditionalFormatting>
  <conditionalFormatting sqref="T207:T209">
    <cfRule type="cellIs" dxfId="5906" priority="7" operator="greaterThan">
      <formula>0</formula>
    </cfRule>
    <cfRule type="cellIs" dxfId="5905" priority="8" operator="lessThan">
      <formula>0</formula>
    </cfRule>
    <cfRule type="cellIs" dxfId="5904" priority="9" operator="lessThan">
      <formula>0</formula>
    </cfRule>
  </conditionalFormatting>
  <conditionalFormatting sqref="T206">
    <cfRule type="cellIs" dxfId="5903" priority="4" operator="greaterThan">
      <formula>0</formula>
    </cfRule>
    <cfRule type="cellIs" dxfId="5902" priority="5" operator="lessThan">
      <formula>0</formula>
    </cfRule>
    <cfRule type="cellIs" dxfId="5901" priority="6" operator="lessThan">
      <formula>0</formula>
    </cfRule>
  </conditionalFormatting>
  <conditionalFormatting sqref="J3:J22">
    <cfRule type="cellIs" dxfId="5900" priority="3" operator="equal">
      <formula>FALSE</formula>
    </cfRule>
  </conditionalFormatting>
  <conditionalFormatting sqref="J73:J77">
    <cfRule type="cellIs" dxfId="5899" priority="2" operator="equal">
      <formula>FALSE</formula>
    </cfRule>
  </conditionalFormatting>
  <conditionalFormatting sqref="J93:J112">
    <cfRule type="cellIs" dxfId="5898" priority="1" operator="equal">
      <formula>FALSE</formula>
    </cfRule>
  </conditionalFormatting>
  <pageMargins left="0.7" right="0.7" top="0.75" bottom="0.75" header="0.3" footer="0.3"/>
  <pageSetup paperSize="9" orientation="portrait" horizontalDpi="4294967292" verticalDpi="4294967292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7B9DE-1925-4F01-9201-2E147CBC978B}">
  <sheetPr codeName="Sheet22">
    <tabColor rgb="FF92D050"/>
  </sheetPr>
  <dimension ref="A1:BD215"/>
  <sheetViews>
    <sheetView topLeftCell="S166" zoomScale="85" zoomScaleNormal="85" workbookViewId="0">
      <selection activeCell="AH195" sqref="AH195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49" width="8.75" style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16384" width="10.75" style="1"/>
  </cols>
  <sheetData>
    <row r="1" spans="1:56" ht="12.75" thickBot="1" x14ac:dyDescent="0.25">
      <c r="D1" s="68" t="s">
        <v>12</v>
      </c>
      <c r="E1" s="69"/>
      <c r="F1" s="69"/>
      <c r="G1" s="69"/>
      <c r="H1" s="69"/>
      <c r="I1" s="69"/>
      <c r="J1" s="69"/>
      <c r="K1" s="69"/>
      <c r="L1" s="69"/>
      <c r="M1" s="69"/>
      <c r="N1" s="70"/>
      <c r="P1" s="68" t="s">
        <v>13</v>
      </c>
      <c r="Q1" s="69"/>
      <c r="R1" s="69"/>
      <c r="S1" s="69"/>
      <c r="T1" s="69"/>
      <c r="U1" s="69"/>
      <c r="V1" s="69"/>
      <c r="W1" s="69"/>
      <c r="X1" s="69"/>
      <c r="Y1" s="69"/>
      <c r="Z1" s="70"/>
      <c r="AA1" s="24"/>
      <c r="AB1" s="24" t="s">
        <v>74</v>
      </c>
      <c r="AC1" s="24" t="s">
        <v>75</v>
      </c>
      <c r="AD1" s="24"/>
      <c r="AE1" s="2"/>
      <c r="AF1" s="68" t="s">
        <v>62</v>
      </c>
      <c r="AG1" s="69"/>
      <c r="AH1" s="70"/>
      <c r="AI1" s="68" t="s">
        <v>61</v>
      </c>
      <c r="AJ1" s="69"/>
      <c r="AK1" s="70"/>
      <c r="AL1" s="68" t="s">
        <v>59</v>
      </c>
      <c r="AM1" s="69"/>
      <c r="AN1" s="70"/>
      <c r="AO1" s="68" t="s">
        <v>60</v>
      </c>
      <c r="AP1" s="69"/>
      <c r="AQ1" s="70"/>
      <c r="AR1" s="68" t="s">
        <v>76</v>
      </c>
      <c r="AS1" s="69"/>
      <c r="AT1" s="70"/>
      <c r="AU1" s="68" t="s">
        <v>76</v>
      </c>
      <c r="AV1" s="69"/>
      <c r="AW1" s="70"/>
      <c r="AX1" s="71" t="s">
        <v>71</v>
      </c>
      <c r="AY1" s="72"/>
      <c r="AZ1" s="24"/>
      <c r="BA1" s="72" t="s">
        <v>70</v>
      </c>
      <c r="BB1" s="72"/>
    </row>
    <row r="2" spans="1:56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6" ht="15.75" thickBot="1" x14ac:dyDescent="0.25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44.239800000000002</v>
      </c>
      <c r="F3" s="55">
        <v>46.102600000000002</v>
      </c>
      <c r="G3" s="55">
        <v>44.088500000000003</v>
      </c>
      <c r="H3" s="55">
        <v>0.99632900000000002</v>
      </c>
      <c r="I3" s="55">
        <v>0.99844650000000001</v>
      </c>
      <c r="J3" s="55">
        <v>0.9950928</v>
      </c>
      <c r="K3" s="55">
        <v>3059.55</v>
      </c>
      <c r="L3" s="55">
        <v>1.242</v>
      </c>
      <c r="M3" s="10" t="e">
        <f>#REF!</f>
        <v>#REF!</v>
      </c>
      <c r="N3" s="11">
        <f t="shared" ref="N3:N66" si="0">K3/3600</f>
        <v>0.84987500000000005</v>
      </c>
      <c r="P3" s="60">
        <v>20729.04</v>
      </c>
      <c r="Q3" s="60">
        <v>44.241700000000002</v>
      </c>
      <c r="R3" s="60">
        <v>46.114899999999999</v>
      </c>
      <c r="S3" s="60">
        <v>44.094900000000003</v>
      </c>
      <c r="T3" s="60">
        <v>0.99632759999999998</v>
      </c>
      <c r="U3" s="60">
        <v>0.99845740000000005</v>
      </c>
      <c r="V3" s="60">
        <v>0.99509029999999998</v>
      </c>
      <c r="W3" s="60">
        <v>6599.1909999999998</v>
      </c>
      <c r="X3" s="60">
        <v>1.4219999999999999</v>
      </c>
      <c r="Y3" s="10" t="e">
        <f>#REF!</f>
        <v>#REF!</v>
      </c>
      <c r="Z3" s="11">
        <f>W3/3600</f>
        <v>1.833108611111111</v>
      </c>
      <c r="AA3" s="10">
        <f>W3/K3</f>
        <v>2.1569155594777008</v>
      </c>
      <c r="AB3" s="10">
        <f t="shared" ref="AB3:AC18" si="1">X3/L3</f>
        <v>1.144927536231884</v>
      </c>
      <c r="AC3" s="10" t="e">
        <f t="shared" si="1"/>
        <v>#REF!</v>
      </c>
      <c r="AD3" s="11">
        <f>ABS(P3-D3)/D3</f>
        <v>3.6339050580785253E-4</v>
      </c>
      <c r="AE3" s="40"/>
      <c r="AF3" s="25">
        <f t="shared" ref="AF3:AK3" si="2">bdRateExtend($D3:$D7,E3:E7,$P3:$P7,Q3:Q7)</f>
        <v>5.3209963395239868E-4</v>
      </c>
      <c r="AG3" s="30">
        <f t="shared" si="2"/>
        <v>-2.152165078224022E-3</v>
      </c>
      <c r="AH3" s="31">
        <f t="shared" si="2"/>
        <v>-1.106310594576887E-3</v>
      </c>
      <c r="AI3" s="25">
        <f t="shared" si="2"/>
        <v>-1.076182349001531E-3</v>
      </c>
      <c r="AJ3" s="30">
        <f t="shared" si="2"/>
        <v>4.9047273977995687E-3</v>
      </c>
      <c r="AK3" s="30">
        <f t="shared" si="2"/>
        <v>-2.2837307905076987E-3</v>
      </c>
      <c r="AL3" s="39"/>
      <c r="AM3" s="35"/>
      <c r="AN3" s="34"/>
      <c r="AO3" s="35"/>
      <c r="AP3" s="35"/>
      <c r="AQ3" s="34"/>
      <c r="AR3" s="30">
        <f t="shared" ref="AR3:AW3" si="3">bdrate($D3:$D6,E3:E6,$P3:$P6,Q3:Q6)</f>
        <v>8.0628870313215195E-4</v>
      </c>
      <c r="AS3" s="30">
        <f t="shared" si="3"/>
        <v>-3.9246454196829594E-3</v>
      </c>
      <c r="AT3" s="31">
        <f t="shared" si="3"/>
        <v>-6.3074019256614822E-4</v>
      </c>
      <c r="AU3" s="25">
        <f t="shared" si="3"/>
        <v>1.2590919743367124E-3</v>
      </c>
      <c r="AV3" s="30">
        <f t="shared" si="3"/>
        <v>8.1899959957221213E-3</v>
      </c>
      <c r="AW3" s="31">
        <f t="shared" si="3"/>
        <v>4.119765090518035E-3</v>
      </c>
      <c r="AX3" s="10"/>
      <c r="AY3" s="10"/>
      <c r="AZ3" s="10"/>
      <c r="BA3" s="10">
        <f>V3/J3</f>
        <v>0.99999748767150154</v>
      </c>
      <c r="BB3" s="10">
        <f t="shared" ref="BB3:BB6" si="4">X3/L3</f>
        <v>1.144927536231884</v>
      </c>
      <c r="BC3" s="10">
        <f>Z3/N3</f>
        <v>2.1569155594777008</v>
      </c>
      <c r="BD3" s="1">
        <f>IF((((AF3&lt;0)*AND(AL4&lt;0)*AND(AR3&lt;0))),1,0)</f>
        <v>0</v>
      </c>
    </row>
    <row r="4" spans="1:56" ht="15.75" thickBot="1" x14ac:dyDescent="0.25">
      <c r="A4" s="13" t="s">
        <v>19</v>
      </c>
      <c r="C4" s="43">
        <v>27</v>
      </c>
      <c r="D4" s="55">
        <v>8912.9699999999993</v>
      </c>
      <c r="E4" s="55">
        <v>40.548000000000002</v>
      </c>
      <c r="F4" s="55">
        <v>41.638399999999997</v>
      </c>
      <c r="G4" s="55">
        <v>41.7958</v>
      </c>
      <c r="H4" s="55">
        <v>0.99178750000000004</v>
      </c>
      <c r="I4" s="55">
        <v>0.99628289999999997</v>
      </c>
      <c r="J4" s="55">
        <v>0.99012350000000005</v>
      </c>
      <c r="K4" s="55">
        <v>1403.4059999999999</v>
      </c>
      <c r="L4" s="55">
        <v>0.88800000000000001</v>
      </c>
      <c r="M4" s="15" t="e">
        <f>#REF!</f>
        <v>#REF!</v>
      </c>
      <c r="N4" s="16">
        <f t="shared" si="0"/>
        <v>0.38983499999999999</v>
      </c>
      <c r="P4" s="60">
        <v>8902.2000000000007</v>
      </c>
      <c r="Q4" s="60">
        <v>40.543500000000002</v>
      </c>
      <c r="R4" s="60">
        <v>41.654299999999999</v>
      </c>
      <c r="S4" s="60">
        <v>41.793999999999997</v>
      </c>
      <c r="T4" s="60">
        <v>0.99177190000000004</v>
      </c>
      <c r="U4" s="60">
        <v>0.99627080000000001</v>
      </c>
      <c r="V4" s="60">
        <v>0.99013280000000004</v>
      </c>
      <c r="W4" s="60">
        <v>4315.0010000000002</v>
      </c>
      <c r="X4" s="60">
        <v>0.92500000000000004</v>
      </c>
      <c r="Y4" s="15" t="e">
        <f>#REF!</f>
        <v>#REF!</v>
      </c>
      <c r="Z4" s="16">
        <f t="shared" ref="Z4:Z67" si="5">W4/3600</f>
        <v>1.198611388888889</v>
      </c>
      <c r="AA4" s="10">
        <f t="shared" ref="AA4:AA67" si="6">W4/K4</f>
        <v>3.0746633547241498</v>
      </c>
      <c r="AB4" s="15">
        <f t="shared" si="1"/>
        <v>1.0416666666666667</v>
      </c>
      <c r="AC4" s="15" t="e">
        <f t="shared" si="1"/>
        <v>#REF!</v>
      </c>
      <c r="AD4" s="16">
        <f t="shared" ref="AD4:AD67" si="7">ABS(P4-D4)/D4</f>
        <v>1.2083514249457384E-3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1.1180341712111463E-3</v>
      </c>
      <c r="AM4" s="21">
        <f>bdrate($D4:$D7,F4:F7,$P4:$P7,R4:R7)</f>
        <v>-1.8583272919735494E-3</v>
      </c>
      <c r="AN4" s="36">
        <f t="shared" ref="AN4" si="8">bdrate($D4:$D7,G4:G7,$P4:$P7,S4:S7)</f>
        <v>-1.2883054809784689E-3</v>
      </c>
      <c r="AO4" s="26">
        <f>bdrate($D4:$D7,H4:H7,$P4:$P7,T4:T7)</f>
        <v>-1.3138058884519799E-3</v>
      </c>
      <c r="AP4" s="21">
        <f>bdrate($D4:$D7,I4:I7,$P4:$P7,U4:U7)</f>
        <v>5.6599646238264523E-3</v>
      </c>
      <c r="AQ4" s="36">
        <f>bdrate($D4:$D7,J4:J7,$P4:$P7,V4:V7)</f>
        <v>-2.0583756571002088E-3</v>
      </c>
      <c r="AR4" s="21"/>
      <c r="AS4" s="21"/>
      <c r="AT4" s="36"/>
      <c r="AU4" s="26"/>
      <c r="AV4" s="21"/>
      <c r="AW4" s="36"/>
      <c r="AX4" s="15">
        <f>V4/J4</f>
        <v>1.0000093927676699</v>
      </c>
      <c r="AY4" s="15">
        <f t="shared" ref="AY4:AY7" si="9">X4/L4</f>
        <v>1.0416666666666667</v>
      </c>
      <c r="AZ4" s="15">
        <f t="shared" ref="AZ4:AZ67" si="10">Z4/N4</f>
        <v>3.0746633547241498</v>
      </c>
      <c r="BA4" s="15">
        <f>V4/J4</f>
        <v>1.0000093927676699</v>
      </c>
      <c r="BB4" s="15">
        <f t="shared" si="4"/>
        <v>1.0416666666666667</v>
      </c>
      <c r="BC4" s="15">
        <f t="shared" ref="BC4:BC66" si="11">Z4/N4</f>
        <v>3.0746633547241498</v>
      </c>
      <c r="BD4" s="1">
        <f t="shared" ref="BD4:BD67" si="12">IF((((AF4&lt;0)*AND(AL5&lt;0)*AND(AR4&lt;0))),1,0)</f>
        <v>0</v>
      </c>
    </row>
    <row r="5" spans="1:56" ht="15.75" thickBot="1" x14ac:dyDescent="0.25">
      <c r="A5" s="13"/>
      <c r="B5" s="13"/>
      <c r="C5" s="43">
        <v>32</v>
      </c>
      <c r="D5" s="55">
        <v>3204.96</v>
      </c>
      <c r="E5" s="55">
        <v>37.942300000000003</v>
      </c>
      <c r="F5" s="55">
        <v>38.435200000000002</v>
      </c>
      <c r="G5" s="55">
        <v>40.023400000000002</v>
      </c>
      <c r="H5" s="55">
        <v>0.98378010000000005</v>
      </c>
      <c r="I5" s="55">
        <v>0.99220940000000002</v>
      </c>
      <c r="J5" s="55">
        <v>0.98425879999999999</v>
      </c>
      <c r="K5" s="55">
        <v>663.32399999999996</v>
      </c>
      <c r="L5" s="55">
        <v>0.63800000000000001</v>
      </c>
      <c r="M5" s="15" t="e">
        <f>#REF!</f>
        <v>#REF!</v>
      </c>
      <c r="N5" s="16">
        <f t="shared" si="0"/>
        <v>0.18425666666666665</v>
      </c>
      <c r="P5" s="60">
        <v>3203.7</v>
      </c>
      <c r="Q5" s="60">
        <v>37.935400000000001</v>
      </c>
      <c r="R5" s="60">
        <v>38.451900000000002</v>
      </c>
      <c r="S5" s="60">
        <v>40.0244</v>
      </c>
      <c r="T5" s="60">
        <v>0.98374930000000005</v>
      </c>
      <c r="U5" s="60">
        <v>0.99213390000000001</v>
      </c>
      <c r="V5" s="60">
        <v>0.98416459999999995</v>
      </c>
      <c r="W5" s="60">
        <v>2825.5830000000001</v>
      </c>
      <c r="X5" s="60">
        <v>0.94399999999999995</v>
      </c>
      <c r="Y5" s="15" t="e">
        <f>#REF!</f>
        <v>#REF!</v>
      </c>
      <c r="Z5" s="16">
        <f t="shared" si="5"/>
        <v>0.78488416666666672</v>
      </c>
      <c r="AA5" s="10">
        <f t="shared" si="6"/>
        <v>4.2597328002605064</v>
      </c>
      <c r="AB5" s="15">
        <f t="shared" si="1"/>
        <v>1.4796238244514106</v>
      </c>
      <c r="AC5" s="15" t="e">
        <f t="shared" si="1"/>
        <v>#REF!</v>
      </c>
      <c r="AD5" s="16">
        <f t="shared" si="7"/>
        <v>3.9314063202043652E-4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>
        <f>V5/J5</f>
        <v>0.99990429346427989</v>
      </c>
      <c r="AY5" s="15">
        <f t="shared" si="9"/>
        <v>1.4796238244514106</v>
      </c>
      <c r="AZ5" s="15">
        <f t="shared" si="10"/>
        <v>4.2597328002605064</v>
      </c>
      <c r="BA5" s="15">
        <f>V5/J5</f>
        <v>0.99990429346427989</v>
      </c>
      <c r="BB5" s="15">
        <f t="shared" si="4"/>
        <v>1.4796238244514106</v>
      </c>
      <c r="BC5" s="15">
        <f t="shared" si="11"/>
        <v>4.2597328002605064</v>
      </c>
      <c r="BD5" s="1">
        <f t="shared" si="12"/>
        <v>0</v>
      </c>
    </row>
    <row r="6" spans="1:56" ht="15.75" thickBot="1" x14ac:dyDescent="0.25">
      <c r="A6" s="13"/>
      <c r="B6" s="13"/>
      <c r="C6" s="43">
        <v>37</v>
      </c>
      <c r="D6" s="55">
        <v>1668.39</v>
      </c>
      <c r="E6" s="55">
        <v>36.4086</v>
      </c>
      <c r="F6" s="55">
        <v>36.528700000000001</v>
      </c>
      <c r="G6" s="55">
        <v>38.287399999999998</v>
      </c>
      <c r="H6" s="55">
        <v>0.97274179999999999</v>
      </c>
      <c r="I6" s="55">
        <v>0.98665700000000001</v>
      </c>
      <c r="J6" s="55">
        <v>0.97564910000000005</v>
      </c>
      <c r="K6" s="55">
        <v>334.32900000000001</v>
      </c>
      <c r="L6" s="55">
        <v>0.56200000000000006</v>
      </c>
      <c r="M6" s="15" t="e">
        <f>#REF!</f>
        <v>#REF!</v>
      </c>
      <c r="N6" s="16">
        <f t="shared" si="0"/>
        <v>9.2869166666666669E-2</v>
      </c>
      <c r="P6" s="60">
        <v>1667.79</v>
      </c>
      <c r="Q6" s="60">
        <v>36.406500000000001</v>
      </c>
      <c r="R6" s="60">
        <v>36.5032</v>
      </c>
      <c r="S6" s="60">
        <v>38.286299999999997</v>
      </c>
      <c r="T6" s="60">
        <v>0.97279519999999997</v>
      </c>
      <c r="U6" s="60">
        <v>0.98656889999999997</v>
      </c>
      <c r="V6" s="60">
        <v>0.9757034</v>
      </c>
      <c r="W6" s="60">
        <v>1802.9559999999999</v>
      </c>
      <c r="X6" s="60">
        <v>0.64</v>
      </c>
      <c r="Y6" s="15" t="e">
        <f>#REF!</f>
        <v>#REF!</v>
      </c>
      <c r="Z6" s="16">
        <f t="shared" si="5"/>
        <v>0.50082111111111105</v>
      </c>
      <c r="AA6" s="10">
        <f t="shared" si="6"/>
        <v>5.3927598263985468</v>
      </c>
      <c r="AB6" s="15">
        <f t="shared" si="1"/>
        <v>1.1387900355871885</v>
      </c>
      <c r="AC6" s="15" t="e">
        <f t="shared" si="1"/>
        <v>#REF!</v>
      </c>
      <c r="AD6" s="16">
        <f t="shared" si="7"/>
        <v>3.5962814449867021E-4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>
        <f>V6/J6</f>
        <v>1.0000556552555626</v>
      </c>
      <c r="AY6" s="15">
        <f t="shared" si="9"/>
        <v>1.1387900355871885</v>
      </c>
      <c r="AZ6" s="15">
        <f t="shared" si="10"/>
        <v>5.3927598263985468</v>
      </c>
      <c r="BA6" s="15">
        <f>V6/J6</f>
        <v>1.0000556552555626</v>
      </c>
      <c r="BB6" s="15">
        <f t="shared" si="4"/>
        <v>1.1387900355871885</v>
      </c>
      <c r="BC6" s="15">
        <f t="shared" si="11"/>
        <v>5.3927598263985468</v>
      </c>
      <c r="BD6" s="1">
        <f t="shared" si="12"/>
        <v>0</v>
      </c>
    </row>
    <row r="7" spans="1:56" ht="15.75" thickBot="1" x14ac:dyDescent="0.25">
      <c r="A7" s="13"/>
      <c r="B7" s="17"/>
      <c r="C7" s="44">
        <v>42</v>
      </c>
      <c r="D7" s="55">
        <v>894.09</v>
      </c>
      <c r="E7" s="55">
        <v>34.755000000000003</v>
      </c>
      <c r="F7" s="55">
        <v>34.719799999999999</v>
      </c>
      <c r="G7" s="55">
        <v>36.784799999999997</v>
      </c>
      <c r="H7" s="55">
        <v>0.95664990000000005</v>
      </c>
      <c r="I7" s="55">
        <v>0.97702540000000004</v>
      </c>
      <c r="J7" s="55">
        <v>0.96380010000000005</v>
      </c>
      <c r="K7" s="55">
        <v>172.547</v>
      </c>
      <c r="L7" s="55">
        <v>0.48899999999999999</v>
      </c>
      <c r="M7" s="19" t="e">
        <f>#REF!</f>
        <v>#REF!</v>
      </c>
      <c r="N7" s="20">
        <f t="shared" si="0"/>
        <v>4.7929722222222221E-2</v>
      </c>
      <c r="P7" s="60">
        <v>893.4</v>
      </c>
      <c r="Q7" s="60">
        <v>34.758299999999998</v>
      </c>
      <c r="R7" s="60">
        <v>34.719299999999997</v>
      </c>
      <c r="S7" s="60">
        <v>36.803699999999999</v>
      </c>
      <c r="T7" s="60">
        <v>0.95674150000000002</v>
      </c>
      <c r="U7" s="60">
        <v>0.97718539999999998</v>
      </c>
      <c r="V7" s="60">
        <v>0.96417549999999996</v>
      </c>
      <c r="W7" s="60">
        <v>1078.9159999999999</v>
      </c>
      <c r="X7" s="60">
        <v>0.63600000000000001</v>
      </c>
      <c r="Y7" s="19" t="e">
        <f>#REF!</f>
        <v>#REF!</v>
      </c>
      <c r="Z7" s="20">
        <f t="shared" si="5"/>
        <v>0.29969888888888885</v>
      </c>
      <c r="AA7" s="10">
        <f t="shared" si="6"/>
        <v>6.2528818235031611</v>
      </c>
      <c r="AB7" s="15">
        <f t="shared" si="1"/>
        <v>1.3006134969325154</v>
      </c>
      <c r="AC7" s="15" t="e">
        <f t="shared" si="1"/>
        <v>#REF!</v>
      </c>
      <c r="AD7" s="20">
        <f t="shared" si="7"/>
        <v>7.7173438915551515E-4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>
        <f>V7/J7</f>
        <v>1.0003894998558309</v>
      </c>
      <c r="AY7" s="15">
        <f t="shared" si="9"/>
        <v>1.3006134969325154</v>
      </c>
      <c r="AZ7" s="15">
        <f t="shared" si="10"/>
        <v>6.2528818235031611</v>
      </c>
      <c r="BA7" s="15"/>
      <c r="BB7" s="15"/>
      <c r="BC7" s="15"/>
      <c r="BD7" s="1">
        <f t="shared" si="12"/>
        <v>0</v>
      </c>
    </row>
    <row r="8" spans="1:56" ht="15.75" thickBot="1" x14ac:dyDescent="0.25">
      <c r="A8" s="13"/>
      <c r="B8" s="8" t="s">
        <v>43</v>
      </c>
      <c r="C8" s="39">
        <v>22</v>
      </c>
      <c r="D8" s="55">
        <v>6077.1</v>
      </c>
      <c r="E8" s="55">
        <v>46.3005</v>
      </c>
      <c r="F8" s="55">
        <v>51.364199999999997</v>
      </c>
      <c r="G8" s="55">
        <v>52.964300000000001</v>
      </c>
      <c r="H8" s="55">
        <v>0.99583060000000001</v>
      </c>
      <c r="I8" s="55">
        <v>0.9974307</v>
      </c>
      <c r="J8" s="55">
        <v>0.99811950000000005</v>
      </c>
      <c r="K8" s="55">
        <v>752.64300000000003</v>
      </c>
      <c r="L8" s="55">
        <v>0.61699999999999999</v>
      </c>
      <c r="M8" s="10" t="e">
        <f>#REF!</f>
        <v>#REF!</v>
      </c>
      <c r="N8" s="11">
        <f t="shared" si="0"/>
        <v>0.20906750000000002</v>
      </c>
      <c r="P8" s="60">
        <v>6098.1</v>
      </c>
      <c r="Q8" s="60">
        <v>46.305700000000002</v>
      </c>
      <c r="R8" s="60">
        <v>51.361499999999999</v>
      </c>
      <c r="S8" s="60">
        <v>52.974299999999999</v>
      </c>
      <c r="T8" s="60">
        <v>0.99583600000000005</v>
      </c>
      <c r="U8" s="60">
        <v>0.99742140000000001</v>
      </c>
      <c r="V8" s="60">
        <v>0.99812069999999997</v>
      </c>
      <c r="W8" s="60">
        <v>3589.239</v>
      </c>
      <c r="X8" s="60">
        <v>0.58399999999999996</v>
      </c>
      <c r="Y8" s="10" t="e">
        <f>#REF!</f>
        <v>#REF!</v>
      </c>
      <c r="Z8" s="11">
        <f t="shared" si="5"/>
        <v>0.99701083333333329</v>
      </c>
      <c r="AA8" s="10">
        <f t="shared" si="6"/>
        <v>4.7688465846357433</v>
      </c>
      <c r="AB8" s="15">
        <f t="shared" si="1"/>
        <v>0.94651539708265797</v>
      </c>
      <c r="AC8" s="15" t="e">
        <f t="shared" si="1"/>
        <v>#REF!</v>
      </c>
      <c r="AD8" s="11">
        <f t="shared" si="7"/>
        <v>3.4555955965838965E-3</v>
      </c>
      <c r="AE8" s="12"/>
      <c r="AF8" s="25">
        <f t="shared" ref="AF8:AK8" si="13">bdRateExtend($D8:$D12,E8:E12,$P8:$P12,Q8:Q12)</f>
        <v>-6.7961813387695802E-4</v>
      </c>
      <c r="AG8" s="30">
        <f t="shared" si="13"/>
        <v>1.9104863419203699E-3</v>
      </c>
      <c r="AH8" s="31">
        <f t="shared" si="13"/>
        <v>1.1091675623855934E-2</v>
      </c>
      <c r="AI8" s="25">
        <f t="shared" si="13"/>
        <v>7.7810589232041316E-4</v>
      </c>
      <c r="AJ8" s="30">
        <f t="shared" si="13"/>
        <v>2.4245835524414616E-3</v>
      </c>
      <c r="AK8" s="30">
        <f t="shared" si="13"/>
        <v>1.1745493339502033E-2</v>
      </c>
      <c r="AL8" s="45"/>
      <c r="AM8" s="46"/>
      <c r="AN8" s="47"/>
      <c r="AO8" s="46"/>
      <c r="AP8" s="46"/>
      <c r="AQ8" s="47"/>
      <c r="AR8" s="30">
        <f t="shared" ref="AR8:AW8" si="14">bdrate($D8:$D11,E8:E11,$P8:$P11,Q8:Q11)</f>
        <v>-1.5475452120169431E-3</v>
      </c>
      <c r="AS8" s="30">
        <f t="shared" si="14"/>
        <v>-7.025188188030107E-4</v>
      </c>
      <c r="AT8" s="31">
        <f t="shared" si="14"/>
        <v>1.0312904889459018E-2</v>
      </c>
      <c r="AU8" s="25">
        <f t="shared" si="14"/>
        <v>-1.2887315832500468E-3</v>
      </c>
      <c r="AV8" s="30">
        <f t="shared" si="14"/>
        <v>-3.6387927715534341E-3</v>
      </c>
      <c r="AW8" s="31">
        <f t="shared" si="14"/>
        <v>9.662170772094747E-3</v>
      </c>
      <c r="AX8" s="15"/>
      <c r="AY8" s="15"/>
      <c r="AZ8" s="15"/>
      <c r="BA8" s="15">
        <f>V8/J8</f>
        <v>1.0000012022608515</v>
      </c>
      <c r="BB8" s="15">
        <f t="shared" ref="BB8:BB11" si="15">X8/L8</f>
        <v>0.94651539708265797</v>
      </c>
      <c r="BC8" s="15">
        <f t="shared" si="11"/>
        <v>4.7688465846357433</v>
      </c>
      <c r="BD8" s="1">
        <f t="shared" si="12"/>
        <v>1</v>
      </c>
    </row>
    <row r="9" spans="1:56" ht="15.75" thickBot="1" x14ac:dyDescent="0.25">
      <c r="A9" s="13"/>
      <c r="B9" s="13"/>
      <c r="C9" s="43">
        <v>27</v>
      </c>
      <c r="D9" s="55">
        <v>2767.2</v>
      </c>
      <c r="E9" s="55">
        <v>45.479399999999998</v>
      </c>
      <c r="F9" s="55">
        <v>49.7545</v>
      </c>
      <c r="G9" s="55">
        <v>50.906700000000001</v>
      </c>
      <c r="H9" s="55">
        <v>0.99426800000000004</v>
      </c>
      <c r="I9" s="55">
        <v>0.99595049999999996</v>
      </c>
      <c r="J9" s="55">
        <v>0.99686160000000001</v>
      </c>
      <c r="K9" s="55">
        <v>189.50200000000001</v>
      </c>
      <c r="L9" s="55">
        <v>0.499</v>
      </c>
      <c r="M9" s="15" t="e">
        <f>#REF!</f>
        <v>#REF!</v>
      </c>
      <c r="N9" s="16">
        <f t="shared" si="0"/>
        <v>5.2639444444444447E-2</v>
      </c>
      <c r="P9" s="60">
        <v>2768.52</v>
      </c>
      <c r="Q9" s="60">
        <v>45.482700000000001</v>
      </c>
      <c r="R9" s="60">
        <v>49.756900000000002</v>
      </c>
      <c r="S9" s="60">
        <v>50.874600000000001</v>
      </c>
      <c r="T9" s="60">
        <v>0.99427180000000004</v>
      </c>
      <c r="U9" s="60">
        <v>0.99595319999999998</v>
      </c>
      <c r="V9" s="60">
        <v>0.99684220000000001</v>
      </c>
      <c r="W9" s="60">
        <v>4430.4769999999999</v>
      </c>
      <c r="X9" s="60">
        <v>0.52200000000000002</v>
      </c>
      <c r="Y9" s="15" t="e">
        <f>#REF!</f>
        <v>#REF!</v>
      </c>
      <c r="Z9" s="16">
        <f t="shared" si="5"/>
        <v>1.2306880555555555</v>
      </c>
      <c r="AA9" s="10">
        <f t="shared" si="6"/>
        <v>23.379579107344512</v>
      </c>
      <c r="AB9" s="15">
        <f t="shared" si="1"/>
        <v>1.0460921843687374</v>
      </c>
      <c r="AC9" s="15" t="e">
        <f t="shared" si="1"/>
        <v>#REF!</v>
      </c>
      <c r="AD9" s="16">
        <f t="shared" si="7"/>
        <v>4.770164787511433E-4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-3.5163759695566732E-4</v>
      </c>
      <c r="AM9" s="21">
        <f>bdrate($D9:$D12,F9:F12,$P9:$P12,R9:R12)</f>
        <v>1.1485589653432715E-3</v>
      </c>
      <c r="AN9" s="36">
        <f t="shared" ref="AN9" si="16">bdrate($D9:$D12,G9:G12,$P9:$P12,S9:S12)</f>
        <v>1.3744513488691323E-2</v>
      </c>
      <c r="AO9" s="26">
        <f>bdrate($D9:$D12,H9:H12,$P9:$P12,T9:T12)</f>
        <v>9.5327817049573049E-4</v>
      </c>
      <c r="AP9" s="21">
        <f>bdrate($D9:$D12,I9:I12,$P9:$P12,U9:U12)</f>
        <v>1.3939424825120117E-3</v>
      </c>
      <c r="AQ9" s="36">
        <f>bdrate($D9:$D12,J9:J12,$P9:$P12,V9:V12)</f>
        <v>1.2954186661310541E-2</v>
      </c>
      <c r="AR9" s="21"/>
      <c r="AS9" s="21"/>
      <c r="AT9" s="36"/>
      <c r="AU9" s="26"/>
      <c r="AV9" s="21"/>
      <c r="AW9" s="36"/>
      <c r="AX9" s="15">
        <f>V9/J9</f>
        <v>0.99998053892335703</v>
      </c>
      <c r="AY9" s="15">
        <f t="shared" ref="AY9:AY12" si="17">X9/L9</f>
        <v>1.0460921843687374</v>
      </c>
      <c r="AZ9" s="15">
        <f t="shared" si="10"/>
        <v>23.379579107344512</v>
      </c>
      <c r="BA9" s="15">
        <f>V9/J9</f>
        <v>0.99998053892335703</v>
      </c>
      <c r="BB9" s="15">
        <f t="shared" si="15"/>
        <v>1.0460921843687374</v>
      </c>
      <c r="BC9" s="15">
        <f t="shared" si="11"/>
        <v>23.379579107344512</v>
      </c>
      <c r="BD9" s="1">
        <f t="shared" si="12"/>
        <v>0</v>
      </c>
    </row>
    <row r="10" spans="1:56" ht="15.75" thickBot="1" x14ac:dyDescent="0.25">
      <c r="A10" s="13"/>
      <c r="B10" s="13"/>
      <c r="C10" s="43">
        <v>32</v>
      </c>
      <c r="D10" s="55">
        <v>1745.58</v>
      </c>
      <c r="E10" s="55">
        <v>44.677799999999998</v>
      </c>
      <c r="F10" s="55">
        <v>47.941600000000001</v>
      </c>
      <c r="G10" s="55">
        <v>48.672800000000002</v>
      </c>
      <c r="H10" s="55">
        <v>0.99269099999999999</v>
      </c>
      <c r="I10" s="55">
        <v>0.99357300000000004</v>
      </c>
      <c r="J10" s="55">
        <v>0.99470760000000003</v>
      </c>
      <c r="K10" s="55">
        <v>92.569000000000003</v>
      </c>
      <c r="L10" s="55">
        <v>0.45600000000000002</v>
      </c>
      <c r="M10" s="15" t="e">
        <f>#REF!</f>
        <v>#REF!</v>
      </c>
      <c r="N10" s="16">
        <f t="shared" si="0"/>
        <v>2.5713611111111111E-2</v>
      </c>
      <c r="P10" s="60">
        <v>1741.74</v>
      </c>
      <c r="Q10" s="60">
        <v>44.677</v>
      </c>
      <c r="R10" s="60">
        <v>47.9559</v>
      </c>
      <c r="S10" s="60">
        <v>48.587600000000002</v>
      </c>
      <c r="T10" s="60">
        <v>0.99269320000000005</v>
      </c>
      <c r="U10" s="60">
        <v>0.99363000000000001</v>
      </c>
      <c r="V10" s="60">
        <v>0.99461259999999996</v>
      </c>
      <c r="W10" s="60">
        <v>2762.8310000000001</v>
      </c>
      <c r="X10" s="60">
        <v>0.47099999999999997</v>
      </c>
      <c r="Y10" s="15" t="e">
        <f>#REF!</f>
        <v>#REF!</v>
      </c>
      <c r="Z10" s="16">
        <f t="shared" si="5"/>
        <v>0.76745305555555554</v>
      </c>
      <c r="AA10" s="10">
        <f t="shared" si="6"/>
        <v>29.846179606563751</v>
      </c>
      <c r="AB10" s="15">
        <f t="shared" si="1"/>
        <v>1.0328947368421051</v>
      </c>
      <c r="AC10" s="15" t="e">
        <f t="shared" si="1"/>
        <v>#REF!</v>
      </c>
      <c r="AD10" s="16">
        <f t="shared" si="7"/>
        <v>2.1998418863643709E-3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>
        <f>V10/J10</f>
        <v>0.99990449454694019</v>
      </c>
      <c r="AY10" s="15">
        <f t="shared" si="17"/>
        <v>1.0328947368421051</v>
      </c>
      <c r="AZ10" s="15">
        <f t="shared" si="10"/>
        <v>29.846179606563751</v>
      </c>
      <c r="BA10" s="15">
        <f>V10/J10</f>
        <v>0.99990449454694019</v>
      </c>
      <c r="BB10" s="15">
        <f t="shared" si="15"/>
        <v>1.0328947368421051</v>
      </c>
      <c r="BC10" s="15">
        <f t="shared" si="11"/>
        <v>29.846179606563751</v>
      </c>
      <c r="BD10" s="1">
        <f t="shared" si="12"/>
        <v>0</v>
      </c>
    </row>
    <row r="11" spans="1:56" ht="15.75" thickBot="1" x14ac:dyDescent="0.25">
      <c r="A11" s="13"/>
      <c r="B11" s="13"/>
      <c r="C11" s="43">
        <v>37</v>
      </c>
      <c r="D11" s="55">
        <v>1133.46</v>
      </c>
      <c r="E11" s="55">
        <v>43.3611</v>
      </c>
      <c r="F11" s="55">
        <v>46.642899999999997</v>
      </c>
      <c r="G11" s="55">
        <v>46.775199999999998</v>
      </c>
      <c r="H11" s="55">
        <v>0.98976090000000005</v>
      </c>
      <c r="I11" s="55">
        <v>0.99134829999999996</v>
      </c>
      <c r="J11" s="55">
        <v>0.99177300000000002</v>
      </c>
      <c r="K11" s="55">
        <v>60.47</v>
      </c>
      <c r="L11" s="55">
        <v>0.41799999999999998</v>
      </c>
      <c r="M11" s="15" t="e">
        <f>#REF!</f>
        <v>#REF!</v>
      </c>
      <c r="N11" s="16">
        <f t="shared" si="0"/>
        <v>1.679722222222222E-2</v>
      </c>
      <c r="P11" s="60">
        <v>1129.32</v>
      </c>
      <c r="Q11" s="60">
        <v>43.340899999999998</v>
      </c>
      <c r="R11" s="60">
        <v>46.602400000000003</v>
      </c>
      <c r="S11" s="60">
        <v>46.722099999999998</v>
      </c>
      <c r="T11" s="60">
        <v>0.9896992</v>
      </c>
      <c r="U11" s="60">
        <v>0.99127449999999995</v>
      </c>
      <c r="V11" s="60">
        <v>0.99172859999999996</v>
      </c>
      <c r="W11" s="60">
        <v>2048.2080000000001</v>
      </c>
      <c r="X11" s="60">
        <v>0.64100000000000001</v>
      </c>
      <c r="Y11" s="15" t="e">
        <f>#REF!</f>
        <v>#REF!</v>
      </c>
      <c r="Z11" s="16">
        <f t="shared" si="5"/>
        <v>0.56894666666666671</v>
      </c>
      <c r="AA11" s="10">
        <f t="shared" si="6"/>
        <v>33.871473457913019</v>
      </c>
      <c r="AB11" s="15">
        <f t="shared" si="1"/>
        <v>1.5334928229665072</v>
      </c>
      <c r="AC11" s="15" t="e">
        <f t="shared" si="1"/>
        <v>#REF!</v>
      </c>
      <c r="AD11" s="16">
        <f t="shared" si="7"/>
        <v>3.6525329521995484E-3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>
        <f>V11/J11</f>
        <v>0.99995523169112277</v>
      </c>
      <c r="AY11" s="15">
        <f t="shared" si="17"/>
        <v>1.5334928229665072</v>
      </c>
      <c r="AZ11" s="15">
        <f t="shared" si="10"/>
        <v>33.871473457913019</v>
      </c>
      <c r="BA11" s="15">
        <f>V11/J11</f>
        <v>0.99995523169112277</v>
      </c>
      <c r="BB11" s="15">
        <f t="shared" si="15"/>
        <v>1.5334928229665072</v>
      </c>
      <c r="BC11" s="15">
        <f t="shared" si="11"/>
        <v>33.871473457913019</v>
      </c>
      <c r="BD11" s="1">
        <f t="shared" si="12"/>
        <v>0</v>
      </c>
    </row>
    <row r="12" spans="1:56" ht="15.75" thickBot="1" x14ac:dyDescent="0.25">
      <c r="A12" s="13"/>
      <c r="B12" s="17"/>
      <c r="C12" s="44">
        <v>42</v>
      </c>
      <c r="D12" s="55">
        <v>746.46</v>
      </c>
      <c r="E12" s="55">
        <v>41.422600000000003</v>
      </c>
      <c r="F12" s="55">
        <v>45.116100000000003</v>
      </c>
      <c r="G12" s="55">
        <v>45.127600000000001</v>
      </c>
      <c r="H12" s="55">
        <v>0.98438689999999995</v>
      </c>
      <c r="I12" s="55">
        <v>0.98819069999999998</v>
      </c>
      <c r="J12" s="55">
        <v>0.9884579</v>
      </c>
      <c r="K12" s="55">
        <v>50.423999999999999</v>
      </c>
      <c r="L12" s="55">
        <v>0.40400000000000003</v>
      </c>
      <c r="M12" s="19" t="e">
        <f>#REF!</f>
        <v>#REF!</v>
      </c>
      <c r="N12" s="20">
        <f t="shared" si="0"/>
        <v>1.4006666666666667E-2</v>
      </c>
      <c r="P12" s="60">
        <v>744.12</v>
      </c>
      <c r="Q12" s="60">
        <v>41.426000000000002</v>
      </c>
      <c r="R12" s="60">
        <v>45.076099999999997</v>
      </c>
      <c r="S12" s="60">
        <v>45.006999999999998</v>
      </c>
      <c r="T12" s="60">
        <v>0.98435530000000004</v>
      </c>
      <c r="U12" s="60">
        <v>0.98802690000000004</v>
      </c>
      <c r="V12" s="60">
        <v>0.9879462</v>
      </c>
      <c r="W12" s="60">
        <v>2985.26</v>
      </c>
      <c r="X12" s="60">
        <v>0.42</v>
      </c>
      <c r="Y12" s="19" t="e">
        <f>#REF!</f>
        <v>#REF!</v>
      </c>
      <c r="Z12" s="20">
        <f t="shared" si="5"/>
        <v>0.82923888888888897</v>
      </c>
      <c r="AA12" s="10">
        <f t="shared" si="6"/>
        <v>59.203157226717444</v>
      </c>
      <c r="AB12" s="15">
        <f t="shared" si="1"/>
        <v>1.0396039603960394</v>
      </c>
      <c r="AC12" s="15" t="e">
        <f t="shared" si="1"/>
        <v>#REF!</v>
      </c>
      <c r="AD12" s="20">
        <f t="shared" si="7"/>
        <v>3.1347962382445565E-3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>
        <f>V12/J12</f>
        <v>0.99948232494272138</v>
      </c>
      <c r="AY12" s="15">
        <f t="shared" si="17"/>
        <v>1.0396039603960394</v>
      </c>
      <c r="AZ12" s="15">
        <f t="shared" si="10"/>
        <v>59.203157226717437</v>
      </c>
      <c r="BA12" s="15"/>
      <c r="BB12" s="15"/>
      <c r="BC12" s="15"/>
      <c r="BD12" s="1">
        <f t="shared" si="12"/>
        <v>0</v>
      </c>
    </row>
    <row r="13" spans="1:56" ht="15.75" thickBot="1" x14ac:dyDescent="0.25">
      <c r="A13" s="13"/>
      <c r="B13" s="8" t="s">
        <v>42</v>
      </c>
      <c r="C13" s="39">
        <v>22</v>
      </c>
      <c r="D13" s="55">
        <v>18477.84</v>
      </c>
      <c r="E13" s="55">
        <v>42.121000000000002</v>
      </c>
      <c r="F13" s="55">
        <v>49.873600000000003</v>
      </c>
      <c r="G13" s="55">
        <v>49.089700000000001</v>
      </c>
      <c r="H13" s="55">
        <v>0.99275349999999996</v>
      </c>
      <c r="I13" s="55">
        <v>0.9967201</v>
      </c>
      <c r="J13" s="55">
        <v>0.99663270000000004</v>
      </c>
      <c r="K13" s="55">
        <v>1754.43</v>
      </c>
      <c r="L13" s="55">
        <v>0.82199999999999995</v>
      </c>
      <c r="M13" s="10" t="e">
        <f>#REF!</f>
        <v>#REF!</v>
      </c>
      <c r="N13" s="11">
        <f t="shared" si="0"/>
        <v>0.48734166666666667</v>
      </c>
      <c r="P13" s="60">
        <v>18444.48</v>
      </c>
      <c r="Q13" s="60">
        <v>42.116999999999997</v>
      </c>
      <c r="R13" s="60">
        <v>49.883200000000002</v>
      </c>
      <c r="S13" s="60">
        <v>49.094499999999996</v>
      </c>
      <c r="T13" s="60">
        <v>0.99273909999999999</v>
      </c>
      <c r="U13" s="60">
        <v>0.99672740000000004</v>
      </c>
      <c r="V13" s="60">
        <v>0.99663860000000004</v>
      </c>
      <c r="W13" s="60">
        <v>6356.8980000000001</v>
      </c>
      <c r="X13" s="60">
        <v>0.89600000000000002</v>
      </c>
      <c r="Y13" s="10" t="e">
        <f>#REF!</f>
        <v>#REF!</v>
      </c>
      <c r="Z13" s="11">
        <f t="shared" si="5"/>
        <v>1.7658050000000001</v>
      </c>
      <c r="AA13" s="10">
        <f t="shared" si="6"/>
        <v>3.6233409141430548</v>
      </c>
      <c r="AB13" s="15">
        <f t="shared" si="1"/>
        <v>1.0900243309002433</v>
      </c>
      <c r="AC13" s="15" t="e">
        <f t="shared" si="1"/>
        <v>#REF!</v>
      </c>
      <c r="AD13" s="11">
        <f t="shared" si="7"/>
        <v>1.805405826655095E-3</v>
      </c>
      <c r="AE13" s="12"/>
      <c r="AF13" s="25">
        <f>bdRateExtend($D13:$D17,E13:E17,$P13:$P17,Q13:Q17)</f>
        <v>-1.5598059495969263E-4</v>
      </c>
      <c r="AG13" s="30">
        <f t="shared" ref="AG13:AK13" si="18">bdRateExtend($D13:$D17,F13:F17,$P13:$P17,R13:R17)</f>
        <v>1.2849975126137281E-2</v>
      </c>
      <c r="AH13" s="31">
        <f t="shared" si="18"/>
        <v>8.3417471918825203E-3</v>
      </c>
      <c r="AI13" s="25">
        <f t="shared" si="18"/>
        <v>-8.9314409116636462E-4</v>
      </c>
      <c r="AJ13" s="30">
        <f t="shared" si="18"/>
        <v>4.9687088420615755E-3</v>
      </c>
      <c r="AK13" s="30">
        <f t="shared" si="18"/>
        <v>8.0721611852538899E-3</v>
      </c>
      <c r="AL13" s="26"/>
      <c r="AM13" s="21"/>
      <c r="AN13" s="36"/>
      <c r="AO13" s="21"/>
      <c r="AP13" s="21"/>
      <c r="AQ13" s="36"/>
      <c r="AR13" s="30">
        <f t="shared" ref="AR13:AW13" si="19">bdrate($D13:$D16,E13:E16,$P13:$P16,Q13:Q16)</f>
        <v>-3.5939042370880525E-4</v>
      </c>
      <c r="AS13" s="30">
        <f t="shared" si="19"/>
        <v>1.4262151962337821E-2</v>
      </c>
      <c r="AT13" s="31">
        <f t="shared" si="19"/>
        <v>1.082831514542737E-2</v>
      </c>
      <c r="AU13" s="25">
        <f t="shared" si="19"/>
        <v>-6.5703395941441034E-4</v>
      </c>
      <c r="AV13" s="30">
        <f t="shared" si="19"/>
        <v>5.2643221802981532E-3</v>
      </c>
      <c r="AW13" s="31">
        <f t="shared" si="19"/>
        <v>1.1005790314808195E-2</v>
      </c>
      <c r="AX13" s="15"/>
      <c r="AY13" s="15"/>
      <c r="AZ13" s="15"/>
      <c r="BA13" s="15">
        <f>V13/J13</f>
        <v>1.0000059199341944</v>
      </c>
      <c r="BB13" s="15">
        <f t="shared" ref="BB13:BB16" si="20">X13/L13</f>
        <v>1.0900243309002433</v>
      </c>
      <c r="BC13" s="15">
        <f t="shared" si="11"/>
        <v>3.6233409141430553</v>
      </c>
      <c r="BD13" s="1">
        <f t="shared" si="12"/>
        <v>1</v>
      </c>
    </row>
    <row r="14" spans="1:56" ht="15.75" thickBot="1" x14ac:dyDescent="0.25">
      <c r="A14" s="13"/>
      <c r="B14" s="13"/>
      <c r="C14" s="43">
        <v>27</v>
      </c>
      <c r="D14" s="55">
        <v>4394.28</v>
      </c>
      <c r="E14" s="55">
        <v>40.295900000000003</v>
      </c>
      <c r="F14" s="55">
        <v>48.6511</v>
      </c>
      <c r="G14" s="55">
        <v>47.040100000000002</v>
      </c>
      <c r="H14" s="55">
        <v>0.98553880000000005</v>
      </c>
      <c r="I14" s="55">
        <v>0.99538000000000004</v>
      </c>
      <c r="J14" s="55">
        <v>0.99416550000000004</v>
      </c>
      <c r="K14" s="55">
        <v>441.41</v>
      </c>
      <c r="L14" s="55">
        <v>0.57299999999999995</v>
      </c>
      <c r="M14" s="15" t="e">
        <f>#REF!</f>
        <v>#REF!</v>
      </c>
      <c r="N14" s="16">
        <f t="shared" si="0"/>
        <v>0.1226138888888889</v>
      </c>
      <c r="P14" s="60">
        <v>4402.38</v>
      </c>
      <c r="Q14" s="60">
        <v>40.299799999999998</v>
      </c>
      <c r="R14" s="60">
        <v>48.625</v>
      </c>
      <c r="S14" s="60">
        <v>47.023699999999998</v>
      </c>
      <c r="T14" s="60">
        <v>0.98555389999999998</v>
      </c>
      <c r="U14" s="60">
        <v>0.99537379999999998</v>
      </c>
      <c r="V14" s="60">
        <v>0.99415030000000004</v>
      </c>
      <c r="W14" s="60">
        <v>2671.7339999999999</v>
      </c>
      <c r="X14" s="60">
        <v>0.62</v>
      </c>
      <c r="Y14" s="15" t="e">
        <f>#REF!</f>
        <v>#REF!</v>
      </c>
      <c r="Z14" s="16">
        <f t="shared" si="5"/>
        <v>0.7421483333333333</v>
      </c>
      <c r="AA14" s="10">
        <f t="shared" si="6"/>
        <v>6.0527264901112341</v>
      </c>
      <c r="AB14" s="15">
        <f t="shared" si="1"/>
        <v>1.0820244328097732</v>
      </c>
      <c r="AC14" s="15" t="e">
        <f t="shared" si="1"/>
        <v>#REF!</v>
      </c>
      <c r="AD14" s="16">
        <f t="shared" si="7"/>
        <v>1.8433053879134613E-3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-3.7563932606232697E-4</v>
      </c>
      <c r="AM14" s="21">
        <f>bdrate($D14:$D17,F14:F17,$P14:$P17,R14:R17)</f>
        <v>1.3806337160472859E-2</v>
      </c>
      <c r="AN14" s="36">
        <f t="shared" ref="AN14" si="21">bdrate($D14:$D17,G14:G17,$P14:$P17,S14:S17)</f>
        <v>1.149301943373815E-2</v>
      </c>
      <c r="AO14" s="26">
        <f>bdrate($D14:$D17,H14:H17,$P14:$P17,T14:T17)</f>
        <v>-1.3694419373134759E-3</v>
      </c>
      <c r="AP14" s="21">
        <f>bdrate($D14:$D17,I14:I17,$P14:$P17,U14:U17)</f>
        <v>5.9885744125767193E-3</v>
      </c>
      <c r="AQ14" s="36">
        <f>bdrate($D14:$D17,J14:J17,$P14:$P17,V14:V17)</f>
        <v>9.8569933873891014E-3</v>
      </c>
      <c r="AR14" s="21"/>
      <c r="AS14" s="21"/>
      <c r="AT14" s="36"/>
      <c r="AU14" s="26"/>
      <c r="AV14" s="21"/>
      <c r="AW14" s="36"/>
      <c r="AX14" s="15">
        <f>V14/J14</f>
        <v>0.99998471079513418</v>
      </c>
      <c r="AY14" s="15">
        <f t="shared" ref="AY14:AY17" si="22">X14/L14</f>
        <v>1.0820244328097732</v>
      </c>
      <c r="AZ14" s="15">
        <f t="shared" si="10"/>
        <v>6.0527264901112341</v>
      </c>
      <c r="BA14" s="15">
        <f>V14/J14</f>
        <v>0.99998471079513418</v>
      </c>
      <c r="BB14" s="15">
        <f t="shared" si="20"/>
        <v>1.0820244328097732</v>
      </c>
      <c r="BC14" s="15">
        <f t="shared" si="11"/>
        <v>6.0527264901112341</v>
      </c>
      <c r="BD14" s="1">
        <f t="shared" si="12"/>
        <v>0</v>
      </c>
    </row>
    <row r="15" spans="1:56" ht="15.75" thickBot="1" x14ac:dyDescent="0.25">
      <c r="A15" s="13"/>
      <c r="B15" s="13"/>
      <c r="C15" s="43">
        <v>32</v>
      </c>
      <c r="D15" s="55">
        <v>2465.52</v>
      </c>
      <c r="E15" s="55">
        <v>39.443199999999997</v>
      </c>
      <c r="F15" s="55">
        <v>47.345599999999997</v>
      </c>
      <c r="G15" s="55">
        <v>45.226100000000002</v>
      </c>
      <c r="H15" s="55">
        <v>0.98058149999999999</v>
      </c>
      <c r="I15" s="55">
        <v>0.99369430000000003</v>
      </c>
      <c r="J15" s="55">
        <v>0.99087340000000002</v>
      </c>
      <c r="K15" s="55">
        <v>198.179</v>
      </c>
      <c r="L15" s="55">
        <v>0.51200000000000001</v>
      </c>
      <c r="M15" s="15" t="e">
        <f>#REF!</f>
        <v>#REF!</v>
      </c>
      <c r="N15" s="16">
        <f t="shared" si="0"/>
        <v>5.5049722222222222E-2</v>
      </c>
      <c r="P15" s="60">
        <v>2462.8200000000002</v>
      </c>
      <c r="Q15" s="60">
        <v>39.444299999999998</v>
      </c>
      <c r="R15" s="60">
        <v>47.309600000000003</v>
      </c>
      <c r="S15" s="60">
        <v>45.16</v>
      </c>
      <c r="T15" s="60">
        <v>0.98059629999999998</v>
      </c>
      <c r="U15" s="60">
        <v>0.99367919999999998</v>
      </c>
      <c r="V15" s="60">
        <v>0.99074839999999997</v>
      </c>
      <c r="W15" s="60">
        <v>1692.7349999999999</v>
      </c>
      <c r="X15" s="60">
        <v>0.69199999999999995</v>
      </c>
      <c r="Y15" s="15" t="e">
        <f>#REF!</f>
        <v>#REF!</v>
      </c>
      <c r="Z15" s="16">
        <f t="shared" si="5"/>
        <v>0.47020416666666665</v>
      </c>
      <c r="AA15" s="10">
        <f t="shared" si="6"/>
        <v>8.5414448554084945</v>
      </c>
      <c r="AB15" s="15">
        <f t="shared" si="1"/>
        <v>1.3515624999999998</v>
      </c>
      <c r="AC15" s="15" t="e">
        <f t="shared" si="1"/>
        <v>#REF!</v>
      </c>
      <c r="AD15" s="16">
        <f t="shared" si="7"/>
        <v>1.0951036698140021E-3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>
        <f>V15/J15</f>
        <v>0.99987384866724649</v>
      </c>
      <c r="AY15" s="15">
        <f t="shared" si="22"/>
        <v>1.3515624999999998</v>
      </c>
      <c r="AZ15" s="15">
        <f t="shared" si="10"/>
        <v>8.5414448554084945</v>
      </c>
      <c r="BA15" s="15">
        <f>V15/J15</f>
        <v>0.99987384866724649</v>
      </c>
      <c r="BB15" s="15">
        <f t="shared" si="20"/>
        <v>1.3515624999999998</v>
      </c>
      <c r="BC15" s="15">
        <f t="shared" si="11"/>
        <v>8.5414448554084945</v>
      </c>
      <c r="BD15" s="1">
        <f t="shared" si="12"/>
        <v>0</v>
      </c>
    </row>
    <row r="16" spans="1:56" ht="15.75" thickBot="1" x14ac:dyDescent="0.25">
      <c r="A16" s="13"/>
      <c r="B16" s="13"/>
      <c r="C16" s="43">
        <v>37</v>
      </c>
      <c r="D16" s="55">
        <v>1441.8</v>
      </c>
      <c r="E16" s="55">
        <v>38.221299999999999</v>
      </c>
      <c r="F16" s="55">
        <v>46.073300000000003</v>
      </c>
      <c r="G16" s="55">
        <v>43.719799999999999</v>
      </c>
      <c r="H16" s="55">
        <v>0.97243780000000002</v>
      </c>
      <c r="I16" s="55">
        <v>0.99153460000000004</v>
      </c>
      <c r="J16" s="55">
        <v>0.98708399999999996</v>
      </c>
      <c r="K16" s="55">
        <v>91.03</v>
      </c>
      <c r="L16" s="55">
        <v>0.443</v>
      </c>
      <c r="M16" s="15" t="e">
        <f>#REF!</f>
        <v>#REF!</v>
      </c>
      <c r="N16" s="16">
        <f t="shared" si="0"/>
        <v>2.528611111111111E-2</v>
      </c>
      <c r="P16" s="60">
        <v>1442.22</v>
      </c>
      <c r="Q16" s="60">
        <v>38.217300000000002</v>
      </c>
      <c r="R16" s="60">
        <v>46.0062</v>
      </c>
      <c r="S16" s="60">
        <v>43.694699999999997</v>
      </c>
      <c r="T16" s="60">
        <v>0.97242280000000003</v>
      </c>
      <c r="U16" s="60">
        <v>0.99142750000000002</v>
      </c>
      <c r="V16" s="60">
        <v>0.98700429999999995</v>
      </c>
      <c r="W16" s="60">
        <v>3186.8560000000002</v>
      </c>
      <c r="X16" s="60">
        <v>0.61399999999999999</v>
      </c>
      <c r="Y16" s="15" t="e">
        <f>#REF!</f>
        <v>#REF!</v>
      </c>
      <c r="Z16" s="16">
        <f t="shared" si="5"/>
        <v>0.88523777777777779</v>
      </c>
      <c r="AA16" s="10">
        <f t="shared" si="6"/>
        <v>35.008854223882238</v>
      </c>
      <c r="AB16" s="15">
        <f t="shared" si="1"/>
        <v>1.3860045146726863</v>
      </c>
      <c r="AC16" s="15" t="e">
        <f t="shared" si="1"/>
        <v>#REF!</v>
      </c>
      <c r="AD16" s="16">
        <f t="shared" si="7"/>
        <v>2.913025384936002E-4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>
        <f>V16/J16</f>
        <v>0.99991925712502683</v>
      </c>
      <c r="AY16" s="15">
        <f t="shared" si="22"/>
        <v>1.3860045146726863</v>
      </c>
      <c r="AZ16" s="15">
        <f t="shared" si="10"/>
        <v>35.008854223882238</v>
      </c>
      <c r="BA16" s="15">
        <f>V16/J16</f>
        <v>0.99991925712502683</v>
      </c>
      <c r="BB16" s="15">
        <f t="shared" si="20"/>
        <v>1.3860045146726863</v>
      </c>
      <c r="BC16" s="15">
        <f t="shared" si="11"/>
        <v>35.008854223882238</v>
      </c>
      <c r="BD16" s="1">
        <f t="shared" si="12"/>
        <v>0</v>
      </c>
    </row>
    <row r="17" spans="1:56" ht="15.75" thickBot="1" x14ac:dyDescent="0.25">
      <c r="A17" s="13"/>
      <c r="B17" s="17"/>
      <c r="C17" s="44">
        <v>42</v>
      </c>
      <c r="D17" s="55">
        <v>862.44</v>
      </c>
      <c r="E17" s="55">
        <v>36.512599999999999</v>
      </c>
      <c r="F17" s="55">
        <v>44.745100000000001</v>
      </c>
      <c r="G17" s="55">
        <v>42.074599999999997</v>
      </c>
      <c r="H17" s="55">
        <v>0.95879760000000003</v>
      </c>
      <c r="I17" s="55">
        <v>0.98871189999999998</v>
      </c>
      <c r="J17" s="55">
        <v>0.98157879999999997</v>
      </c>
      <c r="K17" s="55">
        <v>57.863</v>
      </c>
      <c r="L17" s="55">
        <v>0.42099999999999999</v>
      </c>
      <c r="M17" s="19" t="e">
        <f>#REF!</f>
        <v>#REF!</v>
      </c>
      <c r="N17" s="20">
        <f t="shared" si="0"/>
        <v>1.6073055555555556E-2</v>
      </c>
      <c r="P17" s="60">
        <v>862.8</v>
      </c>
      <c r="Q17" s="60">
        <v>36.5304</v>
      </c>
      <c r="R17" s="60">
        <v>44.834000000000003</v>
      </c>
      <c r="S17" s="60">
        <v>42.103400000000001</v>
      </c>
      <c r="T17" s="60">
        <v>0.95909169999999999</v>
      </c>
      <c r="U17" s="60">
        <v>0.98896839999999997</v>
      </c>
      <c r="V17" s="60">
        <v>0.98162000000000005</v>
      </c>
      <c r="W17" s="60">
        <v>2758.4549999999999</v>
      </c>
      <c r="X17" s="60">
        <v>0.65700000000000003</v>
      </c>
      <c r="Y17" s="19" t="e">
        <f>#REF!</f>
        <v>#REF!</v>
      </c>
      <c r="Z17" s="20">
        <f t="shared" si="5"/>
        <v>0.76623750000000002</v>
      </c>
      <c r="AA17" s="10">
        <f t="shared" si="6"/>
        <v>47.67217392807148</v>
      </c>
      <c r="AB17" s="15">
        <f t="shared" si="1"/>
        <v>1.5605700712589075</v>
      </c>
      <c r="AC17" s="15" t="e">
        <f t="shared" si="1"/>
        <v>#REF!</v>
      </c>
      <c r="AD17" s="20">
        <f t="shared" si="7"/>
        <v>4.1742034228456462E-4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>
        <f>V17/J17</f>
        <v>1.0000419731966501</v>
      </c>
      <c r="AY17" s="15">
        <f t="shared" si="22"/>
        <v>1.5605700712589075</v>
      </c>
      <c r="AZ17" s="15">
        <f t="shared" si="10"/>
        <v>47.67217392807148</v>
      </c>
      <c r="BA17" s="15"/>
      <c r="BB17" s="15"/>
      <c r="BC17" s="15"/>
      <c r="BD17" s="1">
        <f t="shared" si="12"/>
        <v>0</v>
      </c>
    </row>
    <row r="18" spans="1:56" ht="15.75" thickBot="1" x14ac:dyDescent="0.25">
      <c r="A18" s="48" t="s">
        <v>41</v>
      </c>
      <c r="B18" s="8" t="s">
        <v>52</v>
      </c>
      <c r="C18" s="39">
        <v>22</v>
      </c>
      <c r="D18" s="55">
        <v>34412.22</v>
      </c>
      <c r="E18" s="55">
        <v>42.8277</v>
      </c>
      <c r="F18" s="55">
        <v>42.610999999999997</v>
      </c>
      <c r="G18" s="55">
        <v>44.400799999999997</v>
      </c>
      <c r="H18" s="55">
        <v>0.99569779999999997</v>
      </c>
      <c r="I18" s="55">
        <v>0.99042649999999999</v>
      </c>
      <c r="J18" s="55">
        <v>0.99387320000000001</v>
      </c>
      <c r="K18" s="55">
        <v>3209.2579999999998</v>
      </c>
      <c r="L18" s="55">
        <v>1.0640000000000001</v>
      </c>
      <c r="M18" s="10" t="e">
        <f>#REF!</f>
        <v>#REF!</v>
      </c>
      <c r="N18" s="11">
        <f t="shared" si="0"/>
        <v>0.89146055555555548</v>
      </c>
      <c r="P18" s="60">
        <v>34346.04</v>
      </c>
      <c r="Q18" s="60">
        <v>42.823</v>
      </c>
      <c r="R18" s="60">
        <v>42.605499999999999</v>
      </c>
      <c r="S18" s="60">
        <v>44.387700000000002</v>
      </c>
      <c r="T18" s="60">
        <v>0.99569479999999999</v>
      </c>
      <c r="U18" s="60">
        <v>0.99039339999999998</v>
      </c>
      <c r="V18" s="60">
        <v>0.99385060000000003</v>
      </c>
      <c r="W18" s="60">
        <v>7036.7879999999996</v>
      </c>
      <c r="X18" s="60">
        <v>1.0660000000000001</v>
      </c>
      <c r="Y18" s="10" t="e">
        <f>#REF!</f>
        <v>#REF!</v>
      </c>
      <c r="Z18" s="11">
        <f t="shared" si="5"/>
        <v>1.9546633333333332</v>
      </c>
      <c r="AA18" s="10">
        <f t="shared" si="6"/>
        <v>2.1926526318544659</v>
      </c>
      <c r="AB18" s="10">
        <f t="shared" si="1"/>
        <v>1.0018796992481203</v>
      </c>
      <c r="AC18" s="10" t="e">
        <f t="shared" si="1"/>
        <v>#REF!</v>
      </c>
      <c r="AD18" s="11">
        <f t="shared" si="7"/>
        <v>1.9231540423721657E-3</v>
      </c>
      <c r="AE18" s="40"/>
      <c r="AF18" s="25">
        <f t="shared" ref="AF18:AK18" si="23">bdRateExtend($D18:$D22,E18:E22,$P18:$P22,Q18:Q22)</f>
        <v>4.1326761229809605E-4</v>
      </c>
      <c r="AG18" s="30">
        <f t="shared" si="23"/>
        <v>5.143928071970949E-3</v>
      </c>
      <c r="AH18" s="31">
        <f t="shared" si="23"/>
        <v>2.3966609204584266E-4</v>
      </c>
      <c r="AI18" s="25">
        <f t="shared" si="23"/>
        <v>2.110753664998466E-3</v>
      </c>
      <c r="AJ18" s="30">
        <f t="shared" si="23"/>
        <v>9.8226780602626018E-3</v>
      </c>
      <c r="AK18" s="30">
        <f t="shared" si="23"/>
        <v>-2.1656468240714988E-3</v>
      </c>
      <c r="AL18" s="45"/>
      <c r="AM18" s="46"/>
      <c r="AN18" s="47"/>
      <c r="AO18" s="46"/>
      <c r="AP18" s="46"/>
      <c r="AQ18" s="47"/>
      <c r="AR18" s="30">
        <f t="shared" ref="AR18:AW18" si="24">bdrate($D18:$D21,E18:E21,$P18:$P21,Q18:Q21)</f>
        <v>-8.3143838942922876E-5</v>
      </c>
      <c r="AS18" s="30">
        <f t="shared" si="24"/>
        <v>3.3496275102009587E-3</v>
      </c>
      <c r="AT18" s="31">
        <f t="shared" si="24"/>
        <v>5.0965582397142217E-3</v>
      </c>
      <c r="AU18" s="25">
        <f t="shared" si="24"/>
        <v>6.3300414065148303E-4</v>
      </c>
      <c r="AV18" s="30">
        <f t="shared" si="24"/>
        <v>7.8302921680541981E-3</v>
      </c>
      <c r="AW18" s="31">
        <f t="shared" si="24"/>
        <v>5.1413330115235301E-3</v>
      </c>
      <c r="AX18" s="10"/>
      <c r="AY18" s="10"/>
      <c r="AZ18" s="10"/>
      <c r="BA18" s="10">
        <f>V18/J18</f>
        <v>0.99997726068073878</v>
      </c>
      <c r="BB18" s="10">
        <f t="shared" ref="BB18:BB21" si="25">X18/L18</f>
        <v>1.0018796992481203</v>
      </c>
      <c r="BC18" s="10">
        <f t="shared" si="11"/>
        <v>2.1926526318544659</v>
      </c>
      <c r="BD18" s="1">
        <f t="shared" si="12"/>
        <v>0</v>
      </c>
    </row>
    <row r="19" spans="1:56" ht="15.75" thickBot="1" x14ac:dyDescent="0.25">
      <c r="A19" s="13" t="s">
        <v>19</v>
      </c>
      <c r="B19" s="13"/>
      <c r="C19" s="43">
        <v>27</v>
      </c>
      <c r="D19" s="55">
        <v>9928.32</v>
      </c>
      <c r="E19" s="55">
        <v>39.909399999999998</v>
      </c>
      <c r="F19" s="55">
        <v>41.413899999999998</v>
      </c>
      <c r="G19" s="55">
        <v>42.632899999999999</v>
      </c>
      <c r="H19" s="55">
        <v>0.99168999999999996</v>
      </c>
      <c r="I19" s="55">
        <v>0.98554569999999997</v>
      </c>
      <c r="J19" s="55">
        <v>0.99023099999999997</v>
      </c>
      <c r="K19" s="55">
        <v>1068.8209999999999</v>
      </c>
      <c r="L19" s="55">
        <v>0.75700000000000001</v>
      </c>
      <c r="M19" s="15" t="e">
        <f>#REF!</f>
        <v>#REF!</v>
      </c>
      <c r="N19" s="16">
        <f t="shared" si="0"/>
        <v>0.29689472222222218</v>
      </c>
      <c r="P19" s="60">
        <v>9910.86</v>
      </c>
      <c r="Q19" s="60">
        <v>39.908000000000001</v>
      </c>
      <c r="R19" s="60">
        <v>41.4133</v>
      </c>
      <c r="S19" s="60">
        <v>42.609299999999998</v>
      </c>
      <c r="T19" s="60">
        <v>0.99168889999999998</v>
      </c>
      <c r="U19" s="60">
        <v>0.98553610000000003</v>
      </c>
      <c r="V19" s="60">
        <v>0.9901605</v>
      </c>
      <c r="W19" s="60">
        <v>3729.5239999999999</v>
      </c>
      <c r="X19" s="60">
        <v>0.77700000000000002</v>
      </c>
      <c r="Y19" s="15" t="e">
        <f>#REF!</f>
        <v>#REF!</v>
      </c>
      <c r="Z19" s="16">
        <f t="shared" si="5"/>
        <v>1.0359788888888888</v>
      </c>
      <c r="AA19" s="10">
        <f t="shared" si="6"/>
        <v>3.4893812902253982</v>
      </c>
      <c r="AB19" s="15">
        <f t="shared" ref="AB19:AC32" si="26">X19/L19</f>
        <v>1.0264200792602378</v>
      </c>
      <c r="AC19" s="15" t="e">
        <f t="shared" si="26"/>
        <v>#REF!</v>
      </c>
      <c r="AD19" s="16">
        <f t="shared" si="7"/>
        <v>1.7586056855539635E-3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1.1875951335229562E-3</v>
      </c>
      <c r="AM19" s="21">
        <f>bdrate($D19:$D22,F19:F22,$P19:$P22,R19:R22)</f>
        <v>7.8230057162922417E-3</v>
      </c>
      <c r="AN19" s="36">
        <f t="shared" ref="AN19" si="27">bdrate($D19:$D22,G19:G22,$P19:$P22,S19:S22)</f>
        <v>-3.4762285611047439E-3</v>
      </c>
      <c r="AO19" s="26">
        <f>bdrate($D19:$D22,H19:H22,$P19:$P22,T19:T22)</f>
        <v>2.5944743103396561E-3</v>
      </c>
      <c r="AP19" s="21">
        <f>bdrate($D19:$D22,I19:I22,$P19:$P22,U19:U22)</f>
        <v>1.2613232833380561E-2</v>
      </c>
      <c r="AQ19" s="36">
        <f>bdrate($D19:$D22,J19:J22,$P19:$P22,V19:V22)</f>
        <v>-4.8680328012161711E-3</v>
      </c>
      <c r="AR19" s="21"/>
      <c r="AS19" s="21"/>
      <c r="AT19" s="36"/>
      <c r="AU19" s="26"/>
      <c r="AV19" s="21"/>
      <c r="AW19" s="36"/>
      <c r="AX19" s="15">
        <f>V19/J19</f>
        <v>0.99992880449107335</v>
      </c>
      <c r="AY19" s="15">
        <f t="shared" ref="AY19:AY22" si="28">X19/L19</f>
        <v>1.0264200792602378</v>
      </c>
      <c r="AZ19" s="15">
        <f t="shared" si="10"/>
        <v>3.4893812902253978</v>
      </c>
      <c r="BA19" s="15">
        <f>V19/J19</f>
        <v>0.99992880449107335</v>
      </c>
      <c r="BB19" s="15">
        <f t="shared" si="25"/>
        <v>1.0264200792602378</v>
      </c>
      <c r="BC19" s="15">
        <f t="shared" si="11"/>
        <v>3.4893812902253978</v>
      </c>
      <c r="BD19" s="1">
        <f t="shared" si="12"/>
        <v>0</v>
      </c>
    </row>
    <row r="20" spans="1:56" ht="15.75" thickBot="1" x14ac:dyDescent="0.25">
      <c r="A20" s="13"/>
      <c r="B20" s="13"/>
      <c r="C20" s="43">
        <v>32</v>
      </c>
      <c r="D20" s="55">
        <v>5696.28</v>
      </c>
      <c r="E20" s="55">
        <v>38.506799999999998</v>
      </c>
      <c r="F20" s="55">
        <v>40.508899999999997</v>
      </c>
      <c r="G20" s="55">
        <v>40.927799999999998</v>
      </c>
      <c r="H20" s="55">
        <v>0.98731120000000006</v>
      </c>
      <c r="I20" s="55">
        <v>0.98115649999999999</v>
      </c>
      <c r="J20" s="55">
        <v>0.98504670000000005</v>
      </c>
      <c r="K20" s="55">
        <v>495.911</v>
      </c>
      <c r="L20" s="55">
        <v>0.68400000000000005</v>
      </c>
      <c r="M20" s="15" t="e">
        <f>#REF!</f>
        <v>#REF!</v>
      </c>
      <c r="N20" s="16">
        <f t="shared" si="0"/>
        <v>0.13775305555555556</v>
      </c>
      <c r="P20" s="60">
        <v>5700.3</v>
      </c>
      <c r="Q20" s="60">
        <v>38.507199999999997</v>
      </c>
      <c r="R20" s="60">
        <v>40.495199999999997</v>
      </c>
      <c r="S20" s="60">
        <v>40.912399999999998</v>
      </c>
      <c r="T20" s="60">
        <v>0.98731219999999997</v>
      </c>
      <c r="U20" s="60">
        <v>0.98103309999999999</v>
      </c>
      <c r="V20" s="60">
        <v>0.98498289999999999</v>
      </c>
      <c r="W20" s="60">
        <v>2874.3820000000001</v>
      </c>
      <c r="X20" s="60">
        <v>1.093</v>
      </c>
      <c r="Y20" s="15" t="e">
        <f>#REF!</f>
        <v>#REF!</v>
      </c>
      <c r="Z20" s="16">
        <f t="shared" si="5"/>
        <v>0.79843944444444448</v>
      </c>
      <c r="AA20" s="10">
        <f t="shared" si="6"/>
        <v>5.796165037678132</v>
      </c>
      <c r="AB20" s="15">
        <f t="shared" si="26"/>
        <v>1.5979532163742689</v>
      </c>
      <c r="AC20" s="15" t="e">
        <f t="shared" si="26"/>
        <v>#REF!</v>
      </c>
      <c r="AD20" s="16">
        <f t="shared" si="7"/>
        <v>7.0572373549060733E-4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>
        <f>V20/J20</f>
        <v>0.99993523149714625</v>
      </c>
      <c r="AY20" s="15">
        <f t="shared" si="28"/>
        <v>1.5979532163742689</v>
      </c>
      <c r="AZ20" s="15">
        <f t="shared" si="10"/>
        <v>5.796165037678132</v>
      </c>
      <c r="BA20" s="15">
        <f>V20/J20</f>
        <v>0.99993523149714625</v>
      </c>
      <c r="BB20" s="15">
        <f t="shared" si="25"/>
        <v>1.5979532163742689</v>
      </c>
      <c r="BC20" s="15">
        <f t="shared" si="11"/>
        <v>5.796165037678132</v>
      </c>
      <c r="BD20" s="1">
        <f t="shared" si="12"/>
        <v>0</v>
      </c>
    </row>
    <row r="21" spans="1:56" ht="15.75" thickBot="1" x14ac:dyDescent="0.25">
      <c r="A21" s="13"/>
      <c r="B21" s="13"/>
      <c r="C21" s="43">
        <v>37</v>
      </c>
      <c r="D21" s="55">
        <v>3363.3</v>
      </c>
      <c r="E21" s="55">
        <v>36.596800000000002</v>
      </c>
      <c r="F21" s="55">
        <v>39.623199999999997</v>
      </c>
      <c r="G21" s="55">
        <v>39.297499999999999</v>
      </c>
      <c r="H21" s="55">
        <v>0.97869510000000004</v>
      </c>
      <c r="I21" s="55">
        <v>0.97604349999999995</v>
      </c>
      <c r="J21" s="55">
        <v>0.97774609999999995</v>
      </c>
      <c r="K21" s="55">
        <v>265.726</v>
      </c>
      <c r="L21" s="55">
        <v>0.55700000000000005</v>
      </c>
      <c r="M21" s="15" t="e">
        <f>#REF!</f>
        <v>#REF!</v>
      </c>
      <c r="N21" s="16">
        <f t="shared" si="0"/>
        <v>7.3812777777777783E-2</v>
      </c>
      <c r="P21" s="60">
        <v>3367.68</v>
      </c>
      <c r="Q21" s="60">
        <v>36.591099999999997</v>
      </c>
      <c r="R21" s="60">
        <v>39.619599999999998</v>
      </c>
      <c r="S21" s="60">
        <v>39.354100000000003</v>
      </c>
      <c r="T21" s="60">
        <v>0.97862530000000003</v>
      </c>
      <c r="U21" s="60">
        <v>0.97595779999999999</v>
      </c>
      <c r="V21" s="60">
        <v>0.97796950000000005</v>
      </c>
      <c r="W21" s="60">
        <v>1535.6210000000001</v>
      </c>
      <c r="X21" s="60">
        <v>0.57699999999999996</v>
      </c>
      <c r="Y21" s="15" t="e">
        <f>#REF!</f>
        <v>#REF!</v>
      </c>
      <c r="Z21" s="16">
        <f t="shared" si="5"/>
        <v>0.42656138888888889</v>
      </c>
      <c r="AA21" s="10">
        <f t="shared" si="6"/>
        <v>5.7789640456711053</v>
      </c>
      <c r="AB21" s="15">
        <f t="shared" si="26"/>
        <v>1.0359066427289048</v>
      </c>
      <c r="AC21" s="15" t="e">
        <f t="shared" si="26"/>
        <v>#REF!</v>
      </c>
      <c r="AD21" s="16">
        <f t="shared" si="7"/>
        <v>1.3022923914011995E-3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>
        <f>V21/J21</f>
        <v>1.0002284846751115</v>
      </c>
      <c r="AY21" s="15">
        <f t="shared" si="28"/>
        <v>1.0359066427289048</v>
      </c>
      <c r="AZ21" s="15">
        <f t="shared" si="10"/>
        <v>5.7789640456711044</v>
      </c>
      <c r="BA21" s="15">
        <f>V21/J21</f>
        <v>1.0002284846751115</v>
      </c>
      <c r="BB21" s="15">
        <f t="shared" si="25"/>
        <v>1.0359066427289048</v>
      </c>
      <c r="BC21" s="15">
        <f t="shared" si="11"/>
        <v>5.7789640456711044</v>
      </c>
      <c r="BD21" s="1">
        <f t="shared" si="12"/>
        <v>0</v>
      </c>
    </row>
    <row r="22" spans="1:56" ht="15.75" thickBot="1" x14ac:dyDescent="0.25">
      <c r="A22" s="13"/>
      <c r="B22" s="17"/>
      <c r="C22" s="44">
        <v>42</v>
      </c>
      <c r="D22" s="55">
        <v>1951.08</v>
      </c>
      <c r="E22" s="55">
        <v>34.232100000000003</v>
      </c>
      <c r="F22" s="55">
        <v>38.627600000000001</v>
      </c>
      <c r="G22" s="55">
        <v>37.869500000000002</v>
      </c>
      <c r="H22" s="55">
        <v>0.96199009999999996</v>
      </c>
      <c r="I22" s="55">
        <v>0.96905439999999998</v>
      </c>
      <c r="J22" s="55">
        <v>0.96943509999999999</v>
      </c>
      <c r="K22" s="55">
        <v>144.05799999999999</v>
      </c>
      <c r="L22" s="55">
        <v>0.51</v>
      </c>
      <c r="M22" s="19" t="e">
        <f>#REF!</f>
        <v>#REF!</v>
      </c>
      <c r="N22" s="20">
        <f t="shared" si="0"/>
        <v>4.0016111111111106E-2</v>
      </c>
      <c r="P22" s="60">
        <v>1947.06</v>
      </c>
      <c r="Q22" s="60">
        <v>34.226100000000002</v>
      </c>
      <c r="R22" s="60">
        <v>38.570900000000002</v>
      </c>
      <c r="S22" s="60">
        <v>37.865000000000002</v>
      </c>
      <c r="T22" s="60">
        <v>0.96189639999999998</v>
      </c>
      <c r="U22" s="60">
        <v>0.96860639999999998</v>
      </c>
      <c r="V22" s="60">
        <v>0.96952110000000002</v>
      </c>
      <c r="W22" s="60">
        <v>1012.729</v>
      </c>
      <c r="X22" s="60">
        <v>0.53300000000000003</v>
      </c>
      <c r="Y22" s="19" t="e">
        <f>#REF!</f>
        <v>#REF!</v>
      </c>
      <c r="Z22" s="20">
        <f t="shared" si="5"/>
        <v>0.28131361111111114</v>
      </c>
      <c r="AA22" s="10">
        <f t="shared" si="6"/>
        <v>7.0300087464771144</v>
      </c>
      <c r="AB22" s="15">
        <f t="shared" si="26"/>
        <v>1.0450980392156863</v>
      </c>
      <c r="AC22" s="15" t="e">
        <f t="shared" si="26"/>
        <v>#REF!</v>
      </c>
      <c r="AD22" s="20">
        <f t="shared" si="7"/>
        <v>2.0603973184082571E-3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>
        <f>V22/J22</f>
        <v>1.0000887114568062</v>
      </c>
      <c r="AY22" s="15">
        <f t="shared" si="28"/>
        <v>1.0450980392156863</v>
      </c>
      <c r="AZ22" s="15">
        <f t="shared" si="10"/>
        <v>7.0300087464771153</v>
      </c>
      <c r="BA22" s="15"/>
      <c r="BB22" s="15"/>
      <c r="BC22" s="15"/>
      <c r="BD22" s="1">
        <f t="shared" si="12"/>
        <v>0</v>
      </c>
    </row>
    <row r="23" spans="1:56" ht="15.75" thickBot="1" x14ac:dyDescent="0.25">
      <c r="A23" s="13"/>
      <c r="B23" s="13" t="s">
        <v>44</v>
      </c>
      <c r="C23" s="39">
        <v>22</v>
      </c>
      <c r="D23" s="55">
        <v>60065.82</v>
      </c>
      <c r="E23" s="55">
        <v>41.7348</v>
      </c>
      <c r="F23" s="55">
        <v>46.245399999999997</v>
      </c>
      <c r="G23" s="55">
        <v>44.120199999999997</v>
      </c>
      <c r="H23" s="55">
        <v>0.99448029999999998</v>
      </c>
      <c r="I23" s="55">
        <v>0.99403859999999999</v>
      </c>
      <c r="J23" s="55">
        <v>0.99154799999999998</v>
      </c>
      <c r="K23" s="55">
        <v>3026.5169999999998</v>
      </c>
      <c r="L23" s="55">
        <v>1.4510000000000001</v>
      </c>
      <c r="M23" s="10" t="e">
        <f>#REF!</f>
        <v>#REF!</v>
      </c>
      <c r="N23" s="11">
        <f t="shared" si="0"/>
        <v>0.84069916666666666</v>
      </c>
      <c r="P23" s="60">
        <v>60100.02</v>
      </c>
      <c r="Q23" s="60">
        <v>41.737900000000003</v>
      </c>
      <c r="R23" s="60">
        <v>46.235100000000003</v>
      </c>
      <c r="S23" s="60">
        <v>44.122700000000002</v>
      </c>
      <c r="T23" s="60">
        <v>0.99448230000000004</v>
      </c>
      <c r="U23" s="60">
        <v>0.9940177</v>
      </c>
      <c r="V23" s="60">
        <v>0.99156599999999995</v>
      </c>
      <c r="W23" s="60">
        <v>7335.2730000000001</v>
      </c>
      <c r="X23" s="60">
        <v>1.3280000000000001</v>
      </c>
      <c r="Y23" s="10" t="e">
        <f>#REF!</f>
        <v>#REF!</v>
      </c>
      <c r="Z23" s="11">
        <f t="shared" si="5"/>
        <v>2.0375758333333334</v>
      </c>
      <c r="AA23" s="10">
        <f t="shared" si="6"/>
        <v>2.4236681968084106</v>
      </c>
      <c r="AB23" s="15">
        <f t="shared" si="26"/>
        <v>0.91523087525844249</v>
      </c>
      <c r="AC23" s="15" t="e">
        <f t="shared" si="26"/>
        <v>#REF!</v>
      </c>
      <c r="AD23" s="11">
        <f t="shared" si="7"/>
        <v>5.6937539519142646E-4</v>
      </c>
      <c r="AE23" s="12"/>
      <c r="AF23" s="25">
        <f t="shared" ref="AF23:AK23" si="29">bdRateExtend($D23:$D27,E23:E27,$P23:$P27,Q23:Q27)</f>
        <v>-4.8424980524597316E-4</v>
      </c>
      <c r="AG23" s="30">
        <f t="shared" si="29"/>
        <v>9.4236432818091131E-3</v>
      </c>
      <c r="AH23" s="31">
        <f t="shared" si="29"/>
        <v>3.7999194656022084E-3</v>
      </c>
      <c r="AI23" s="25">
        <f t="shared" si="29"/>
        <v>-4.2874047942997873E-4</v>
      </c>
      <c r="AJ23" s="30">
        <f t="shared" si="29"/>
        <v>1.627632639931198E-2</v>
      </c>
      <c r="AK23" s="30">
        <f t="shared" si="29"/>
        <v>1.087902682632591E-2</v>
      </c>
      <c r="AL23" s="26"/>
      <c r="AM23" s="21"/>
      <c r="AN23" s="36"/>
      <c r="AO23" s="21"/>
      <c r="AP23" s="21"/>
      <c r="AQ23" s="36"/>
      <c r="AR23" s="30">
        <f t="shared" ref="AR23:AW23" si="30">bdrate($D23:$D26,E23:E26,$P23:$P26,Q23:Q26)</f>
        <v>-2.9260458426139113E-4</v>
      </c>
      <c r="AS23" s="30">
        <f t="shared" si="30"/>
        <v>1.2949761141539229E-2</v>
      </c>
      <c r="AT23" s="31">
        <f t="shared" si="30"/>
        <v>9.5076682521177958E-5</v>
      </c>
      <c r="AU23" s="25">
        <f t="shared" si="30"/>
        <v>-4.1140770872116761E-4</v>
      </c>
      <c r="AV23" s="30">
        <f t="shared" si="30"/>
        <v>1.5481484661756362E-2</v>
      </c>
      <c r="AW23" s="31">
        <f t="shared" si="30"/>
        <v>3.8545440387771635E-3</v>
      </c>
      <c r="AX23" s="15"/>
      <c r="AY23" s="15"/>
      <c r="AZ23" s="15"/>
      <c r="BA23" s="15">
        <f>V23/J23</f>
        <v>1.0000181534328141</v>
      </c>
      <c r="BB23" s="15">
        <f t="shared" ref="BB23:BB26" si="31">X23/L23</f>
        <v>0.91523087525844249</v>
      </c>
      <c r="BC23" s="15">
        <f t="shared" si="11"/>
        <v>2.4236681968084106</v>
      </c>
      <c r="BD23" s="1">
        <f t="shared" si="12"/>
        <v>1</v>
      </c>
    </row>
    <row r="24" spans="1:56" ht="15.75" thickBot="1" x14ac:dyDescent="0.25">
      <c r="A24" s="13"/>
      <c r="B24" s="13"/>
      <c r="C24" s="43">
        <v>27</v>
      </c>
      <c r="D24" s="55">
        <v>9989.4</v>
      </c>
      <c r="E24" s="55">
        <v>37.578899999999997</v>
      </c>
      <c r="F24" s="55">
        <v>44.9617</v>
      </c>
      <c r="G24" s="55">
        <v>42.521900000000002</v>
      </c>
      <c r="H24" s="55">
        <v>0.98421170000000002</v>
      </c>
      <c r="I24" s="55">
        <v>0.99083600000000005</v>
      </c>
      <c r="J24" s="55">
        <v>0.98616649999999995</v>
      </c>
      <c r="K24" s="55">
        <v>1170.952</v>
      </c>
      <c r="L24" s="55">
        <v>0.76500000000000001</v>
      </c>
      <c r="M24" s="15" t="e">
        <f>#REF!</f>
        <v>#REF!</v>
      </c>
      <c r="N24" s="16">
        <f t="shared" si="0"/>
        <v>0.32526444444444447</v>
      </c>
      <c r="P24" s="60">
        <v>9984.2999999999993</v>
      </c>
      <c r="Q24" s="60">
        <v>37.5777</v>
      </c>
      <c r="R24" s="60">
        <v>44.938200000000002</v>
      </c>
      <c r="S24" s="60">
        <v>42.520099999999999</v>
      </c>
      <c r="T24" s="60">
        <v>0.98421080000000005</v>
      </c>
      <c r="U24" s="60">
        <v>0.99075570000000002</v>
      </c>
      <c r="V24" s="60">
        <v>0.98615459999999999</v>
      </c>
      <c r="W24" s="60">
        <v>4351.2280000000001</v>
      </c>
      <c r="X24" s="60">
        <v>0.8</v>
      </c>
      <c r="Y24" s="15" t="e">
        <f>#REF!</f>
        <v>#REF!</v>
      </c>
      <c r="Z24" s="16">
        <f t="shared" si="5"/>
        <v>1.2086744444444444</v>
      </c>
      <c r="AA24" s="10">
        <f t="shared" si="6"/>
        <v>3.7159746940950611</v>
      </c>
      <c r="AB24" s="15">
        <f t="shared" si="26"/>
        <v>1.0457516339869282</v>
      </c>
      <c r="AC24" s="15" t="e">
        <f t="shared" si="26"/>
        <v>#REF!</v>
      </c>
      <c r="AD24" s="16">
        <f t="shared" si="7"/>
        <v>5.105411736440992E-4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-7.8345446469951785E-4</v>
      </c>
      <c r="AM24" s="21">
        <f>bdrate($D24:$D27,F24:F27,$P24:$P27,R24:R27)</f>
        <v>3.38255192365855E-3</v>
      </c>
      <c r="AN24" s="36">
        <f t="shared" ref="AN24" si="32">bdrate($D24:$D27,G24:G27,$P24:$P27,S24:S27)</f>
        <v>5.5852199854748985E-3</v>
      </c>
      <c r="AO24" s="26">
        <f>bdrate($D24:$D27,H24:H27,$P24:$P27,T24:T27)</f>
        <v>-3.9911697028593984E-4</v>
      </c>
      <c r="AP24" s="21">
        <f>bdrate($D24:$D27,I24:I27,$P24:$P27,U24:U27)</f>
        <v>1.3539337377154625E-2</v>
      </c>
      <c r="AQ24" s="36">
        <f>bdrate($D24:$D27,J24:J27,$P24:$P27,V24:V27)</f>
        <v>1.3961274736421281E-2</v>
      </c>
      <c r="AR24" s="21"/>
      <c r="AS24" s="21"/>
      <c r="AT24" s="36"/>
      <c r="AU24" s="26"/>
      <c r="AV24" s="21"/>
      <c r="AW24" s="36"/>
      <c r="AX24" s="15">
        <f>V24/J24</f>
        <v>0.99998793307215372</v>
      </c>
      <c r="AY24" s="15">
        <f t="shared" ref="AY24:AY27" si="33">X24/L24</f>
        <v>1.0457516339869282</v>
      </c>
      <c r="AZ24" s="15">
        <f t="shared" si="10"/>
        <v>3.7159746940950606</v>
      </c>
      <c r="BA24" s="15">
        <f>V24/J24</f>
        <v>0.99998793307215372</v>
      </c>
      <c r="BB24" s="15">
        <f t="shared" si="31"/>
        <v>1.0457516339869282</v>
      </c>
      <c r="BC24" s="15">
        <f t="shared" si="11"/>
        <v>3.7159746940950606</v>
      </c>
      <c r="BD24" s="1">
        <f t="shared" si="12"/>
        <v>0</v>
      </c>
    </row>
    <row r="25" spans="1:56" ht="15.75" thickBot="1" x14ac:dyDescent="0.25">
      <c r="A25" s="13"/>
      <c r="B25" s="13"/>
      <c r="C25" s="43">
        <v>32</v>
      </c>
      <c r="D25" s="55">
        <v>5387.22</v>
      </c>
      <c r="E25" s="55">
        <v>36.593600000000002</v>
      </c>
      <c r="F25" s="55">
        <v>43.7592</v>
      </c>
      <c r="G25" s="55">
        <v>41.345399999999998</v>
      </c>
      <c r="H25" s="55">
        <v>0.97899999999999998</v>
      </c>
      <c r="I25" s="55">
        <v>0.98698660000000005</v>
      </c>
      <c r="J25" s="55">
        <v>0.98056270000000001</v>
      </c>
      <c r="K25" s="55">
        <v>541.38499999999999</v>
      </c>
      <c r="L25" s="55">
        <v>0.64</v>
      </c>
      <c r="M25" s="15" t="e">
        <f>#REF!</f>
        <v>#REF!</v>
      </c>
      <c r="N25" s="16">
        <f t="shared" si="0"/>
        <v>0.15038472222222221</v>
      </c>
      <c r="P25" s="60">
        <v>5377.98</v>
      </c>
      <c r="Q25" s="60">
        <v>36.590299999999999</v>
      </c>
      <c r="R25" s="60">
        <v>43.747799999999998</v>
      </c>
      <c r="S25" s="60">
        <v>41.342599999999997</v>
      </c>
      <c r="T25" s="60">
        <v>0.97897540000000005</v>
      </c>
      <c r="U25" s="60">
        <v>0.98691039999999997</v>
      </c>
      <c r="V25" s="60">
        <v>0.98046180000000005</v>
      </c>
      <c r="W25" s="60">
        <v>3511.0230000000001</v>
      </c>
      <c r="X25" s="60">
        <v>0.71899999999999997</v>
      </c>
      <c r="Y25" s="15" t="e">
        <f>#REF!</f>
        <v>#REF!</v>
      </c>
      <c r="Z25" s="16">
        <f t="shared" si="5"/>
        <v>0.97528416666666673</v>
      </c>
      <c r="AA25" s="10">
        <f t="shared" si="6"/>
        <v>6.4852609510791766</v>
      </c>
      <c r="AB25" s="15">
        <f t="shared" si="26"/>
        <v>1.1234374999999999</v>
      </c>
      <c r="AC25" s="15" t="e">
        <f t="shared" si="26"/>
        <v>#REF!</v>
      </c>
      <c r="AD25" s="16">
        <f t="shared" si="7"/>
        <v>1.7151703476005603E-3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>
        <f>V25/J25</f>
        <v>0.99989709989988407</v>
      </c>
      <c r="AY25" s="15">
        <f t="shared" si="33"/>
        <v>1.1234374999999999</v>
      </c>
      <c r="AZ25" s="15">
        <f t="shared" si="10"/>
        <v>6.4852609510791774</v>
      </c>
      <c r="BA25" s="15">
        <f>V25/J25</f>
        <v>0.99989709989988407</v>
      </c>
      <c r="BB25" s="15">
        <f t="shared" si="31"/>
        <v>1.1234374999999999</v>
      </c>
      <c r="BC25" s="15">
        <f t="shared" si="11"/>
        <v>6.4852609510791774</v>
      </c>
      <c r="BD25" s="1">
        <f t="shared" si="12"/>
        <v>0</v>
      </c>
    </row>
    <row r="26" spans="1:56" ht="15.75" thickBot="1" x14ac:dyDescent="0.25">
      <c r="A26" s="13"/>
      <c r="B26" s="13"/>
      <c r="C26" s="43">
        <v>37</v>
      </c>
      <c r="D26" s="55">
        <v>3002.88</v>
      </c>
      <c r="E26" s="55">
        <v>35.159999999999997</v>
      </c>
      <c r="F26" s="55">
        <v>42.619900000000001</v>
      </c>
      <c r="G26" s="55">
        <v>39.697800000000001</v>
      </c>
      <c r="H26" s="55">
        <v>0.96927790000000003</v>
      </c>
      <c r="I26" s="55">
        <v>0.98220399999999997</v>
      </c>
      <c r="J26" s="55">
        <v>0.96976039999999997</v>
      </c>
      <c r="K26" s="55">
        <v>270.83999999999997</v>
      </c>
      <c r="L26" s="55">
        <v>0.52900000000000003</v>
      </c>
      <c r="M26" s="15" t="e">
        <f>#REF!</f>
        <v>#REF!</v>
      </c>
      <c r="N26" s="16">
        <f t="shared" si="0"/>
        <v>7.5233333333333333E-2</v>
      </c>
      <c r="P26" s="60">
        <v>2994.06</v>
      </c>
      <c r="Q26" s="60">
        <v>35.158299999999997</v>
      </c>
      <c r="R26" s="60">
        <v>42.595300000000002</v>
      </c>
      <c r="S26" s="60">
        <v>39.677300000000002</v>
      </c>
      <c r="T26" s="60">
        <v>0.96927030000000003</v>
      </c>
      <c r="U26" s="60">
        <v>0.98203220000000002</v>
      </c>
      <c r="V26" s="60">
        <v>0.96949850000000004</v>
      </c>
      <c r="W26" s="60">
        <v>2196.8620000000001</v>
      </c>
      <c r="X26" s="60">
        <v>0.54300000000000004</v>
      </c>
      <c r="Y26" s="15" t="e">
        <f>#REF!</f>
        <v>#REF!</v>
      </c>
      <c r="Z26" s="16">
        <f t="shared" si="5"/>
        <v>0.61023944444444445</v>
      </c>
      <c r="AA26" s="10">
        <f t="shared" si="6"/>
        <v>8.1112907989957179</v>
      </c>
      <c r="AB26" s="15">
        <f t="shared" si="26"/>
        <v>1.0264650283553876</v>
      </c>
      <c r="AC26" s="15" t="e">
        <f t="shared" si="26"/>
        <v>#REF!</v>
      </c>
      <c r="AD26" s="16">
        <f t="shared" si="7"/>
        <v>2.9371803069054253E-3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>
        <f>V26/J26</f>
        <v>0.99972993329073867</v>
      </c>
      <c r="AY26" s="15">
        <f t="shared" si="33"/>
        <v>1.0264650283553876</v>
      </c>
      <c r="AZ26" s="15">
        <f t="shared" si="10"/>
        <v>8.1112907989957179</v>
      </c>
      <c r="BA26" s="15">
        <f>V26/J26</f>
        <v>0.99972993329073867</v>
      </c>
      <c r="BB26" s="15">
        <f t="shared" si="31"/>
        <v>1.0264650283553876</v>
      </c>
      <c r="BC26" s="15">
        <f t="shared" si="11"/>
        <v>8.1112907989957179</v>
      </c>
      <c r="BD26" s="1">
        <f t="shared" si="12"/>
        <v>0</v>
      </c>
    </row>
    <row r="27" spans="1:56" ht="15.75" thickBot="1" x14ac:dyDescent="0.25">
      <c r="A27" s="13"/>
      <c r="B27" s="17"/>
      <c r="C27" s="44">
        <v>42</v>
      </c>
      <c r="D27" s="55">
        <v>1608</v>
      </c>
      <c r="E27" s="55">
        <v>33.255299999999998</v>
      </c>
      <c r="F27" s="55">
        <v>41.583399999999997</v>
      </c>
      <c r="G27" s="55">
        <v>38.837299999999999</v>
      </c>
      <c r="H27" s="55">
        <v>0.95043560000000005</v>
      </c>
      <c r="I27" s="55">
        <v>0.97720079999999998</v>
      </c>
      <c r="J27" s="55">
        <v>0.96220300000000003</v>
      </c>
      <c r="K27" s="55">
        <v>123.259</v>
      </c>
      <c r="L27" s="55">
        <v>0.46700000000000003</v>
      </c>
      <c r="M27" s="19" t="e">
        <f>#REF!</f>
        <v>#REF!</v>
      </c>
      <c r="N27" s="20">
        <f t="shared" si="0"/>
        <v>3.4238611111111109E-2</v>
      </c>
      <c r="P27" s="60">
        <v>1609.38</v>
      </c>
      <c r="Q27" s="60">
        <v>33.252299999999998</v>
      </c>
      <c r="R27" s="60">
        <v>41.637099999999997</v>
      </c>
      <c r="S27" s="60">
        <v>38.788800000000002</v>
      </c>
      <c r="T27" s="60">
        <v>0.95026010000000005</v>
      </c>
      <c r="U27" s="60">
        <v>0.97712019999999999</v>
      </c>
      <c r="V27" s="60">
        <v>0.96161289999999999</v>
      </c>
      <c r="W27" s="60">
        <v>1297.02</v>
      </c>
      <c r="X27" s="60">
        <v>0.47499999999999998</v>
      </c>
      <c r="Y27" s="19" t="e">
        <f>#REF!</f>
        <v>#REF!</v>
      </c>
      <c r="Z27" s="20">
        <f t="shared" si="5"/>
        <v>0.36028333333333334</v>
      </c>
      <c r="AA27" s="10">
        <f t="shared" si="6"/>
        <v>10.52272045043364</v>
      </c>
      <c r="AB27" s="15">
        <f t="shared" si="26"/>
        <v>1.0171306209850106</v>
      </c>
      <c r="AC27" s="15" t="e">
        <f t="shared" si="26"/>
        <v>#REF!</v>
      </c>
      <c r="AD27" s="20">
        <f t="shared" si="7"/>
        <v>8.582089552239485E-4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>
        <f>V27/J27</f>
        <v>0.99938671985017713</v>
      </c>
      <c r="AY27" s="15">
        <f t="shared" si="33"/>
        <v>1.0171306209850106</v>
      </c>
      <c r="AZ27" s="15">
        <f t="shared" si="10"/>
        <v>10.52272045043364</v>
      </c>
      <c r="BA27" s="15"/>
      <c r="BB27" s="15"/>
      <c r="BC27" s="15"/>
      <c r="BD27" s="1">
        <f t="shared" si="12"/>
        <v>0</v>
      </c>
    </row>
    <row r="28" spans="1:56" ht="15.75" thickBot="1" x14ac:dyDescent="0.25">
      <c r="A28" s="13"/>
      <c r="B28" s="13" t="s">
        <v>45</v>
      </c>
      <c r="C28" s="39">
        <v>22</v>
      </c>
      <c r="D28" s="55">
        <v>48051.4</v>
      </c>
      <c r="E28" s="55">
        <v>47.258000000000003</v>
      </c>
      <c r="F28" s="55">
        <v>40.761600000000001</v>
      </c>
      <c r="G28" s="55">
        <v>41.324800000000003</v>
      </c>
      <c r="H28" s="55">
        <v>0.99746360000000001</v>
      </c>
      <c r="I28" s="55">
        <v>0.99217290000000002</v>
      </c>
      <c r="J28" s="55">
        <v>0.9910911</v>
      </c>
      <c r="K28" s="55">
        <v>1837.3530000000001</v>
      </c>
      <c r="L28" s="55">
        <v>1.1240000000000001</v>
      </c>
      <c r="M28" s="10" t="e">
        <f>#REF!</f>
        <v>#REF!</v>
      </c>
      <c r="N28" s="11">
        <f t="shared" si="0"/>
        <v>0.51037583333333336</v>
      </c>
      <c r="P28" s="60">
        <v>48077.3</v>
      </c>
      <c r="Q28" s="60">
        <v>47.268099999999997</v>
      </c>
      <c r="R28" s="60">
        <v>40.771299999999997</v>
      </c>
      <c r="S28" s="60">
        <v>41.3172</v>
      </c>
      <c r="T28" s="60">
        <v>0.99747039999999998</v>
      </c>
      <c r="U28" s="60">
        <v>0.99220529999999996</v>
      </c>
      <c r="V28" s="60">
        <v>0.99110520000000002</v>
      </c>
      <c r="W28" s="60">
        <v>5595.902</v>
      </c>
      <c r="X28" s="60">
        <v>1.2729999999999999</v>
      </c>
      <c r="Y28" s="10" t="e">
        <f>#REF!</f>
        <v>#REF!</v>
      </c>
      <c r="Z28" s="11">
        <f t="shared" si="5"/>
        <v>1.5544172222222223</v>
      </c>
      <c r="AA28" s="10">
        <f t="shared" si="6"/>
        <v>3.0456324941369459</v>
      </c>
      <c r="AB28" s="15">
        <f t="shared" si="26"/>
        <v>1.132562277580071</v>
      </c>
      <c r="AC28" s="15" t="e">
        <f t="shared" si="26"/>
        <v>#REF!</v>
      </c>
      <c r="AD28" s="11">
        <f t="shared" si="7"/>
        <v>5.3900614758365945E-4</v>
      </c>
      <c r="AE28" s="12"/>
      <c r="AF28" s="25">
        <f t="shared" ref="AF28:AK28" si="34">bdRateExtend($D28:$D32,E28:E32,$P28:$P32,Q28:Q32)</f>
        <v>-6.7749987277954116E-4</v>
      </c>
      <c r="AG28" s="30">
        <f t="shared" si="34"/>
        <v>-4.2399275059468167E-4</v>
      </c>
      <c r="AH28" s="31">
        <f t="shared" si="34"/>
        <v>1.2669978980173191E-3</v>
      </c>
      <c r="AI28" s="25">
        <f>bdRateExtend($D28:$D32,H28:H32,$P28:$P32,T28:T32)</f>
        <v>-4.0539975348985458E-4</v>
      </c>
      <c r="AJ28" s="30">
        <f t="shared" si="34"/>
        <v>-6.2277923292786141E-4</v>
      </c>
      <c r="AK28" s="30">
        <f t="shared" si="34"/>
        <v>4.6526505402131324E-3</v>
      </c>
      <c r="AL28" s="45"/>
      <c r="AM28" s="46"/>
      <c r="AN28" s="47"/>
      <c r="AO28" s="46"/>
      <c r="AP28" s="46"/>
      <c r="AQ28" s="47"/>
      <c r="AR28" s="30">
        <f t="shared" ref="AR28:AW28" si="35">bdrate($D28:$D31,E28:E31,$P28:$P31,Q28:Q31)</f>
        <v>-6.2811491067238379E-4</v>
      </c>
      <c r="AS28" s="30">
        <f t="shared" si="35"/>
        <v>1.8533594647873741E-5</v>
      </c>
      <c r="AT28" s="31">
        <f t="shared" si="35"/>
        <v>3.2712526922296092E-4</v>
      </c>
      <c r="AU28" s="25">
        <f t="shared" si="35"/>
        <v>-8.8078916036127275E-5</v>
      </c>
      <c r="AV28" s="30">
        <f t="shared" si="35"/>
        <v>-1.6103240373441796E-3</v>
      </c>
      <c r="AW28" s="31">
        <f t="shared" si="35"/>
        <v>1.7331326178264828E-3</v>
      </c>
      <c r="AX28" s="15"/>
      <c r="AY28" s="15"/>
      <c r="AZ28" s="15"/>
      <c r="BA28" s="15">
        <f>V28/J28</f>
        <v>1.0000142267446455</v>
      </c>
      <c r="BB28" s="15">
        <f t="shared" ref="BB28:BB31" si="36">X28/L28</f>
        <v>1.132562277580071</v>
      </c>
      <c r="BC28" s="15">
        <f t="shared" si="11"/>
        <v>3.0456324941369459</v>
      </c>
      <c r="BD28" s="1">
        <f t="shared" si="12"/>
        <v>1</v>
      </c>
    </row>
    <row r="29" spans="1:56" ht="15.75" thickBot="1" x14ac:dyDescent="0.25">
      <c r="A29" s="13"/>
      <c r="B29" s="13"/>
      <c r="C29" s="43">
        <v>27</v>
      </c>
      <c r="D29" s="55">
        <v>26154.799999999999</v>
      </c>
      <c r="E29" s="55">
        <v>43.455100000000002</v>
      </c>
      <c r="F29" s="55">
        <v>36.7104</v>
      </c>
      <c r="G29" s="55">
        <v>37.781500000000001</v>
      </c>
      <c r="H29" s="55">
        <v>0.993668</v>
      </c>
      <c r="I29" s="55">
        <v>0.98099899999999995</v>
      </c>
      <c r="J29" s="55">
        <v>0.97997040000000002</v>
      </c>
      <c r="K29" s="55">
        <v>1307.0920000000001</v>
      </c>
      <c r="L29" s="55">
        <v>0.999</v>
      </c>
      <c r="M29" s="15" t="e">
        <f>#REF!</f>
        <v>#REF!</v>
      </c>
      <c r="N29" s="16">
        <f t="shared" si="0"/>
        <v>0.36308111111111113</v>
      </c>
      <c r="P29" s="60">
        <v>26149.45</v>
      </c>
      <c r="Q29" s="60">
        <v>43.457999999999998</v>
      </c>
      <c r="R29" s="60">
        <v>36.7121</v>
      </c>
      <c r="S29" s="60">
        <v>37.780500000000004</v>
      </c>
      <c r="T29" s="60">
        <v>0.99367989999999995</v>
      </c>
      <c r="U29" s="60">
        <v>0.98107239999999996</v>
      </c>
      <c r="V29" s="60">
        <v>0.97996450000000002</v>
      </c>
      <c r="W29" s="60">
        <v>4331.4340000000002</v>
      </c>
      <c r="X29" s="60">
        <v>0.98</v>
      </c>
      <c r="Y29" s="15" t="e">
        <f>#REF!</f>
        <v>#REF!</v>
      </c>
      <c r="Z29" s="16">
        <f t="shared" si="5"/>
        <v>1.2031761111111112</v>
      </c>
      <c r="AA29" s="10">
        <f t="shared" si="6"/>
        <v>3.3137942853295712</v>
      </c>
      <c r="AB29" s="15">
        <f t="shared" si="26"/>
        <v>0.98098098098098097</v>
      </c>
      <c r="AC29" s="15" t="e">
        <f t="shared" si="26"/>
        <v>#REF!</v>
      </c>
      <c r="AD29" s="16">
        <f t="shared" si="7"/>
        <v>2.0455136342080785E-4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-5.8674311380724209E-4</v>
      </c>
      <c r="AM29" s="21">
        <f>bdrate($D29:$D32,F29:F32,$P29:$P32,R29:R32)</f>
        <v>-1.4139904639010048E-4</v>
      </c>
      <c r="AN29" s="36">
        <f t="shared" ref="AN29" si="37">bdrate($D29:$D32,G29:G32,$P29:$P32,S29:S32)</f>
        <v>1.442097869001735E-3</v>
      </c>
      <c r="AO29" s="26">
        <f>bdrate($D29:$D32,H29:H32,$P29:$P32,T29:T32)</f>
        <v>-3.1258142841195102E-4</v>
      </c>
      <c r="AP29" s="21">
        <f>bdrate($D29:$D32,I29:I32,$P29:$P32,U29:U32)</f>
        <v>-2.2762820676369699E-4</v>
      </c>
      <c r="AQ29" s="36">
        <f>bdrate($D29:$D32,J29:J32,$P29:$P32,V29:V32)</f>
        <v>5.6098577693353135E-3</v>
      </c>
      <c r="AR29" s="21"/>
      <c r="AS29" s="21"/>
      <c r="AT29" s="36"/>
      <c r="AU29" s="26"/>
      <c r="AV29" s="21"/>
      <c r="AW29" s="36"/>
      <c r="AX29" s="15">
        <f>V29/J29</f>
        <v>0.99999397940999035</v>
      </c>
      <c r="AY29" s="15">
        <f t="shared" ref="AY29:AY32" si="38">X29/L29</f>
        <v>0.98098098098098097</v>
      </c>
      <c r="AZ29" s="15">
        <f t="shared" si="10"/>
        <v>3.3137942853295712</v>
      </c>
      <c r="BA29" s="15">
        <f>V29/J29</f>
        <v>0.99999397940999035</v>
      </c>
      <c r="BB29" s="15">
        <f t="shared" si="36"/>
        <v>0.98098098098098097</v>
      </c>
      <c r="BC29" s="15">
        <f t="shared" si="11"/>
        <v>3.3137942853295712</v>
      </c>
      <c r="BD29" s="1">
        <f t="shared" si="12"/>
        <v>0</v>
      </c>
    </row>
    <row r="30" spans="1:56" ht="15.75" thickBot="1" x14ac:dyDescent="0.25">
      <c r="A30" s="13"/>
      <c r="B30" s="13"/>
      <c r="C30" s="43">
        <v>32</v>
      </c>
      <c r="D30" s="55">
        <v>13873.05</v>
      </c>
      <c r="E30" s="55">
        <v>39.771500000000003</v>
      </c>
      <c r="F30" s="55">
        <v>33.796300000000002</v>
      </c>
      <c r="G30" s="55">
        <v>35.299199999999999</v>
      </c>
      <c r="H30" s="55">
        <v>0.98488059999999999</v>
      </c>
      <c r="I30" s="55">
        <v>0.96511959999999997</v>
      </c>
      <c r="J30" s="55">
        <v>0.96295260000000005</v>
      </c>
      <c r="K30" s="55">
        <v>907.17700000000002</v>
      </c>
      <c r="L30" s="55">
        <v>0.872</v>
      </c>
      <c r="M30" s="15" t="e">
        <f>#REF!</f>
        <v>#REF!</v>
      </c>
      <c r="N30" s="16">
        <f t="shared" si="0"/>
        <v>0.25199361111111113</v>
      </c>
      <c r="P30" s="60">
        <v>13860.05</v>
      </c>
      <c r="Q30" s="60">
        <v>39.767499999999998</v>
      </c>
      <c r="R30" s="60">
        <v>33.7883</v>
      </c>
      <c r="S30" s="60">
        <v>35.299300000000002</v>
      </c>
      <c r="T30" s="60">
        <v>0.98486609999999997</v>
      </c>
      <c r="U30" s="60">
        <v>0.96515879999999998</v>
      </c>
      <c r="V30" s="60">
        <v>0.96284400000000003</v>
      </c>
      <c r="W30" s="60">
        <v>3603.502</v>
      </c>
      <c r="X30" s="60">
        <v>0.81100000000000005</v>
      </c>
      <c r="Y30" s="15" t="e">
        <f>#REF!</f>
        <v>#REF!</v>
      </c>
      <c r="Z30" s="16">
        <f t="shared" si="5"/>
        <v>1.0009727777777777</v>
      </c>
      <c r="AA30" s="10">
        <f t="shared" si="6"/>
        <v>3.9722149040374699</v>
      </c>
      <c r="AB30" s="15">
        <f t="shared" si="26"/>
        <v>0.93004587155963314</v>
      </c>
      <c r="AC30" s="15" t="e">
        <f t="shared" si="26"/>
        <v>#REF!</v>
      </c>
      <c r="AD30" s="16">
        <f t="shared" si="7"/>
        <v>9.3706863306915211E-4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>
        <f>V30/J30</f>
        <v>0.99988722186325685</v>
      </c>
      <c r="AY30" s="15">
        <f t="shared" si="38"/>
        <v>0.93004587155963314</v>
      </c>
      <c r="AZ30" s="15">
        <f t="shared" si="10"/>
        <v>3.9722149040374695</v>
      </c>
      <c r="BA30" s="15">
        <f>V30/J30</f>
        <v>0.99988722186325685</v>
      </c>
      <c r="BB30" s="15">
        <f t="shared" si="36"/>
        <v>0.93004587155963314</v>
      </c>
      <c r="BC30" s="15">
        <f t="shared" si="11"/>
        <v>3.9722149040374695</v>
      </c>
      <c r="BD30" s="1">
        <f t="shared" si="12"/>
        <v>0</v>
      </c>
    </row>
    <row r="31" spans="1:56" ht="15.75" thickBot="1" x14ac:dyDescent="0.25">
      <c r="A31" s="13"/>
      <c r="B31" s="13"/>
      <c r="C31" s="43">
        <v>37</v>
      </c>
      <c r="D31" s="55">
        <v>7454.15</v>
      </c>
      <c r="E31" s="55">
        <v>36.262999999999998</v>
      </c>
      <c r="F31" s="55">
        <v>31.7028</v>
      </c>
      <c r="G31" s="55">
        <v>33.405500000000004</v>
      </c>
      <c r="H31" s="55">
        <v>0.96621210000000002</v>
      </c>
      <c r="I31" s="55">
        <v>0.93891820000000004</v>
      </c>
      <c r="J31" s="55">
        <v>0.94061439999999996</v>
      </c>
      <c r="K31" s="55">
        <v>576.43200000000002</v>
      </c>
      <c r="L31" s="55">
        <v>0.755</v>
      </c>
      <c r="M31" s="15" t="e">
        <f>#REF!</f>
        <v>#REF!</v>
      </c>
      <c r="N31" s="16">
        <f t="shared" si="0"/>
        <v>0.16012000000000001</v>
      </c>
      <c r="P31" s="60">
        <v>7473.8</v>
      </c>
      <c r="Q31" s="60">
        <v>36.284399999999998</v>
      </c>
      <c r="R31" s="60">
        <v>31.708300000000001</v>
      </c>
      <c r="S31" s="60">
        <v>33.402700000000003</v>
      </c>
      <c r="T31" s="60">
        <v>0.96632110000000004</v>
      </c>
      <c r="U31" s="60">
        <v>0.93893910000000003</v>
      </c>
      <c r="V31" s="60">
        <v>0.94060189999999999</v>
      </c>
      <c r="W31" s="60">
        <v>2343.768</v>
      </c>
      <c r="X31" s="60">
        <v>0.86199999999999999</v>
      </c>
      <c r="Y31" s="15" t="e">
        <f>#REF!</f>
        <v>#REF!</v>
      </c>
      <c r="Z31" s="16">
        <f t="shared" si="5"/>
        <v>0.65104666666666666</v>
      </c>
      <c r="AA31" s="10">
        <f t="shared" si="6"/>
        <v>4.0659921725372641</v>
      </c>
      <c r="AB31" s="15">
        <f t="shared" si="26"/>
        <v>1.1417218543046357</v>
      </c>
      <c r="AC31" s="15" t="e">
        <f t="shared" si="26"/>
        <v>#REF!</v>
      </c>
      <c r="AD31" s="16">
        <f t="shared" si="7"/>
        <v>2.6361154524661493E-3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>
        <f>V31/J31</f>
        <v>0.99998671081369794</v>
      </c>
      <c r="AY31" s="15">
        <f t="shared" si="38"/>
        <v>1.1417218543046357</v>
      </c>
      <c r="AZ31" s="15">
        <f t="shared" si="10"/>
        <v>4.0659921725372632</v>
      </c>
      <c r="BA31" s="15">
        <f>V31/J31</f>
        <v>0.99998671081369794</v>
      </c>
      <c r="BB31" s="15">
        <f t="shared" si="36"/>
        <v>1.1417218543046357</v>
      </c>
      <c r="BC31" s="15">
        <f t="shared" si="11"/>
        <v>4.0659921725372632</v>
      </c>
      <c r="BD31" s="1">
        <f t="shared" si="12"/>
        <v>0</v>
      </c>
    </row>
    <row r="32" spans="1:56" ht="15.75" thickBot="1" x14ac:dyDescent="0.25">
      <c r="A32" s="13"/>
      <c r="B32" s="17"/>
      <c r="C32" s="44">
        <v>42</v>
      </c>
      <c r="D32" s="55">
        <v>3685.35</v>
      </c>
      <c r="E32" s="55">
        <v>33.1509</v>
      </c>
      <c r="F32" s="55">
        <v>30.258099999999999</v>
      </c>
      <c r="G32" s="55">
        <v>32.2667</v>
      </c>
      <c r="H32" s="55">
        <v>0.93639269999999997</v>
      </c>
      <c r="I32" s="55">
        <v>0.91253759999999995</v>
      </c>
      <c r="J32" s="55">
        <v>0.91952009999999995</v>
      </c>
      <c r="K32" s="55">
        <v>319.39400000000001</v>
      </c>
      <c r="L32" s="55">
        <v>0.56599999999999995</v>
      </c>
      <c r="M32" s="19" t="e">
        <f>#REF!</f>
        <v>#REF!</v>
      </c>
      <c r="N32" s="20">
        <f t="shared" si="0"/>
        <v>8.8720555555555553E-2</v>
      </c>
      <c r="P32" s="60">
        <v>3686.15</v>
      </c>
      <c r="Q32" s="60">
        <v>33.145499999999998</v>
      </c>
      <c r="R32" s="60">
        <v>30.273900000000001</v>
      </c>
      <c r="S32" s="60">
        <v>32.250399999999999</v>
      </c>
      <c r="T32" s="60">
        <v>0.93640060000000003</v>
      </c>
      <c r="U32" s="60">
        <v>0.91260280000000005</v>
      </c>
      <c r="V32" s="60">
        <v>0.91875649999999998</v>
      </c>
      <c r="W32" s="60">
        <v>1351.078</v>
      </c>
      <c r="X32" s="60">
        <v>0.81</v>
      </c>
      <c r="Y32" s="19" t="e">
        <f>#REF!</f>
        <v>#REF!</v>
      </c>
      <c r="Z32" s="20">
        <f t="shared" si="5"/>
        <v>0.37529944444444446</v>
      </c>
      <c r="AA32" s="10">
        <f t="shared" si="6"/>
        <v>4.2301295578501783</v>
      </c>
      <c r="AB32" s="15">
        <f t="shared" si="26"/>
        <v>1.4310954063604242</v>
      </c>
      <c r="AC32" s="15" t="e">
        <f t="shared" si="26"/>
        <v>#REF!</v>
      </c>
      <c r="AD32" s="20">
        <f t="shared" si="7"/>
        <v>2.1707571872418683E-4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>
        <f>V32/J32</f>
        <v>0.99916956682077973</v>
      </c>
      <c r="AY32" s="15">
        <f t="shared" si="38"/>
        <v>1.4310954063604242</v>
      </c>
      <c r="AZ32" s="15">
        <f t="shared" si="10"/>
        <v>4.2301295578501792</v>
      </c>
      <c r="BA32" s="15"/>
      <c r="BB32" s="15"/>
      <c r="BC32" s="15"/>
      <c r="BD32" s="1">
        <f t="shared" si="12"/>
        <v>0</v>
      </c>
    </row>
    <row r="33" spans="1:56" ht="15.75" thickBot="1" x14ac:dyDescent="0.25">
      <c r="A33" s="48" t="s">
        <v>1</v>
      </c>
      <c r="B33" s="8" t="s">
        <v>3</v>
      </c>
      <c r="C33" s="39">
        <v>22</v>
      </c>
      <c r="D33" s="55">
        <v>6245.8</v>
      </c>
      <c r="E33" s="55">
        <v>41.873100000000001</v>
      </c>
      <c r="F33" s="55">
        <v>45.771799999999999</v>
      </c>
      <c r="G33" s="55">
        <v>47.801900000000003</v>
      </c>
      <c r="H33" s="55">
        <v>0.99408819999999998</v>
      </c>
      <c r="I33" s="55">
        <v>0.99565170000000003</v>
      </c>
      <c r="J33" s="55">
        <v>0.997255</v>
      </c>
      <c r="K33" s="55">
        <v>1034.3779999999999</v>
      </c>
      <c r="L33" s="55">
        <v>0.312</v>
      </c>
      <c r="M33" s="10" t="e">
        <f>#REF!</f>
        <v>#REF!</v>
      </c>
      <c r="N33" s="11">
        <f t="shared" si="0"/>
        <v>0.28732722222222218</v>
      </c>
      <c r="P33" s="60">
        <v>6260.5</v>
      </c>
      <c r="Q33" s="60">
        <v>41.8752</v>
      </c>
      <c r="R33" s="60">
        <v>45.800400000000003</v>
      </c>
      <c r="S33" s="60">
        <v>47.799100000000003</v>
      </c>
      <c r="T33" s="60">
        <v>0.99409800000000004</v>
      </c>
      <c r="U33" s="60">
        <v>0.99569249999999998</v>
      </c>
      <c r="V33" s="60">
        <v>0.99726990000000004</v>
      </c>
      <c r="W33" s="60">
        <v>2244.3220000000001</v>
      </c>
      <c r="X33" s="60">
        <v>0.441</v>
      </c>
      <c r="Y33" s="10" t="e">
        <f>#REF!</f>
        <v>#REF!</v>
      </c>
      <c r="Z33" s="11">
        <f t="shared" si="5"/>
        <v>0.62342277777777777</v>
      </c>
      <c r="AA33" s="10">
        <f t="shared" si="6"/>
        <v>2.1697309880913944</v>
      </c>
      <c r="AB33" s="10">
        <f>X33/L33</f>
        <v>1.4134615384615385</v>
      </c>
      <c r="AC33" s="10" t="e">
        <f>Y33/M33</f>
        <v>#REF!</v>
      </c>
      <c r="AD33" s="11">
        <f t="shared" si="7"/>
        <v>2.3535816068397672E-3</v>
      </c>
      <c r="AE33" s="40"/>
      <c r="AF33" s="25">
        <f t="shared" ref="AF33:AK33" si="39">bdRateExtend($D33:$D37,E33:E37,$P33:$P37,Q33:Q37)</f>
        <v>1.0687719896771419E-3</v>
      </c>
      <c r="AG33" s="30">
        <f t="shared" si="39"/>
        <v>2.0838079558476164E-3</v>
      </c>
      <c r="AH33" s="31">
        <f t="shared" si="39"/>
        <v>1.5331278049651287E-2</v>
      </c>
      <c r="AI33" s="25">
        <f t="shared" si="39"/>
        <v>5.3117246062137635E-3</v>
      </c>
      <c r="AJ33" s="30">
        <f t="shared" si="39"/>
        <v>5.7814192236127493E-3</v>
      </c>
      <c r="AK33" s="30">
        <f t="shared" si="39"/>
        <v>1.9135673558336785E-2</v>
      </c>
      <c r="AL33" s="26"/>
      <c r="AM33" s="21"/>
      <c r="AN33" s="36"/>
      <c r="AO33" s="21"/>
      <c r="AP33" s="21"/>
      <c r="AQ33" s="36"/>
      <c r="AR33" s="30">
        <f t="shared" ref="AR33:AW33" si="40">bdrate($D33:$D36,E33:E36,$P33:$P36,Q33:Q36)</f>
        <v>-7.3919510175768366E-5</v>
      </c>
      <c r="AS33" s="30">
        <f t="shared" si="40"/>
        <v>-1.0223631123000843E-3</v>
      </c>
      <c r="AT33" s="31">
        <f t="shared" si="40"/>
        <v>1.484544228948792E-2</v>
      </c>
      <c r="AU33" s="25">
        <f t="shared" si="40"/>
        <v>3.18475452480671E-3</v>
      </c>
      <c r="AV33" s="30">
        <f t="shared" si="40"/>
        <v>6.1898956935091398E-4</v>
      </c>
      <c r="AW33" s="31">
        <f t="shared" si="40"/>
        <v>1.1958666791108241E-2</v>
      </c>
      <c r="AX33" s="10"/>
      <c r="AY33" s="10"/>
      <c r="AZ33" s="10"/>
      <c r="BA33" s="10">
        <f>V33/J33</f>
        <v>1.000014941013081</v>
      </c>
      <c r="BB33" s="10">
        <f t="shared" ref="BB33:BB36" si="41">X33/L33</f>
        <v>1.4134615384615385</v>
      </c>
      <c r="BC33" s="10">
        <f t="shared" si="11"/>
        <v>2.1697309880913944</v>
      </c>
      <c r="BD33" s="1">
        <f t="shared" si="12"/>
        <v>0</v>
      </c>
    </row>
    <row r="34" spans="1:56" ht="15.75" thickBot="1" x14ac:dyDescent="0.25">
      <c r="A34" s="13" t="s">
        <v>20</v>
      </c>
      <c r="C34" s="43">
        <v>27</v>
      </c>
      <c r="D34" s="55">
        <v>2406.0500000000002</v>
      </c>
      <c r="E34" s="55">
        <v>39.974400000000003</v>
      </c>
      <c r="F34" s="55">
        <v>44.491300000000003</v>
      </c>
      <c r="G34" s="55">
        <v>45.711199999999998</v>
      </c>
      <c r="H34" s="55">
        <v>0.99043020000000004</v>
      </c>
      <c r="I34" s="55">
        <v>0.99301569999999995</v>
      </c>
      <c r="J34" s="55">
        <v>0.99501629999999996</v>
      </c>
      <c r="K34" s="55">
        <v>426.53500000000003</v>
      </c>
      <c r="L34" s="55">
        <v>0.25600000000000001</v>
      </c>
      <c r="M34" s="15" t="e">
        <f>#REF!</f>
        <v>#REF!</v>
      </c>
      <c r="N34" s="16">
        <f t="shared" si="0"/>
        <v>0.11848194444444445</v>
      </c>
      <c r="P34" s="60">
        <v>2396.3000000000002</v>
      </c>
      <c r="Q34" s="60">
        <v>39.967799999999997</v>
      </c>
      <c r="R34" s="60">
        <v>44.4848</v>
      </c>
      <c r="S34" s="60">
        <v>45.652200000000001</v>
      </c>
      <c r="T34" s="60">
        <v>0.99039080000000002</v>
      </c>
      <c r="U34" s="60">
        <v>0.99301539999999999</v>
      </c>
      <c r="V34" s="60">
        <v>0.99494320000000003</v>
      </c>
      <c r="W34" s="60">
        <v>1420.125</v>
      </c>
      <c r="X34" s="60">
        <v>0.42599999999999999</v>
      </c>
      <c r="Y34" s="15" t="e">
        <f>#REF!</f>
        <v>#REF!</v>
      </c>
      <c r="Z34" s="16">
        <f t="shared" si="5"/>
        <v>0.39447916666666666</v>
      </c>
      <c r="AA34" s="10">
        <f t="shared" si="6"/>
        <v>3.329445414795972</v>
      </c>
      <c r="AB34" s="15">
        <f t="shared" ref="AB34:AC57" si="42">X34/L34</f>
        <v>1.6640625</v>
      </c>
      <c r="AC34" s="15" t="e">
        <f t="shared" si="42"/>
        <v>#REF!</v>
      </c>
      <c r="AD34" s="16">
        <f t="shared" si="7"/>
        <v>4.0522848652355514E-3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1.3267976148760852E-3</v>
      </c>
      <c r="AM34" s="21">
        <f>bdrate($D34:$D37,F34:F37,$P34:$P37,R34:R37)</f>
        <v>4.971146134315152E-3</v>
      </c>
      <c r="AN34" s="36">
        <f t="shared" ref="AN34" si="43">bdrate($D34:$D37,G34:G37,$P34:$P37,S34:S37)</f>
        <v>1.5923139797459074E-2</v>
      </c>
      <c r="AO34" s="26">
        <f>bdrate($D34:$D37,H34:H37,$P34:$P37,T34:T37)</f>
        <v>5.5840335588661638E-3</v>
      </c>
      <c r="AP34" s="21">
        <f>bdrate($D34:$D37,I34:I37,$P34:$P37,U34:U37)</f>
        <v>8.2432053597085719E-3</v>
      </c>
      <c r="AQ34" s="36">
        <f>bdrate($D34:$D37,J34:J37,$P34:$P37,V34:V37)</f>
        <v>2.020114232908421E-2</v>
      </c>
      <c r="AR34" s="21"/>
      <c r="AS34" s="21"/>
      <c r="AT34" s="36"/>
      <c r="AU34" s="26"/>
      <c r="AV34" s="21"/>
      <c r="AW34" s="36"/>
      <c r="AX34" s="15">
        <f>V34/J34</f>
        <v>0.99992653386683217</v>
      </c>
      <c r="AY34" s="15">
        <f t="shared" ref="AY34:AY37" si="44">X34/L34</f>
        <v>1.6640625</v>
      </c>
      <c r="AZ34" s="15">
        <f t="shared" si="10"/>
        <v>3.329445414795972</v>
      </c>
      <c r="BA34" s="15">
        <f>V34/J34</f>
        <v>0.99992653386683217</v>
      </c>
      <c r="BB34" s="15">
        <f t="shared" si="41"/>
        <v>1.6640625</v>
      </c>
      <c r="BC34" s="15">
        <f t="shared" si="11"/>
        <v>3.329445414795972</v>
      </c>
      <c r="BD34" s="1">
        <f t="shared" si="12"/>
        <v>0</v>
      </c>
    </row>
    <row r="35" spans="1:56" ht="15.75" thickBot="1" x14ac:dyDescent="0.25">
      <c r="A35" s="13"/>
      <c r="B35" s="13"/>
      <c r="C35" s="43">
        <v>32</v>
      </c>
      <c r="D35" s="55">
        <v>1217.95</v>
      </c>
      <c r="E35" s="55">
        <v>38.596299999999999</v>
      </c>
      <c r="F35" s="55">
        <v>43.113399999999999</v>
      </c>
      <c r="G35" s="55">
        <v>43.573</v>
      </c>
      <c r="H35" s="55">
        <v>0.9851143</v>
      </c>
      <c r="I35" s="55">
        <v>0.98915620000000004</v>
      </c>
      <c r="J35" s="55">
        <v>0.99137580000000003</v>
      </c>
      <c r="K35" s="55">
        <v>226.98</v>
      </c>
      <c r="L35" s="55">
        <v>0.223</v>
      </c>
      <c r="M35" s="15" t="e">
        <f>#REF!</f>
        <v>#REF!</v>
      </c>
      <c r="N35" s="16">
        <f t="shared" si="0"/>
        <v>6.3049999999999995E-2</v>
      </c>
      <c r="P35" s="60">
        <v>1221.4000000000001</v>
      </c>
      <c r="Q35" s="60">
        <v>38.607999999999997</v>
      </c>
      <c r="R35" s="60">
        <v>43.123800000000003</v>
      </c>
      <c r="S35" s="60">
        <v>43.532699999999998</v>
      </c>
      <c r="T35" s="60">
        <v>0.98513130000000004</v>
      </c>
      <c r="U35" s="60">
        <v>0.98917409999999995</v>
      </c>
      <c r="V35" s="60">
        <v>0.99133439999999995</v>
      </c>
      <c r="W35" s="60">
        <v>1029.29</v>
      </c>
      <c r="X35" s="60">
        <v>0.246</v>
      </c>
      <c r="Y35" s="15" t="e">
        <f>#REF!</f>
        <v>#REF!</v>
      </c>
      <c r="Z35" s="16">
        <f t="shared" si="5"/>
        <v>0.28591388888888886</v>
      </c>
      <c r="AA35" s="10">
        <f t="shared" si="6"/>
        <v>4.5347167151290861</v>
      </c>
      <c r="AB35" s="15">
        <f t="shared" si="42"/>
        <v>1.1031390134529149</v>
      </c>
      <c r="AC35" s="15" t="e">
        <f t="shared" si="42"/>
        <v>#REF!</v>
      </c>
      <c r="AD35" s="16">
        <f t="shared" si="7"/>
        <v>2.8326285972330926E-3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>
        <f>V35/J35</f>
        <v>0.99995823985213272</v>
      </c>
      <c r="AY35" s="15">
        <f t="shared" si="44"/>
        <v>1.1031390134529149</v>
      </c>
      <c r="AZ35" s="15">
        <f t="shared" si="10"/>
        <v>4.5347167151290861</v>
      </c>
      <c r="BA35" s="15">
        <f>V35/J35</f>
        <v>0.99995823985213272</v>
      </c>
      <c r="BB35" s="15">
        <f t="shared" si="41"/>
        <v>1.1031390134529149</v>
      </c>
      <c r="BC35" s="15">
        <f t="shared" si="11"/>
        <v>4.5347167151290861</v>
      </c>
      <c r="BD35" s="1">
        <f t="shared" si="12"/>
        <v>0</v>
      </c>
    </row>
    <row r="36" spans="1:56" ht="15.75" thickBot="1" x14ac:dyDescent="0.25">
      <c r="A36" s="13"/>
      <c r="B36" s="13"/>
      <c r="C36" s="43">
        <v>37</v>
      </c>
      <c r="D36" s="55">
        <v>690.95</v>
      </c>
      <c r="E36" s="55">
        <v>37.0154</v>
      </c>
      <c r="F36" s="55">
        <v>41.824100000000001</v>
      </c>
      <c r="G36" s="55">
        <v>41.897199999999998</v>
      </c>
      <c r="H36" s="55">
        <v>0.97539719999999996</v>
      </c>
      <c r="I36" s="55">
        <v>0.98449209999999998</v>
      </c>
      <c r="J36" s="55">
        <v>0.98750660000000001</v>
      </c>
      <c r="K36" s="55">
        <v>109.65300000000001</v>
      </c>
      <c r="L36" s="55">
        <v>0.19400000000000001</v>
      </c>
      <c r="M36" s="15" t="e">
        <f>#REF!</f>
        <v>#REF!</v>
      </c>
      <c r="N36" s="16">
        <f t="shared" si="0"/>
        <v>3.0459166666666669E-2</v>
      </c>
      <c r="P36" s="60">
        <v>694.2</v>
      </c>
      <c r="Q36" s="60">
        <v>37.011800000000001</v>
      </c>
      <c r="R36" s="60">
        <v>41.784399999999998</v>
      </c>
      <c r="S36" s="60">
        <v>41.874000000000002</v>
      </c>
      <c r="T36" s="60">
        <v>0.97524319999999998</v>
      </c>
      <c r="U36" s="60">
        <v>0.98433800000000005</v>
      </c>
      <c r="V36" s="60">
        <v>0.98739049999999995</v>
      </c>
      <c r="W36" s="60">
        <v>781.44</v>
      </c>
      <c r="X36" s="60">
        <v>0.19900000000000001</v>
      </c>
      <c r="Y36" s="15" t="e">
        <f>#REF!</f>
        <v>#REF!</v>
      </c>
      <c r="Z36" s="16">
        <f t="shared" si="5"/>
        <v>0.21706666666666669</v>
      </c>
      <c r="AA36" s="10">
        <f t="shared" si="6"/>
        <v>7.1264808076386421</v>
      </c>
      <c r="AB36" s="15">
        <f t="shared" si="42"/>
        <v>1.0257731958762888</v>
      </c>
      <c r="AC36" s="15" t="e">
        <f t="shared" si="42"/>
        <v>#REF!</v>
      </c>
      <c r="AD36" s="16">
        <f t="shared" si="7"/>
        <v>4.7036688617121351E-3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>
        <f>V36/J36</f>
        <v>0.99988243116552333</v>
      </c>
      <c r="AY36" s="15">
        <f t="shared" si="44"/>
        <v>1.0257731958762888</v>
      </c>
      <c r="AZ36" s="15">
        <f t="shared" si="10"/>
        <v>7.1264808076386421</v>
      </c>
      <c r="BA36" s="15">
        <f>V36/J36</f>
        <v>0.99988243116552333</v>
      </c>
      <c r="BB36" s="15">
        <f t="shared" si="41"/>
        <v>1.0257731958762888</v>
      </c>
      <c r="BC36" s="15">
        <f t="shared" si="11"/>
        <v>7.1264808076386421</v>
      </c>
      <c r="BD36" s="1">
        <f t="shared" si="12"/>
        <v>0</v>
      </c>
    </row>
    <row r="37" spans="1:56" ht="15.75" thickBot="1" x14ac:dyDescent="0.25">
      <c r="A37" s="13"/>
      <c r="B37" s="17"/>
      <c r="C37" s="44">
        <v>42</v>
      </c>
      <c r="D37" s="55">
        <v>392.7</v>
      </c>
      <c r="E37" s="55">
        <v>35.052100000000003</v>
      </c>
      <c r="F37" s="55">
        <v>40.542999999999999</v>
      </c>
      <c r="G37" s="55">
        <v>40.207999999999998</v>
      </c>
      <c r="H37" s="55">
        <v>0.95775180000000004</v>
      </c>
      <c r="I37" s="55">
        <v>0.97814809999999996</v>
      </c>
      <c r="J37" s="55">
        <v>0.98149529999999996</v>
      </c>
      <c r="K37" s="55">
        <v>54.526000000000003</v>
      </c>
      <c r="L37" s="55">
        <v>0.17499999999999999</v>
      </c>
      <c r="M37" s="19" t="e">
        <f>#REF!</f>
        <v>#REF!</v>
      </c>
      <c r="N37" s="20">
        <f t="shared" si="0"/>
        <v>1.5146111111111112E-2</v>
      </c>
      <c r="P37" s="60">
        <v>388.15</v>
      </c>
      <c r="Q37" s="60">
        <v>35.0197</v>
      </c>
      <c r="R37" s="60">
        <v>40.558700000000002</v>
      </c>
      <c r="S37" s="60">
        <v>40.089700000000001</v>
      </c>
      <c r="T37" s="60">
        <v>0.95745809999999998</v>
      </c>
      <c r="U37" s="60">
        <v>0.97806610000000005</v>
      </c>
      <c r="V37" s="60">
        <v>0.98058520000000005</v>
      </c>
      <c r="W37" s="60">
        <v>1102.5450000000001</v>
      </c>
      <c r="X37" s="60">
        <v>0.17199999999999999</v>
      </c>
      <c r="Y37" s="19" t="e">
        <f>#REF!</f>
        <v>#REF!</v>
      </c>
      <c r="Z37" s="20">
        <f t="shared" si="5"/>
        <v>0.30626249999999999</v>
      </c>
      <c r="AA37" s="10">
        <f t="shared" si="6"/>
        <v>20.220536991526977</v>
      </c>
      <c r="AB37" s="15">
        <f t="shared" si="42"/>
        <v>0.98285714285714287</v>
      </c>
      <c r="AC37" s="15" t="e">
        <f t="shared" si="42"/>
        <v>#REF!</v>
      </c>
      <c r="AD37" s="20">
        <f t="shared" si="7"/>
        <v>1.1586452762923381E-2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>
        <f>V37/J37</f>
        <v>0.99907274135698876</v>
      </c>
      <c r="AY37" s="15">
        <f t="shared" si="44"/>
        <v>0.98285714285714287</v>
      </c>
      <c r="AZ37" s="15">
        <f t="shared" si="10"/>
        <v>20.220536991526977</v>
      </c>
      <c r="BA37" s="15"/>
      <c r="BB37" s="15"/>
      <c r="BC37" s="15"/>
      <c r="BD37" s="1">
        <f t="shared" si="12"/>
        <v>0</v>
      </c>
    </row>
    <row r="38" spans="1:56" ht="15.75" thickBot="1" x14ac:dyDescent="0.25">
      <c r="A38" s="13"/>
      <c r="B38" s="8" t="s">
        <v>4</v>
      </c>
      <c r="C38" s="39">
        <v>22</v>
      </c>
      <c r="D38" s="55">
        <v>21640.32</v>
      </c>
      <c r="E38" s="55">
        <v>43.419800000000002</v>
      </c>
      <c r="F38" s="55">
        <v>43.3459</v>
      </c>
      <c r="G38" s="55">
        <v>45.120100000000001</v>
      </c>
      <c r="H38" s="55">
        <v>0.99740549999999994</v>
      </c>
      <c r="I38" s="55">
        <v>0.99340539999999999</v>
      </c>
      <c r="J38" s="55">
        <v>0.9947587</v>
      </c>
      <c r="K38" s="55">
        <v>701.721</v>
      </c>
      <c r="L38" s="55">
        <v>0.46800000000000003</v>
      </c>
      <c r="M38" s="10" t="e">
        <f>#REF!</f>
        <v>#REF!</v>
      </c>
      <c r="N38" s="11">
        <f t="shared" si="0"/>
        <v>0.1949225</v>
      </c>
      <c r="P38" s="60">
        <v>21644.7</v>
      </c>
      <c r="Q38" s="60">
        <v>43.429200000000002</v>
      </c>
      <c r="R38" s="60">
        <v>43.335999999999999</v>
      </c>
      <c r="S38" s="60">
        <v>45.139200000000002</v>
      </c>
      <c r="T38" s="60">
        <v>0.9974113</v>
      </c>
      <c r="U38" s="60">
        <v>0.99339900000000003</v>
      </c>
      <c r="V38" s="60">
        <v>0.99475840000000004</v>
      </c>
      <c r="W38" s="60">
        <v>1301.0070000000001</v>
      </c>
      <c r="X38" s="60">
        <v>0.45300000000000001</v>
      </c>
      <c r="Y38" s="10" t="e">
        <f>#REF!</f>
        <v>#REF!</v>
      </c>
      <c r="Z38" s="11">
        <f t="shared" si="5"/>
        <v>0.36139083333333333</v>
      </c>
      <c r="AA38" s="10">
        <f t="shared" si="6"/>
        <v>1.8540231801527958</v>
      </c>
      <c r="AB38" s="15">
        <f t="shared" si="42"/>
        <v>0.96794871794871795</v>
      </c>
      <c r="AC38" s="15" t="e">
        <f t="shared" si="42"/>
        <v>#REF!</v>
      </c>
      <c r="AD38" s="11">
        <f t="shared" si="7"/>
        <v>2.0239996451073823E-4</v>
      </c>
      <c r="AE38" s="12"/>
      <c r="AF38" s="25">
        <f t="shared" ref="AF38:AK38" si="45">bdRateExtend($D38:$D42,E38:E42,$P38:$P42,Q38:Q42)</f>
        <v>6.5296893893451724E-5</v>
      </c>
      <c r="AG38" s="30">
        <f>bdRateExtend($D38:$D42,F38:F42,$P38:$P42,R38:R42)</f>
        <v>-6.8188187983749815E-3</v>
      </c>
      <c r="AH38" s="31">
        <f t="shared" si="45"/>
        <v>5.5691364371253105E-3</v>
      </c>
      <c r="AI38" s="25">
        <f t="shared" si="45"/>
        <v>1.9873399193870434E-4</v>
      </c>
      <c r="AJ38" s="30">
        <f t="shared" si="45"/>
        <v>-8.6208709637140002E-3</v>
      </c>
      <c r="AK38" s="30">
        <f t="shared" si="45"/>
        <v>1.9799239102991306E-2</v>
      </c>
      <c r="AL38" s="45"/>
      <c r="AM38" s="46"/>
      <c r="AN38" s="47"/>
      <c r="AO38" s="46"/>
      <c r="AP38" s="46"/>
      <c r="AQ38" s="47"/>
      <c r="AR38" s="30">
        <f t="shared" ref="AR38:AW38" si="46">bdrate($D38:$D41,E38:E41,$P38:$P41,Q38:Q41)</f>
        <v>3.4080783872436626E-4</v>
      </c>
      <c r="AS38" s="30">
        <f t="shared" si="46"/>
        <v>-3.0035889837076724E-4</v>
      </c>
      <c r="AT38" s="31">
        <f t="shared" si="46"/>
        <v>3.7679540404655931E-3</v>
      </c>
      <c r="AU38" s="25">
        <f t="shared" si="46"/>
        <v>-1.1622896815470796E-3</v>
      </c>
      <c r="AV38" s="30">
        <f t="shared" si="46"/>
        <v>3.7795739710055898E-4</v>
      </c>
      <c r="AW38" s="31">
        <f t="shared" si="46"/>
        <v>9.8481994043024823E-3</v>
      </c>
      <c r="AX38" s="15"/>
      <c r="AY38" s="15"/>
      <c r="AZ38" s="15"/>
      <c r="BA38" s="15">
        <f>V38/J38</f>
        <v>0.99999969841932523</v>
      </c>
      <c r="BB38" s="15">
        <f t="shared" ref="BB38:BB41" si="47">X38/L38</f>
        <v>0.96794871794871795</v>
      </c>
      <c r="BC38" s="15">
        <f t="shared" si="11"/>
        <v>1.8540231801527958</v>
      </c>
      <c r="BD38" s="1">
        <f t="shared" si="12"/>
        <v>0</v>
      </c>
    </row>
    <row r="39" spans="1:56" ht="15.75" thickBot="1" x14ac:dyDescent="0.25">
      <c r="A39" s="13"/>
      <c r="C39" s="43">
        <v>27</v>
      </c>
      <c r="D39" s="55">
        <v>11146.44</v>
      </c>
      <c r="E39" s="55">
        <v>38.411799999999999</v>
      </c>
      <c r="F39" s="55">
        <v>41.185400000000001</v>
      </c>
      <c r="G39" s="55">
        <v>43.370100000000001</v>
      </c>
      <c r="H39" s="55">
        <v>0.99279689999999998</v>
      </c>
      <c r="I39" s="55">
        <v>0.98693070000000005</v>
      </c>
      <c r="J39" s="55">
        <v>0.9905986</v>
      </c>
      <c r="K39" s="55">
        <v>623.38099999999997</v>
      </c>
      <c r="L39" s="55">
        <v>0.38</v>
      </c>
      <c r="M39" s="15" t="e">
        <f>#REF!</f>
        <v>#REF!</v>
      </c>
      <c r="N39" s="16">
        <f t="shared" si="0"/>
        <v>0.17316138888888888</v>
      </c>
      <c r="P39" s="60">
        <v>11144.46</v>
      </c>
      <c r="Q39" s="60">
        <v>38.406999999999996</v>
      </c>
      <c r="R39" s="60">
        <v>41.184899999999999</v>
      </c>
      <c r="S39" s="60">
        <v>43.356400000000001</v>
      </c>
      <c r="T39" s="60">
        <v>0.99281359999999996</v>
      </c>
      <c r="U39" s="60">
        <v>0.98681220000000003</v>
      </c>
      <c r="V39" s="60">
        <v>0.99050369999999999</v>
      </c>
      <c r="W39" s="60">
        <v>1572.136</v>
      </c>
      <c r="X39" s="60">
        <v>0.40600000000000003</v>
      </c>
      <c r="Y39" s="15" t="e">
        <f>#REF!</f>
        <v>#REF!</v>
      </c>
      <c r="Z39" s="16">
        <f t="shared" si="5"/>
        <v>0.43670444444444445</v>
      </c>
      <c r="AA39" s="10">
        <f t="shared" si="6"/>
        <v>2.5219504604728087</v>
      </c>
      <c r="AB39" s="15">
        <f t="shared" si="42"/>
        <v>1.0684210526315789</v>
      </c>
      <c r="AC39" s="15" t="e">
        <f t="shared" si="42"/>
        <v>#REF!</v>
      </c>
      <c r="AD39" s="16">
        <f t="shared" si="7"/>
        <v>1.7763519114635546E-4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5.246356369625893E-5</v>
      </c>
      <c r="AM39" s="21">
        <f>bdrate($D39:$D42,F39:F42,$P39:$P42,R39:R42)</f>
        <v>-9.6867220066788606E-3</v>
      </c>
      <c r="AN39" s="36">
        <f t="shared" ref="AN39" si="48">bdrate($D39:$D42,G39:G42,$P39:$P42,S39:S42)</f>
        <v>7.8019569944263178E-3</v>
      </c>
      <c r="AO39" s="26">
        <f>bdrate($D39:$D42,H39:H42,$P39:$P42,T39:T42)</f>
        <v>4.3299927559070639E-4</v>
      </c>
      <c r="AP39" s="21">
        <f>bdrate($D39:$D42,I39:I42,$P39:$P42,U39:U42)</f>
        <v>-1.140148767230853E-2</v>
      </c>
      <c r="AQ39" s="36">
        <f>bdrate($D39:$D42,J39:J42,$P39:$P42,V39:V42)</f>
        <v>2.1865680298782886E-2</v>
      </c>
      <c r="AR39" s="21"/>
      <c r="AS39" s="21"/>
      <c r="AT39" s="36"/>
      <c r="AU39" s="26"/>
      <c r="AV39" s="21"/>
      <c r="AW39" s="36"/>
      <c r="AX39" s="15">
        <f>V39/J39</f>
        <v>0.99990419933967201</v>
      </c>
      <c r="AY39" s="15">
        <f t="shared" ref="AY39:AY42" si="49">X39/L39</f>
        <v>1.0684210526315789</v>
      </c>
      <c r="AZ39" s="15">
        <f t="shared" si="10"/>
        <v>2.5219504604728091</v>
      </c>
      <c r="BA39" s="15">
        <f>V39/J39</f>
        <v>0.99990419933967201</v>
      </c>
      <c r="BB39" s="15">
        <f t="shared" si="47"/>
        <v>1.0684210526315789</v>
      </c>
      <c r="BC39" s="15">
        <f t="shared" si="11"/>
        <v>2.5219504604728091</v>
      </c>
      <c r="BD39" s="1">
        <f t="shared" si="12"/>
        <v>0</v>
      </c>
    </row>
    <row r="40" spans="1:56" ht="15.75" thickBot="1" x14ac:dyDescent="0.25">
      <c r="A40" s="13"/>
      <c r="B40" s="13"/>
      <c r="C40" s="43">
        <v>32</v>
      </c>
      <c r="D40" s="55">
        <v>5961.9</v>
      </c>
      <c r="E40" s="55">
        <v>35.216500000000003</v>
      </c>
      <c r="F40" s="55">
        <v>39.502299999999998</v>
      </c>
      <c r="G40" s="55">
        <v>41.894399999999997</v>
      </c>
      <c r="H40" s="55">
        <v>0.98681350000000001</v>
      </c>
      <c r="I40" s="55">
        <v>0.97695270000000001</v>
      </c>
      <c r="J40" s="55">
        <v>0.98452399999999995</v>
      </c>
      <c r="K40" s="55">
        <v>412.25599999999997</v>
      </c>
      <c r="L40" s="55">
        <v>0.36299999999999999</v>
      </c>
      <c r="M40" s="15" t="e">
        <f>#REF!</f>
        <v>#REF!</v>
      </c>
      <c r="N40" s="16">
        <f t="shared" si="0"/>
        <v>0.11451555555555555</v>
      </c>
      <c r="P40" s="60">
        <v>5964.66</v>
      </c>
      <c r="Q40" s="60">
        <v>35.216299999999997</v>
      </c>
      <c r="R40" s="60">
        <v>39.487099999999998</v>
      </c>
      <c r="S40" s="60">
        <v>41.882300000000001</v>
      </c>
      <c r="T40" s="60">
        <v>0.9868363</v>
      </c>
      <c r="U40" s="60">
        <v>0.97687840000000004</v>
      </c>
      <c r="V40" s="60">
        <v>0.98446940000000005</v>
      </c>
      <c r="W40" s="60">
        <v>1402.229</v>
      </c>
      <c r="X40" s="60">
        <v>0.34699999999999998</v>
      </c>
      <c r="Y40" s="15" t="e">
        <f>#REF!</f>
        <v>#REF!</v>
      </c>
      <c r="Z40" s="16">
        <f t="shared" si="5"/>
        <v>0.38950805555555557</v>
      </c>
      <c r="AA40" s="10">
        <f t="shared" si="6"/>
        <v>3.4013549833113408</v>
      </c>
      <c r="AB40" s="15">
        <f t="shared" si="42"/>
        <v>0.9559228650137741</v>
      </c>
      <c r="AC40" s="15" t="e">
        <f t="shared" si="42"/>
        <v>#REF!</v>
      </c>
      <c r="AD40" s="16">
        <f t="shared" si="7"/>
        <v>4.6293966688475461E-4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>
        <f>V40/J40</f>
        <v>0.99994454172777925</v>
      </c>
      <c r="AY40" s="15">
        <f t="shared" si="49"/>
        <v>0.9559228650137741</v>
      </c>
      <c r="AZ40" s="15">
        <f t="shared" si="10"/>
        <v>3.4013549833113408</v>
      </c>
      <c r="BA40" s="15">
        <f>V40/J40</f>
        <v>0.99994454172777925</v>
      </c>
      <c r="BB40" s="15">
        <f t="shared" si="47"/>
        <v>0.9559228650137741</v>
      </c>
      <c r="BC40" s="15">
        <f t="shared" si="11"/>
        <v>3.4013549833113408</v>
      </c>
      <c r="BD40" s="1">
        <f t="shared" si="12"/>
        <v>0</v>
      </c>
    </row>
    <row r="41" spans="1:56" ht="15.75" thickBot="1" x14ac:dyDescent="0.25">
      <c r="A41" s="13"/>
      <c r="B41" s="13"/>
      <c r="C41" s="43">
        <v>37</v>
      </c>
      <c r="D41" s="55">
        <v>3237.78</v>
      </c>
      <c r="E41" s="55">
        <v>32.332999999999998</v>
      </c>
      <c r="F41" s="55">
        <v>37.931199999999997</v>
      </c>
      <c r="G41" s="55">
        <v>40.298900000000003</v>
      </c>
      <c r="H41" s="55">
        <v>0.97572769999999998</v>
      </c>
      <c r="I41" s="55">
        <v>0.96423420000000004</v>
      </c>
      <c r="J41" s="55">
        <v>0.97644120000000001</v>
      </c>
      <c r="K41" s="55">
        <v>288.79500000000002</v>
      </c>
      <c r="L41" s="55">
        <v>0.28799999999999998</v>
      </c>
      <c r="M41" s="15" t="e">
        <f>#REF!</f>
        <v>#REF!</v>
      </c>
      <c r="N41" s="16">
        <f t="shared" si="0"/>
        <v>8.0220833333333338E-2</v>
      </c>
      <c r="P41" s="60">
        <v>3250.08</v>
      </c>
      <c r="Q41" s="60">
        <v>32.347799999999999</v>
      </c>
      <c r="R41" s="60">
        <v>38.008099999999999</v>
      </c>
      <c r="S41" s="60">
        <v>40.293700000000001</v>
      </c>
      <c r="T41" s="60">
        <v>0.97583229999999999</v>
      </c>
      <c r="U41" s="60">
        <v>0.96501409999999999</v>
      </c>
      <c r="V41" s="60">
        <v>0.97611599999999998</v>
      </c>
      <c r="W41" s="60">
        <v>1077.92</v>
      </c>
      <c r="X41" s="60">
        <v>0.27500000000000002</v>
      </c>
      <c r="Y41" s="15" t="e">
        <f>#REF!</f>
        <v>#REF!</v>
      </c>
      <c r="Z41" s="16">
        <f t="shared" si="5"/>
        <v>0.29942222222222226</v>
      </c>
      <c r="AA41" s="10">
        <f t="shared" si="6"/>
        <v>3.7324745927041674</v>
      </c>
      <c r="AB41" s="15">
        <f t="shared" si="42"/>
        <v>0.95486111111111127</v>
      </c>
      <c r="AC41" s="15" t="e">
        <f t="shared" si="42"/>
        <v>#REF!</v>
      </c>
      <c r="AD41" s="16">
        <f t="shared" si="7"/>
        <v>3.7988992457794312E-3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>
        <f>V41/J41</f>
        <v>0.99966695383193582</v>
      </c>
      <c r="AY41" s="15">
        <f t="shared" si="49"/>
        <v>0.95486111111111127</v>
      </c>
      <c r="AZ41" s="15">
        <f t="shared" si="10"/>
        <v>3.7324745927041674</v>
      </c>
      <c r="BA41" s="15">
        <f>V41/J41</f>
        <v>0.99966695383193582</v>
      </c>
      <c r="BB41" s="15">
        <f t="shared" si="47"/>
        <v>0.95486111111111127</v>
      </c>
      <c r="BC41" s="15">
        <f t="shared" si="11"/>
        <v>3.7324745927041674</v>
      </c>
      <c r="BD41" s="1">
        <f t="shared" si="12"/>
        <v>0</v>
      </c>
    </row>
    <row r="42" spans="1:56" ht="15.75" thickBot="1" x14ac:dyDescent="0.25">
      <c r="A42" s="13"/>
      <c r="B42" s="17"/>
      <c r="C42" s="44">
        <v>42</v>
      </c>
      <c r="D42" s="55">
        <v>1667.04</v>
      </c>
      <c r="E42" s="55">
        <v>29.448399999999999</v>
      </c>
      <c r="F42" s="55">
        <v>37.022199999999998</v>
      </c>
      <c r="G42" s="55">
        <v>39.545200000000001</v>
      </c>
      <c r="H42" s="55">
        <v>0.95368600000000003</v>
      </c>
      <c r="I42" s="55">
        <v>0.95199449999999997</v>
      </c>
      <c r="J42" s="55">
        <v>0.97042390000000001</v>
      </c>
      <c r="K42" s="55">
        <v>185.56899999999999</v>
      </c>
      <c r="L42" s="55">
        <v>0.22700000000000001</v>
      </c>
      <c r="M42" s="19" t="e">
        <f>#REF!</f>
        <v>#REF!</v>
      </c>
      <c r="N42" s="20">
        <f t="shared" si="0"/>
        <v>5.1546944444444444E-2</v>
      </c>
      <c r="P42" s="60">
        <v>1669.8</v>
      </c>
      <c r="Q42" s="60">
        <v>29.470099999999999</v>
      </c>
      <c r="R42" s="60">
        <v>37.045099999999998</v>
      </c>
      <c r="S42" s="60">
        <v>39.511600000000001</v>
      </c>
      <c r="T42" s="60">
        <v>0.95347820000000005</v>
      </c>
      <c r="U42" s="60">
        <v>0.95190680000000005</v>
      </c>
      <c r="V42" s="60">
        <v>0.9699778</v>
      </c>
      <c r="W42" s="60">
        <v>745.95600000000002</v>
      </c>
      <c r="X42" s="60">
        <v>0.3</v>
      </c>
      <c r="Y42" s="19" t="e">
        <f>#REF!</f>
        <v>#REF!</v>
      </c>
      <c r="Z42" s="20">
        <f t="shared" si="5"/>
        <v>0.20721000000000001</v>
      </c>
      <c r="AA42" s="10">
        <f t="shared" si="6"/>
        <v>4.0198308984798112</v>
      </c>
      <c r="AB42" s="15">
        <f t="shared" si="42"/>
        <v>1.3215859030837003</v>
      </c>
      <c r="AC42" s="15" t="e">
        <f t="shared" si="42"/>
        <v>#REF!</v>
      </c>
      <c r="AD42" s="20">
        <f t="shared" si="7"/>
        <v>1.6556291390728423E-3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>
        <f>V42/J42</f>
        <v>0.9995403039846813</v>
      </c>
      <c r="AY42" s="15">
        <f t="shared" si="49"/>
        <v>1.3215859030837003</v>
      </c>
      <c r="AZ42" s="15">
        <f t="shared" si="10"/>
        <v>4.0198308984798112</v>
      </c>
      <c r="BA42" s="15"/>
      <c r="BB42" s="15"/>
      <c r="BC42" s="15"/>
      <c r="BD42" s="1">
        <f t="shared" si="12"/>
        <v>0</v>
      </c>
    </row>
    <row r="43" spans="1:56" ht="15.75" thickBot="1" x14ac:dyDescent="0.25">
      <c r="A43" s="13"/>
      <c r="B43" s="8" t="s">
        <v>2</v>
      </c>
      <c r="C43" s="39">
        <v>22</v>
      </c>
      <c r="D43" s="55">
        <v>12716.7</v>
      </c>
      <c r="E43" s="55">
        <v>41.201599999999999</v>
      </c>
      <c r="F43" s="55">
        <v>41.544199999999996</v>
      </c>
      <c r="G43" s="55">
        <v>44.517800000000001</v>
      </c>
      <c r="H43" s="55">
        <v>0.99469059999999998</v>
      </c>
      <c r="I43" s="55">
        <v>0.99106269999999996</v>
      </c>
      <c r="J43" s="55">
        <v>0.99503889999999995</v>
      </c>
      <c r="K43" s="55">
        <v>750.48199999999997</v>
      </c>
      <c r="L43" s="55">
        <v>0.41899999999999998</v>
      </c>
      <c r="M43" s="10" t="e">
        <f>#REF!</f>
        <v>#REF!</v>
      </c>
      <c r="N43" s="11">
        <f t="shared" si="0"/>
        <v>0.20846722222222222</v>
      </c>
      <c r="P43" s="60">
        <v>12707.15</v>
      </c>
      <c r="Q43" s="60">
        <v>41.198799999999999</v>
      </c>
      <c r="R43" s="60">
        <v>41.542299999999997</v>
      </c>
      <c r="S43" s="60">
        <v>44.522300000000001</v>
      </c>
      <c r="T43" s="60">
        <v>0.99468060000000003</v>
      </c>
      <c r="U43" s="60">
        <v>0.99104840000000005</v>
      </c>
      <c r="V43" s="60">
        <v>0.99505100000000002</v>
      </c>
      <c r="W43" s="60">
        <v>1949.0640000000001</v>
      </c>
      <c r="X43" s="60">
        <v>0.437</v>
      </c>
      <c r="Y43" s="10" t="e">
        <f>#REF!</f>
        <v>#REF!</v>
      </c>
      <c r="Z43" s="11">
        <f t="shared" si="5"/>
        <v>0.5414066666666667</v>
      </c>
      <c r="AA43" s="10">
        <f t="shared" si="6"/>
        <v>2.5970829413630176</v>
      </c>
      <c r="AB43" s="15">
        <f t="shared" si="42"/>
        <v>1.0429594272076372</v>
      </c>
      <c r="AC43" s="15" t="e">
        <f t="shared" si="42"/>
        <v>#REF!</v>
      </c>
      <c r="AD43" s="11">
        <f t="shared" si="7"/>
        <v>7.5098099349682631E-4</v>
      </c>
      <c r="AE43" s="12"/>
      <c r="AF43" s="25">
        <f t="shared" ref="AF43:AK43" si="50">bdRateExtend($D43:$D47,E43:E47,$P43:$P47,Q43:Q47)</f>
        <v>-6.5163805729850921E-4</v>
      </c>
      <c r="AG43" s="30">
        <f t="shared" si="50"/>
        <v>1.0469954311696172E-2</v>
      </c>
      <c r="AH43" s="31">
        <f t="shared" si="50"/>
        <v>-6.2293708590174246E-3</v>
      </c>
      <c r="AI43" s="25">
        <f t="shared" si="50"/>
        <v>-3.0353814972505777E-4</v>
      </c>
      <c r="AJ43" s="30">
        <f t="shared" si="50"/>
        <v>1.0906832822755952E-2</v>
      </c>
      <c r="AK43" s="30">
        <f t="shared" si="50"/>
        <v>-1.2608898840270943E-2</v>
      </c>
      <c r="AL43" s="26"/>
      <c r="AM43" s="21"/>
      <c r="AN43" s="36"/>
      <c r="AO43" s="21"/>
      <c r="AP43" s="21"/>
      <c r="AQ43" s="36"/>
      <c r="AR43" s="30">
        <f t="shared" ref="AR43:AW43" si="51">bdrate($D43:$D46,E43:E46,$P43:$P46,Q43:Q46)</f>
        <v>-1.2400383519152181E-3</v>
      </c>
      <c r="AS43" s="30">
        <f t="shared" si="51"/>
        <v>5.3890960062423776E-3</v>
      </c>
      <c r="AT43" s="31">
        <f t="shared" si="51"/>
        <v>-4.3119940342851715E-3</v>
      </c>
      <c r="AU43" s="25">
        <f t="shared" si="51"/>
        <v>-4.4990907043951367E-4</v>
      </c>
      <c r="AV43" s="30">
        <f t="shared" si="51"/>
        <v>9.141180391556869E-3</v>
      </c>
      <c r="AW43" s="31">
        <f t="shared" si="51"/>
        <v>-3.6876700187217226E-3</v>
      </c>
      <c r="AX43" s="15"/>
      <c r="AY43" s="15"/>
      <c r="AZ43" s="15"/>
      <c r="BA43" s="15">
        <f>V43/J43</f>
        <v>1.0000121603286063</v>
      </c>
      <c r="BB43" s="15">
        <f t="shared" ref="BB43:BB46" si="52">X43/L43</f>
        <v>1.0429594272076372</v>
      </c>
      <c r="BC43" s="15">
        <f t="shared" si="11"/>
        <v>2.5970829413630176</v>
      </c>
      <c r="BD43" s="1">
        <f t="shared" si="12"/>
        <v>1</v>
      </c>
    </row>
    <row r="44" spans="1:56" ht="15.75" thickBot="1" x14ac:dyDescent="0.25">
      <c r="A44" s="13"/>
      <c r="B44" s="13"/>
      <c r="C44" s="43">
        <v>27</v>
      </c>
      <c r="D44" s="55">
        <v>5492.15</v>
      </c>
      <c r="E44" s="55">
        <v>38.240900000000003</v>
      </c>
      <c r="F44" s="55">
        <v>39.528700000000001</v>
      </c>
      <c r="G44" s="55">
        <v>42.489100000000001</v>
      </c>
      <c r="H44" s="55">
        <v>0.9891993</v>
      </c>
      <c r="I44" s="55">
        <v>0.98274989999999995</v>
      </c>
      <c r="J44" s="55">
        <v>0.99094680000000002</v>
      </c>
      <c r="K44" s="55">
        <v>439.34300000000002</v>
      </c>
      <c r="L44" s="55">
        <v>0.34200000000000003</v>
      </c>
      <c r="M44" s="15" t="e">
        <f>#REF!</f>
        <v>#REF!</v>
      </c>
      <c r="N44" s="16">
        <f t="shared" si="0"/>
        <v>0.12203972222222223</v>
      </c>
      <c r="P44" s="60">
        <v>5489.5</v>
      </c>
      <c r="Q44" s="60">
        <v>38.239600000000003</v>
      </c>
      <c r="R44" s="60">
        <v>39.531500000000001</v>
      </c>
      <c r="S44" s="60">
        <v>42.488999999999997</v>
      </c>
      <c r="T44" s="60">
        <v>0.98918640000000002</v>
      </c>
      <c r="U44" s="60">
        <v>0.98264629999999997</v>
      </c>
      <c r="V44" s="60">
        <v>0.99095489999999997</v>
      </c>
      <c r="W44" s="60">
        <v>1428.0619999999999</v>
      </c>
      <c r="X44" s="60">
        <v>0.32200000000000001</v>
      </c>
      <c r="Y44" s="15" t="e">
        <f>#REF!</f>
        <v>#REF!</v>
      </c>
      <c r="Z44" s="16">
        <f t="shared" si="5"/>
        <v>0.39668388888888884</v>
      </c>
      <c r="AA44" s="10">
        <f t="shared" si="6"/>
        <v>3.2504489658421778</v>
      </c>
      <c r="AB44" s="15">
        <f t="shared" si="42"/>
        <v>0.94152046783625731</v>
      </c>
      <c r="AC44" s="15" t="e">
        <f t="shared" si="42"/>
        <v>#REF!</v>
      </c>
      <c r="AD44" s="16">
        <f t="shared" si="7"/>
        <v>4.8250685068682329E-4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-1.2534009957173575E-3</v>
      </c>
      <c r="AM44" s="21">
        <f>bdrate($D44:$D47,F44:F47,$P44:$P47,R44:R47)</f>
        <v>1.9182755993175871E-2</v>
      </c>
      <c r="AN44" s="36">
        <f t="shared" ref="AN44" si="53">bdrate($D44:$D47,G44:G47,$P44:$P47,S44:S47)</f>
        <v>-8.5841987650870921E-3</v>
      </c>
      <c r="AO44" s="26">
        <f>bdrate($D44:$D47,H44:H47,$P44:$P47,T44:T47)</f>
        <v>-4.9354215471042462E-4</v>
      </c>
      <c r="AP44" s="21">
        <f>bdrate($D44:$D47,I44:I47,$P44:$P47,U44:U47)</f>
        <v>1.2102686944932328E-2</v>
      </c>
      <c r="AQ44" s="36">
        <f>bdrate($D44:$D47,J44:J47,$P44:$P47,V44:V47)</f>
        <v>-1.3926089651090767E-2</v>
      </c>
      <c r="AR44" s="21"/>
      <c r="AS44" s="21"/>
      <c r="AT44" s="36"/>
      <c r="AU44" s="26"/>
      <c r="AV44" s="21"/>
      <c r="AW44" s="36"/>
      <c r="AX44" s="15">
        <f>V44/J44</f>
        <v>1.0000081740008646</v>
      </c>
      <c r="AY44" s="15">
        <f t="shared" ref="AY44:AY47" si="54">X44/L44</f>
        <v>0.94152046783625731</v>
      </c>
      <c r="AZ44" s="15">
        <f t="shared" si="10"/>
        <v>3.2504489658421774</v>
      </c>
      <c r="BA44" s="15">
        <f>V44/J44</f>
        <v>1.0000081740008646</v>
      </c>
      <c r="BB44" s="15">
        <f t="shared" si="52"/>
        <v>0.94152046783625731</v>
      </c>
      <c r="BC44" s="15">
        <f t="shared" si="11"/>
        <v>3.2504489658421774</v>
      </c>
      <c r="BD44" s="1">
        <f t="shared" si="12"/>
        <v>0</v>
      </c>
    </row>
    <row r="45" spans="1:56" ht="15.75" thickBot="1" x14ac:dyDescent="0.25">
      <c r="A45" s="13"/>
      <c r="B45" s="13"/>
      <c r="C45" s="43">
        <v>32</v>
      </c>
      <c r="D45" s="55">
        <v>2958.35</v>
      </c>
      <c r="E45" s="55">
        <v>36.103999999999999</v>
      </c>
      <c r="F45" s="55">
        <v>38.5002</v>
      </c>
      <c r="G45" s="55">
        <v>40.513800000000003</v>
      </c>
      <c r="H45" s="55">
        <v>0.98172150000000002</v>
      </c>
      <c r="I45" s="55">
        <v>0.97515479999999999</v>
      </c>
      <c r="J45" s="55">
        <v>0.98397769999999996</v>
      </c>
      <c r="K45" s="55">
        <v>278.74</v>
      </c>
      <c r="L45" s="55">
        <v>0.27300000000000002</v>
      </c>
      <c r="M45" s="15" t="e">
        <f>#REF!</f>
        <v>#REF!</v>
      </c>
      <c r="N45" s="16">
        <f t="shared" si="0"/>
        <v>7.7427777777777776E-2</v>
      </c>
      <c r="P45" s="60">
        <v>2957.6</v>
      </c>
      <c r="Q45" s="60">
        <v>36.1175</v>
      </c>
      <c r="R45" s="60">
        <v>38.483699999999999</v>
      </c>
      <c r="S45" s="60">
        <v>40.535400000000003</v>
      </c>
      <c r="T45" s="60">
        <v>0.98173580000000005</v>
      </c>
      <c r="U45" s="60">
        <v>0.97506740000000003</v>
      </c>
      <c r="V45" s="60">
        <v>0.98396740000000005</v>
      </c>
      <c r="W45" s="60">
        <v>1054.4390000000001</v>
      </c>
      <c r="X45" s="60">
        <v>0.495</v>
      </c>
      <c r="Y45" s="15" t="e">
        <f>#REF!</f>
        <v>#REF!</v>
      </c>
      <c r="Z45" s="16">
        <f t="shared" si="5"/>
        <v>0.29289972222222227</v>
      </c>
      <c r="AA45" s="10">
        <f t="shared" si="6"/>
        <v>3.7828765157494439</v>
      </c>
      <c r="AB45" s="15">
        <f t="shared" si="42"/>
        <v>1.813186813186813</v>
      </c>
      <c r="AC45" s="15" t="e">
        <f t="shared" si="42"/>
        <v>#REF!</v>
      </c>
      <c r="AD45" s="16">
        <f t="shared" si="7"/>
        <v>2.5351969848057195E-4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>
        <f>V45/J45</f>
        <v>0.99998953228309961</v>
      </c>
      <c r="AY45" s="15">
        <f t="shared" si="54"/>
        <v>1.813186813186813</v>
      </c>
      <c r="AZ45" s="15">
        <f t="shared" si="10"/>
        <v>3.7828765157494448</v>
      </c>
      <c r="BA45" s="15">
        <f>V45/J45</f>
        <v>0.99998953228309961</v>
      </c>
      <c r="BB45" s="15">
        <f t="shared" si="52"/>
        <v>1.813186813186813</v>
      </c>
      <c r="BC45" s="15">
        <f t="shared" si="11"/>
        <v>3.7828765157494448</v>
      </c>
      <c r="BD45" s="1">
        <f t="shared" si="12"/>
        <v>0</v>
      </c>
    </row>
    <row r="46" spans="1:56" ht="15.75" thickBot="1" x14ac:dyDescent="0.25">
      <c r="A46" s="13"/>
      <c r="B46" s="13"/>
      <c r="C46" s="43">
        <v>37</v>
      </c>
      <c r="D46" s="55">
        <v>1595.75</v>
      </c>
      <c r="E46" s="55">
        <v>33.746499999999997</v>
      </c>
      <c r="F46" s="55">
        <v>37.340600000000002</v>
      </c>
      <c r="G46" s="55">
        <v>38.670299999999997</v>
      </c>
      <c r="H46" s="55">
        <v>0.96631849999999997</v>
      </c>
      <c r="I46" s="55">
        <v>0.96486709999999998</v>
      </c>
      <c r="J46" s="55">
        <v>0.97454770000000002</v>
      </c>
      <c r="K46" s="55">
        <v>159.24600000000001</v>
      </c>
      <c r="L46" s="55">
        <v>0.24299999999999999</v>
      </c>
      <c r="M46" s="15" t="e">
        <f>#REF!</f>
        <v>#REF!</v>
      </c>
      <c r="N46" s="16">
        <f t="shared" si="0"/>
        <v>4.4235000000000003E-2</v>
      </c>
      <c r="P46" s="60">
        <v>1594.4</v>
      </c>
      <c r="Q46" s="60">
        <v>33.740699999999997</v>
      </c>
      <c r="R46" s="60">
        <v>37.250700000000002</v>
      </c>
      <c r="S46" s="60">
        <v>38.697699999999998</v>
      </c>
      <c r="T46" s="60">
        <v>0.96629750000000003</v>
      </c>
      <c r="U46" s="60">
        <v>0.9643294</v>
      </c>
      <c r="V46" s="60">
        <v>0.97487170000000001</v>
      </c>
      <c r="W46" s="60">
        <v>833.23900000000003</v>
      </c>
      <c r="X46" s="60">
        <v>0.28299999999999997</v>
      </c>
      <c r="Y46" s="15" t="e">
        <f>#REF!</f>
        <v>#REF!</v>
      </c>
      <c r="Z46" s="16">
        <f t="shared" si="5"/>
        <v>0.23145527777777777</v>
      </c>
      <c r="AA46" s="10">
        <f t="shared" si="6"/>
        <v>5.2324014417944564</v>
      </c>
      <c r="AB46" s="15">
        <f t="shared" si="42"/>
        <v>1.1646090534979423</v>
      </c>
      <c r="AC46" s="15" t="e">
        <f t="shared" si="42"/>
        <v>#REF!</v>
      </c>
      <c r="AD46" s="16">
        <f t="shared" si="7"/>
        <v>8.4599718000934296E-4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>
        <f>V46/J46</f>
        <v>1.0003324619205403</v>
      </c>
      <c r="AY46" s="15">
        <f t="shared" si="54"/>
        <v>1.1646090534979423</v>
      </c>
      <c r="AZ46" s="15">
        <f t="shared" si="10"/>
        <v>5.2324014417944555</v>
      </c>
      <c r="BA46" s="15">
        <f>V46/J46</f>
        <v>1.0003324619205403</v>
      </c>
      <c r="BB46" s="15">
        <f t="shared" si="52"/>
        <v>1.1646090534979423</v>
      </c>
      <c r="BC46" s="15">
        <f t="shared" si="11"/>
        <v>5.2324014417944555</v>
      </c>
      <c r="BD46" s="1">
        <f t="shared" si="12"/>
        <v>0</v>
      </c>
    </row>
    <row r="47" spans="1:56" ht="15.75" thickBot="1" x14ac:dyDescent="0.25">
      <c r="A47" s="13"/>
      <c r="B47" s="17"/>
      <c r="C47" s="44">
        <v>42</v>
      </c>
      <c r="D47" s="55">
        <v>846.8</v>
      </c>
      <c r="E47" s="55">
        <v>31.265499999999999</v>
      </c>
      <c r="F47" s="55">
        <v>36.347099999999998</v>
      </c>
      <c r="G47" s="55">
        <v>37.295200000000001</v>
      </c>
      <c r="H47" s="55">
        <v>0.93750770000000005</v>
      </c>
      <c r="I47" s="55">
        <v>0.95299560000000005</v>
      </c>
      <c r="J47" s="55">
        <v>0.96342369999999999</v>
      </c>
      <c r="K47" s="55">
        <v>86.406999999999996</v>
      </c>
      <c r="L47" s="55">
        <v>0.20799999999999999</v>
      </c>
      <c r="M47" s="19" t="e">
        <f>#REF!</f>
        <v>#REF!</v>
      </c>
      <c r="N47" s="20">
        <f t="shared" si="0"/>
        <v>2.4001944444444444E-2</v>
      </c>
      <c r="P47" s="60">
        <v>839.15</v>
      </c>
      <c r="Q47" s="60">
        <v>31.232800000000001</v>
      </c>
      <c r="R47" s="60">
        <v>36.380499999999998</v>
      </c>
      <c r="S47" s="60">
        <v>37.311</v>
      </c>
      <c r="T47" s="60">
        <v>0.9368997</v>
      </c>
      <c r="U47" s="60">
        <v>0.95331049999999995</v>
      </c>
      <c r="V47" s="60">
        <v>0.96384250000000005</v>
      </c>
      <c r="W47" s="60">
        <v>532.16</v>
      </c>
      <c r="X47" s="60">
        <v>0.217</v>
      </c>
      <c r="Y47" s="19" t="e">
        <f>#REF!</f>
        <v>#REF!</v>
      </c>
      <c r="Z47" s="20">
        <f t="shared" si="5"/>
        <v>0.14782222222222222</v>
      </c>
      <c r="AA47" s="10">
        <f t="shared" si="6"/>
        <v>6.1587602856250072</v>
      </c>
      <c r="AB47" s="15">
        <f t="shared" si="42"/>
        <v>1.0432692307692308</v>
      </c>
      <c r="AC47" s="15" t="e">
        <f t="shared" si="42"/>
        <v>#REF!</v>
      </c>
      <c r="AD47" s="20">
        <f t="shared" si="7"/>
        <v>9.0340103920642147E-3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>
        <f>V47/J47</f>
        <v>1.0004346997068891</v>
      </c>
      <c r="AY47" s="15">
        <f t="shared" si="54"/>
        <v>1.0432692307692308</v>
      </c>
      <c r="AZ47" s="15">
        <f t="shared" si="10"/>
        <v>6.1587602856250072</v>
      </c>
      <c r="BA47" s="15"/>
      <c r="BB47" s="15"/>
      <c r="BC47" s="15"/>
      <c r="BD47" s="1">
        <f t="shared" si="12"/>
        <v>0</v>
      </c>
    </row>
    <row r="48" spans="1:56" ht="15.75" thickBot="1" x14ac:dyDescent="0.25">
      <c r="A48" s="13"/>
      <c r="B48" s="8" t="s">
        <v>47</v>
      </c>
      <c r="C48" s="39">
        <v>22</v>
      </c>
      <c r="D48" s="55">
        <v>9012.06</v>
      </c>
      <c r="E48" s="55">
        <v>42.829099999999997</v>
      </c>
      <c r="F48" s="55">
        <v>45.3399</v>
      </c>
      <c r="G48" s="55">
        <v>46.063000000000002</v>
      </c>
      <c r="H48" s="55">
        <v>0.99473659999999997</v>
      </c>
      <c r="I48" s="55">
        <v>0.99299950000000003</v>
      </c>
      <c r="J48" s="55">
        <v>0.99357669999999998</v>
      </c>
      <c r="K48" s="55">
        <v>560.92100000000005</v>
      </c>
      <c r="L48" s="55">
        <v>0.317</v>
      </c>
      <c r="M48" s="10" t="e">
        <f>#REF!</f>
        <v>#REF!</v>
      </c>
      <c r="N48" s="11">
        <f t="shared" si="0"/>
        <v>0.1558113888888889</v>
      </c>
      <c r="P48" s="60">
        <v>8978.2800000000007</v>
      </c>
      <c r="Q48" s="60">
        <v>42.8155</v>
      </c>
      <c r="R48" s="60">
        <v>45.322600000000001</v>
      </c>
      <c r="S48" s="60">
        <v>46.049300000000002</v>
      </c>
      <c r="T48" s="60">
        <v>0.99471109999999996</v>
      </c>
      <c r="U48" s="60">
        <v>0.99296770000000001</v>
      </c>
      <c r="V48" s="60">
        <v>0.9935425</v>
      </c>
      <c r="W48" s="60">
        <v>1566.56</v>
      </c>
      <c r="X48" s="60">
        <v>0.33100000000000002</v>
      </c>
      <c r="Y48" s="10" t="e">
        <f>#REF!</f>
        <v>#REF!</v>
      </c>
      <c r="Z48" s="11">
        <f t="shared" si="5"/>
        <v>0.43515555555555552</v>
      </c>
      <c r="AA48" s="10">
        <f t="shared" si="6"/>
        <v>2.792835354711269</v>
      </c>
      <c r="AB48" s="15">
        <f t="shared" si="42"/>
        <v>1.0441640378548895</v>
      </c>
      <c r="AC48" s="15" t="e">
        <f t="shared" si="42"/>
        <v>#REF!</v>
      </c>
      <c r="AD48" s="11">
        <f t="shared" si="7"/>
        <v>3.7483105971330461E-3</v>
      </c>
      <c r="AE48" s="12"/>
      <c r="AF48" s="25">
        <f t="shared" ref="AF48:AK48" si="55">bdRateExtend($D48:$D52,E48:E52,$P48:$P52,Q48:Q52)</f>
        <v>1.1723855322138821E-3</v>
      </c>
      <c r="AG48" s="30">
        <f t="shared" si="55"/>
        <v>1.0990409874078066E-2</v>
      </c>
      <c r="AH48" s="31">
        <f t="shared" si="55"/>
        <v>3.1180646098925013E-3</v>
      </c>
      <c r="AI48" s="25">
        <f t="shared" si="55"/>
        <v>-1.7092910100920955E-3</v>
      </c>
      <c r="AJ48" s="30">
        <f t="shared" si="55"/>
        <v>6.9157001694681863E-3</v>
      </c>
      <c r="AK48" s="30">
        <f t="shared" si="55"/>
        <v>4.4210098243460116E-3</v>
      </c>
      <c r="AL48" s="45"/>
      <c r="AM48" s="46"/>
      <c r="AN48" s="47"/>
      <c r="AO48" s="46"/>
      <c r="AP48" s="46"/>
      <c r="AQ48" s="47"/>
      <c r="AR48" s="30">
        <f t="shared" ref="AR48:AW48" si="56">bdrate($D48:$D51,E48:E51,$P48:$P51,Q48:Q51)</f>
        <v>4.421763786774946E-4</v>
      </c>
      <c r="AS48" s="30">
        <f t="shared" si="56"/>
        <v>7.9089517454613567E-3</v>
      </c>
      <c r="AT48" s="31">
        <f t="shared" si="56"/>
        <v>2.5369032825512949E-3</v>
      </c>
      <c r="AU48" s="25">
        <f t="shared" si="56"/>
        <v>-2.15936128284544E-3</v>
      </c>
      <c r="AV48" s="30">
        <f t="shared" si="56"/>
        <v>3.0228710928861258E-3</v>
      </c>
      <c r="AW48" s="31">
        <f t="shared" si="56"/>
        <v>-2.7072849592442161E-3</v>
      </c>
      <c r="AX48" s="15"/>
      <c r="AY48" s="15"/>
      <c r="AZ48" s="15"/>
      <c r="BA48" s="15">
        <f>V48/J48</f>
        <v>0.99996557890296744</v>
      </c>
      <c r="BB48" s="15">
        <f t="shared" ref="BB48:BB51" si="57">X48/L48</f>
        <v>1.0441640378548895</v>
      </c>
      <c r="BC48" s="15">
        <f t="shared" si="11"/>
        <v>2.792835354711269</v>
      </c>
      <c r="BD48" s="1">
        <f t="shared" si="12"/>
        <v>0</v>
      </c>
    </row>
    <row r="49" spans="1:56" ht="15.75" thickBot="1" x14ac:dyDescent="0.25">
      <c r="A49" s="13"/>
      <c r="B49" s="13"/>
      <c r="C49" s="43">
        <v>27</v>
      </c>
      <c r="D49" s="55">
        <v>4520.6400000000003</v>
      </c>
      <c r="E49" s="55">
        <v>40.496699999999997</v>
      </c>
      <c r="F49" s="55">
        <v>43.528799999999997</v>
      </c>
      <c r="G49" s="55">
        <v>44.432699999999997</v>
      </c>
      <c r="H49" s="55">
        <v>0.98909899999999995</v>
      </c>
      <c r="I49" s="55">
        <v>0.98801490000000003</v>
      </c>
      <c r="J49" s="55">
        <v>0.98971439999999999</v>
      </c>
      <c r="K49" s="55">
        <v>321.166</v>
      </c>
      <c r="L49" s="55">
        <v>0.27100000000000002</v>
      </c>
      <c r="M49" s="15" t="e">
        <f>#REF!</f>
        <v>#REF!</v>
      </c>
      <c r="N49" s="16">
        <f t="shared" si="0"/>
        <v>8.921277777777778E-2</v>
      </c>
      <c r="P49" s="60">
        <v>4508.7</v>
      </c>
      <c r="Q49" s="60">
        <v>40.489800000000002</v>
      </c>
      <c r="R49" s="60">
        <v>43.496099999999998</v>
      </c>
      <c r="S49" s="60">
        <v>44.426600000000001</v>
      </c>
      <c r="T49" s="60">
        <v>0.98908119999999999</v>
      </c>
      <c r="U49" s="60">
        <v>0.98789099999999996</v>
      </c>
      <c r="V49" s="60">
        <v>0.98972420000000005</v>
      </c>
      <c r="W49" s="60">
        <v>1171.2180000000001</v>
      </c>
      <c r="X49" s="60">
        <v>0.28799999999999998</v>
      </c>
      <c r="Y49" s="15" t="e">
        <f>#REF!</f>
        <v>#REF!</v>
      </c>
      <c r="Z49" s="16">
        <f t="shared" si="5"/>
        <v>0.32533833333333334</v>
      </c>
      <c r="AA49" s="10">
        <f t="shared" si="6"/>
        <v>3.6467683378688904</v>
      </c>
      <c r="AB49" s="15">
        <f t="shared" si="42"/>
        <v>1.0627306273062729</v>
      </c>
      <c r="AC49" s="15" t="e">
        <f t="shared" si="42"/>
        <v>#REF!</v>
      </c>
      <c r="AD49" s="16">
        <f t="shared" si="7"/>
        <v>2.6412189424507388E-3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1.7354411528953673E-3</v>
      </c>
      <c r="AM49" s="21">
        <f>bdrate($D49:$D52,F49:F52,$P49:$P52,R49:R52)</f>
        <v>1.1339775096235183E-2</v>
      </c>
      <c r="AN49" s="36">
        <f t="shared" ref="AN49" si="58">bdrate($D49:$D52,G49:G52,$P49:$P52,S49:S52)</f>
        <v>3.4391242821893986E-3</v>
      </c>
      <c r="AO49" s="26">
        <f>bdrate($D49:$D52,H49:H52,$P49:$P52,T49:T52)</f>
        <v>-1.8559656143465331E-3</v>
      </c>
      <c r="AP49" s="21">
        <f>bdrate($D49:$D52,I49:I52,$P49:$P52,U49:U52)</f>
        <v>5.4870117118515083E-3</v>
      </c>
      <c r="AQ49" s="36">
        <f>bdrate($D49:$D52,J49:J52,$P49:$P52,V49:V52)</f>
        <v>4.4496903221724615E-3</v>
      </c>
      <c r="AR49" s="21"/>
      <c r="AS49" s="21"/>
      <c r="AT49" s="36"/>
      <c r="AU49" s="26"/>
      <c r="AV49" s="21"/>
      <c r="AW49" s="36"/>
      <c r="AX49" s="15">
        <f>V49/J49</f>
        <v>1.0000099018464317</v>
      </c>
      <c r="AY49" s="15">
        <f t="shared" ref="AY49:AY52" si="59">X49/L49</f>
        <v>1.0627306273062729</v>
      </c>
      <c r="AZ49" s="15">
        <f t="shared" si="10"/>
        <v>3.6467683378688904</v>
      </c>
      <c r="BA49" s="15">
        <f>V49/J49</f>
        <v>1.0000099018464317</v>
      </c>
      <c r="BB49" s="15">
        <f t="shared" si="57"/>
        <v>1.0627306273062729</v>
      </c>
      <c r="BC49" s="15">
        <f t="shared" si="11"/>
        <v>3.6467683378688904</v>
      </c>
      <c r="BD49" s="1">
        <f t="shared" si="12"/>
        <v>0</v>
      </c>
    </row>
    <row r="50" spans="1:56" ht="15.75" thickBot="1" x14ac:dyDescent="0.25">
      <c r="A50" s="13"/>
      <c r="B50" s="13"/>
      <c r="C50" s="43">
        <v>32</v>
      </c>
      <c r="D50" s="55">
        <v>2368.62</v>
      </c>
      <c r="E50" s="55">
        <v>38.313200000000002</v>
      </c>
      <c r="F50" s="55">
        <v>42.151200000000003</v>
      </c>
      <c r="G50" s="55">
        <v>42.735900000000001</v>
      </c>
      <c r="H50" s="55">
        <v>0.97936160000000005</v>
      </c>
      <c r="I50" s="55">
        <v>0.98223059999999995</v>
      </c>
      <c r="J50" s="55">
        <v>0.98384579999999999</v>
      </c>
      <c r="K50" s="55">
        <v>197.68199999999999</v>
      </c>
      <c r="L50" s="55">
        <v>0.23899999999999999</v>
      </c>
      <c r="M50" s="15" t="e">
        <f>#REF!</f>
        <v>#REF!</v>
      </c>
      <c r="N50" s="16">
        <f t="shared" si="0"/>
        <v>5.4911666666666664E-2</v>
      </c>
      <c r="P50" s="60">
        <v>2371.56</v>
      </c>
      <c r="Q50" s="60">
        <v>38.314100000000003</v>
      </c>
      <c r="R50" s="60">
        <v>42.154600000000002</v>
      </c>
      <c r="S50" s="60">
        <v>42.736600000000003</v>
      </c>
      <c r="T50" s="60">
        <v>0.97942799999999997</v>
      </c>
      <c r="U50" s="60">
        <v>0.98232450000000004</v>
      </c>
      <c r="V50" s="60">
        <v>0.98397590000000001</v>
      </c>
      <c r="W50" s="60">
        <v>854.25099999999998</v>
      </c>
      <c r="X50" s="60">
        <v>0.25</v>
      </c>
      <c r="Y50" s="15" t="e">
        <f>#REF!</f>
        <v>#REF!</v>
      </c>
      <c r="Z50" s="16">
        <f t="shared" si="5"/>
        <v>0.23729194444444443</v>
      </c>
      <c r="AA50" s="10">
        <f t="shared" si="6"/>
        <v>4.3213393227506804</v>
      </c>
      <c r="AB50" s="15">
        <f t="shared" si="42"/>
        <v>1.0460251046025104</v>
      </c>
      <c r="AC50" s="15" t="e">
        <f t="shared" si="42"/>
        <v>#REF!</v>
      </c>
      <c r="AD50" s="16">
        <f t="shared" si="7"/>
        <v>1.2412290700914688E-3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>
        <f>V50/J50</f>
        <v>1.0001322361695297</v>
      </c>
      <c r="AY50" s="15">
        <f t="shared" si="59"/>
        <v>1.0460251046025104</v>
      </c>
      <c r="AZ50" s="15">
        <f t="shared" si="10"/>
        <v>4.3213393227506804</v>
      </c>
      <c r="BA50" s="15">
        <f>V50/J50</f>
        <v>1.0001322361695297</v>
      </c>
      <c r="BB50" s="15">
        <f t="shared" si="57"/>
        <v>1.0460251046025104</v>
      </c>
      <c r="BC50" s="15">
        <f t="shared" si="11"/>
        <v>4.3213393227506804</v>
      </c>
      <c r="BD50" s="1">
        <f t="shared" si="12"/>
        <v>0</v>
      </c>
    </row>
    <row r="51" spans="1:56" ht="15.75" thickBot="1" x14ac:dyDescent="0.25">
      <c r="A51" s="13"/>
      <c r="B51" s="13"/>
      <c r="C51" s="43">
        <v>37</v>
      </c>
      <c r="D51" s="55">
        <v>1228.6199999999999</v>
      </c>
      <c r="E51" s="55">
        <v>35.940399999999997</v>
      </c>
      <c r="F51" s="55">
        <v>40.688299999999998</v>
      </c>
      <c r="G51" s="55">
        <v>41.584200000000003</v>
      </c>
      <c r="H51" s="55">
        <v>0.96075730000000004</v>
      </c>
      <c r="I51" s="55">
        <v>0.97451149999999997</v>
      </c>
      <c r="J51" s="55">
        <v>0.97856430000000005</v>
      </c>
      <c r="K51" s="55">
        <v>100.295</v>
      </c>
      <c r="L51" s="55">
        <v>0.24199999999999999</v>
      </c>
      <c r="M51" s="15" t="e">
        <f>#REF!</f>
        <v>#REF!</v>
      </c>
      <c r="N51" s="16">
        <f t="shared" si="0"/>
        <v>2.7859722222222223E-2</v>
      </c>
      <c r="P51" s="60">
        <v>1229.22</v>
      </c>
      <c r="Q51" s="60">
        <v>35.934800000000003</v>
      </c>
      <c r="R51" s="60">
        <v>40.627200000000002</v>
      </c>
      <c r="S51" s="60">
        <v>41.549700000000001</v>
      </c>
      <c r="T51" s="60">
        <v>0.96095350000000002</v>
      </c>
      <c r="U51" s="60">
        <v>0.974275</v>
      </c>
      <c r="V51" s="60">
        <v>0.97830410000000001</v>
      </c>
      <c r="W51" s="60">
        <v>932.971</v>
      </c>
      <c r="X51" s="60">
        <v>0.215</v>
      </c>
      <c r="Y51" s="15" t="e">
        <f>#REF!</f>
        <v>#REF!</v>
      </c>
      <c r="Z51" s="16">
        <f t="shared" si="5"/>
        <v>0.2591586111111111</v>
      </c>
      <c r="AA51" s="10">
        <f t="shared" si="6"/>
        <v>9.3022683084899551</v>
      </c>
      <c r="AB51" s="15">
        <f t="shared" si="42"/>
        <v>0.88842975206611574</v>
      </c>
      <c r="AC51" s="15" t="e">
        <f t="shared" si="42"/>
        <v>#REF!</v>
      </c>
      <c r="AD51" s="16">
        <f t="shared" si="7"/>
        <v>4.8835278605275549E-4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>
        <f>V51/J51</f>
        <v>0.99973410025278864</v>
      </c>
      <c r="AY51" s="15">
        <f t="shared" si="59"/>
        <v>0.88842975206611574</v>
      </c>
      <c r="AZ51" s="15">
        <f t="shared" si="10"/>
        <v>9.3022683084899533</v>
      </c>
      <c r="BA51" s="15">
        <f>V51/J51</f>
        <v>0.99973410025278864</v>
      </c>
      <c r="BB51" s="15">
        <f t="shared" si="57"/>
        <v>0.88842975206611574</v>
      </c>
      <c r="BC51" s="15">
        <f t="shared" si="11"/>
        <v>9.3022683084899533</v>
      </c>
      <c r="BD51" s="1">
        <f t="shared" si="12"/>
        <v>0</v>
      </c>
    </row>
    <row r="52" spans="1:56" ht="15.75" thickBot="1" x14ac:dyDescent="0.25">
      <c r="A52" s="13"/>
      <c r="B52" s="17"/>
      <c r="C52" s="44">
        <v>42</v>
      </c>
      <c r="D52" s="55">
        <v>597.72</v>
      </c>
      <c r="E52" s="55">
        <v>33.479399999999998</v>
      </c>
      <c r="F52" s="55">
        <v>39.691000000000003</v>
      </c>
      <c r="G52" s="55">
        <v>40.425699999999999</v>
      </c>
      <c r="H52" s="55">
        <v>0.92800660000000001</v>
      </c>
      <c r="I52" s="55">
        <v>0.96773509999999996</v>
      </c>
      <c r="J52" s="55">
        <v>0.9717616</v>
      </c>
      <c r="K52" s="55">
        <v>45.603000000000002</v>
      </c>
      <c r="L52" s="55">
        <v>0.26200000000000001</v>
      </c>
      <c r="M52" s="19" t="e">
        <f>#REF!</f>
        <v>#REF!</v>
      </c>
      <c r="N52" s="20">
        <f t="shared" si="0"/>
        <v>1.26675E-2</v>
      </c>
      <c r="P52" s="60">
        <v>604.44000000000005</v>
      </c>
      <c r="Q52" s="60">
        <v>33.500700000000002</v>
      </c>
      <c r="R52" s="60">
        <v>39.736400000000003</v>
      </c>
      <c r="S52" s="60">
        <v>40.489199999999997</v>
      </c>
      <c r="T52" s="60">
        <v>0.92828670000000002</v>
      </c>
      <c r="U52" s="60">
        <v>0.96798200000000001</v>
      </c>
      <c r="V52" s="60">
        <v>0.97202639999999996</v>
      </c>
      <c r="W52" s="60">
        <v>1486.248</v>
      </c>
      <c r="X52" s="60">
        <v>0.19</v>
      </c>
      <c r="Y52" s="19" t="e">
        <f>#REF!</f>
        <v>#REF!</v>
      </c>
      <c r="Z52" s="20">
        <f t="shared" si="5"/>
        <v>0.4128466666666667</v>
      </c>
      <c r="AA52" s="10">
        <f t="shared" si="6"/>
        <v>32.591013749095453</v>
      </c>
      <c r="AB52" s="15">
        <f t="shared" si="42"/>
        <v>0.72519083969465647</v>
      </c>
      <c r="AC52" s="15" t="e">
        <f t="shared" si="42"/>
        <v>#REF!</v>
      </c>
      <c r="AD52" s="20">
        <f t="shared" si="7"/>
        <v>1.1242722344910706E-2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>
        <f>V52/J52</f>
        <v>1.0002724948176589</v>
      </c>
      <c r="AY52" s="15">
        <f t="shared" si="59"/>
        <v>0.72519083969465647</v>
      </c>
      <c r="AZ52" s="15">
        <f t="shared" si="10"/>
        <v>32.59101374909546</v>
      </c>
      <c r="BA52" s="15"/>
      <c r="BB52" s="15"/>
      <c r="BC52" s="15"/>
      <c r="BD52" s="1">
        <f t="shared" si="12"/>
        <v>0</v>
      </c>
    </row>
    <row r="53" spans="1:56" ht="15.75" thickBot="1" x14ac:dyDescent="0.25">
      <c r="A53" s="13"/>
      <c r="B53" s="8" t="s">
        <v>46</v>
      </c>
      <c r="C53" s="39">
        <v>22</v>
      </c>
      <c r="D53" s="55">
        <v>2980.32</v>
      </c>
      <c r="E53" s="55">
        <v>48.625799999999998</v>
      </c>
      <c r="F53" s="55">
        <v>50.292700000000004</v>
      </c>
      <c r="G53" s="55">
        <v>51.497999999999998</v>
      </c>
      <c r="H53" s="55">
        <v>0.99794050000000001</v>
      </c>
      <c r="I53" s="55">
        <v>0.99750720000000004</v>
      </c>
      <c r="J53" s="55">
        <v>0.99822699999999998</v>
      </c>
      <c r="K53" s="55">
        <v>191.45099999999999</v>
      </c>
      <c r="L53" s="55">
        <v>0.35299999999999998</v>
      </c>
      <c r="M53" s="10" t="e">
        <f>#REF!</f>
        <v>#REF!</v>
      </c>
      <c r="N53" s="11">
        <f t="shared" si="0"/>
        <v>5.318083333333333E-2</v>
      </c>
      <c r="P53" s="60">
        <v>2979.3</v>
      </c>
      <c r="Q53" s="60">
        <v>48.626199999999997</v>
      </c>
      <c r="R53" s="60">
        <v>50.304299999999998</v>
      </c>
      <c r="S53" s="60">
        <v>51.568300000000001</v>
      </c>
      <c r="T53" s="60">
        <v>0.99794369999999999</v>
      </c>
      <c r="U53" s="60">
        <v>0.9975311</v>
      </c>
      <c r="V53" s="60">
        <v>0.99825580000000003</v>
      </c>
      <c r="W53" s="60">
        <v>940.33500000000004</v>
      </c>
      <c r="X53" s="60">
        <v>0.372</v>
      </c>
      <c r="Y53" s="10" t="e">
        <f>#REF!</f>
        <v>#REF!</v>
      </c>
      <c r="Z53" s="11">
        <f t="shared" si="5"/>
        <v>0.26120416666666668</v>
      </c>
      <c r="AA53" s="10">
        <f t="shared" si="6"/>
        <v>4.9116222949997654</v>
      </c>
      <c r="AB53" s="15">
        <f t="shared" si="42"/>
        <v>1.0538243626062322</v>
      </c>
      <c r="AC53" s="15" t="e">
        <f t="shared" si="42"/>
        <v>#REF!</v>
      </c>
      <c r="AD53" s="11">
        <f t="shared" si="7"/>
        <v>3.4224512803993589E-4</v>
      </c>
      <c r="AE53" s="12"/>
      <c r="AF53" s="25">
        <f t="shared" ref="AF53:AK53" si="60">bdRateExtend($D53:$D57,E53:E57,$P53:$P57,Q53:Q57)</f>
        <v>1.5337533857904262E-3</v>
      </c>
      <c r="AG53" s="30">
        <f t="shared" si="60"/>
        <v>6.1021533043748022E-4</v>
      </c>
      <c r="AH53" s="31">
        <f t="shared" si="60"/>
        <v>-1.4751502938117333E-3</v>
      </c>
      <c r="AI53" s="25">
        <f t="shared" si="60"/>
        <v>2.2118959003065708E-3</v>
      </c>
      <c r="AJ53" s="30">
        <f t="shared" si="60"/>
        <v>-6.2991342029031783E-3</v>
      </c>
      <c r="AK53" s="30">
        <f t="shared" si="60"/>
        <v>-5.0547461152493645E-3</v>
      </c>
      <c r="AL53" s="26"/>
      <c r="AM53" s="21"/>
      <c r="AN53" s="36"/>
      <c r="AO53" s="21"/>
      <c r="AP53" s="21"/>
      <c r="AQ53" s="36"/>
      <c r="AR53" s="30">
        <f t="shared" ref="AR53:AW53" si="61">bdrate($D53:$D56,E53:E56,$P53:$P56,Q53:Q56)</f>
        <v>1.0795966002554724E-3</v>
      </c>
      <c r="AS53" s="30">
        <f t="shared" si="61"/>
        <v>-7.6066247886797944E-3</v>
      </c>
      <c r="AT53" s="31">
        <f t="shared" si="61"/>
        <v>-3.3816730986396815E-3</v>
      </c>
      <c r="AU53" s="25">
        <f t="shared" si="61"/>
        <v>-1.2571915163179792E-3</v>
      </c>
      <c r="AV53" s="30">
        <f t="shared" si="61"/>
        <v>-2.0115669331300823E-2</v>
      </c>
      <c r="AW53" s="31">
        <f t="shared" si="61"/>
        <v>-1.1217943309354439E-2</v>
      </c>
      <c r="AX53" s="15"/>
      <c r="AY53" s="15"/>
      <c r="AZ53" s="15"/>
      <c r="BA53" s="15">
        <f>V53/J53</f>
        <v>1.0000288511530946</v>
      </c>
      <c r="BB53" s="15">
        <f t="shared" ref="BB53:BB56" si="62">X53/L53</f>
        <v>1.0538243626062322</v>
      </c>
      <c r="BC53" s="15">
        <f t="shared" si="11"/>
        <v>4.9116222949997654</v>
      </c>
      <c r="BD53" s="1">
        <f t="shared" si="12"/>
        <v>0</v>
      </c>
    </row>
    <row r="54" spans="1:56" ht="15.75" thickBot="1" x14ac:dyDescent="0.25">
      <c r="A54" s="13"/>
      <c r="B54" s="13"/>
      <c r="C54" s="43">
        <v>27</v>
      </c>
      <c r="D54" s="55">
        <v>1763.34</v>
      </c>
      <c r="E54" s="55">
        <v>46.3292</v>
      </c>
      <c r="F54" s="55">
        <v>47.926000000000002</v>
      </c>
      <c r="G54" s="55">
        <v>48.619599999999998</v>
      </c>
      <c r="H54" s="55">
        <v>0.99646599999999996</v>
      </c>
      <c r="I54" s="55">
        <v>0.99525920000000001</v>
      </c>
      <c r="J54" s="55">
        <v>0.99629380000000001</v>
      </c>
      <c r="K54" s="55">
        <v>114.953</v>
      </c>
      <c r="L54" s="55">
        <v>0.26200000000000001</v>
      </c>
      <c r="M54" s="15" t="e">
        <f>#REF!</f>
        <v>#REF!</v>
      </c>
      <c r="N54" s="16">
        <f t="shared" si="0"/>
        <v>3.1931388888888891E-2</v>
      </c>
      <c r="P54" s="60">
        <v>1760.94</v>
      </c>
      <c r="Q54" s="60">
        <v>46.310400000000001</v>
      </c>
      <c r="R54" s="60">
        <v>47.9133</v>
      </c>
      <c r="S54" s="60">
        <v>48.601700000000001</v>
      </c>
      <c r="T54" s="60">
        <v>0.99646639999999997</v>
      </c>
      <c r="U54" s="60">
        <v>0.99524630000000003</v>
      </c>
      <c r="V54" s="60">
        <v>0.99627549999999998</v>
      </c>
      <c r="W54" s="60">
        <v>675.49699999999996</v>
      </c>
      <c r="X54" s="60">
        <v>0.248</v>
      </c>
      <c r="Y54" s="15" t="e">
        <f>#REF!</f>
        <v>#REF!</v>
      </c>
      <c r="Z54" s="16">
        <f t="shared" si="5"/>
        <v>0.18763805555555554</v>
      </c>
      <c r="AA54" s="10">
        <f t="shared" si="6"/>
        <v>5.8762885701112619</v>
      </c>
      <c r="AB54" s="15">
        <f t="shared" si="42"/>
        <v>0.94656488549618312</v>
      </c>
      <c r="AC54" s="15" t="e">
        <f t="shared" si="42"/>
        <v>#REF!</v>
      </c>
      <c r="AD54" s="16">
        <f t="shared" si="7"/>
        <v>1.3610534553743826E-3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1.3928141832721952E-3</v>
      </c>
      <c r="AM54" s="21">
        <f>bdrate($D54:$D57,F54:F57,$P54:$P57,R54:R57)</f>
        <v>-1.4807193812501618E-3</v>
      </c>
      <c r="AN54" s="36">
        <f t="shared" ref="AN54" si="63">bdrate($D54:$D57,G54:G57,$P54:$P57,S54:S57)</f>
        <v>-3.2152373248772737E-3</v>
      </c>
      <c r="AO54" s="26">
        <f>bdrate($D54:$D57,H54:H57,$P54:$P57,T54:T57)</f>
        <v>2.4313203469745748E-3</v>
      </c>
      <c r="AP54" s="21">
        <f>bdrate($D54:$D57,I54:I57,$P54:$P57,U54:U57)</f>
        <v>-8.3215690866274006E-3</v>
      </c>
      <c r="AQ54" s="36">
        <f>bdrate($D54:$D57,J54:J57,$P54:$P57,V54:V57)</f>
        <v>-7.2209598582385626E-3</v>
      </c>
      <c r="AR54" s="21"/>
      <c r="AS54" s="21"/>
      <c r="AT54" s="36"/>
      <c r="AU54" s="26"/>
      <c r="AV54" s="21"/>
      <c r="AW54" s="36"/>
      <c r="AX54" s="15">
        <f>V54/J54</f>
        <v>0.99998163192423761</v>
      </c>
      <c r="AY54" s="15">
        <f t="shared" ref="AY54:AY57" si="64">X54/L54</f>
        <v>0.94656488549618312</v>
      </c>
      <c r="AZ54" s="15">
        <f t="shared" si="10"/>
        <v>5.8762885701112619</v>
      </c>
      <c r="BA54" s="15">
        <f>V54/J54</f>
        <v>0.99998163192423761</v>
      </c>
      <c r="BB54" s="15">
        <f t="shared" si="62"/>
        <v>0.94656488549618312</v>
      </c>
      <c r="BC54" s="15">
        <f t="shared" si="11"/>
        <v>5.8762885701112619</v>
      </c>
      <c r="BD54" s="1">
        <f t="shared" si="12"/>
        <v>0</v>
      </c>
    </row>
    <row r="55" spans="1:56" ht="15.75" thickBot="1" x14ac:dyDescent="0.25">
      <c r="A55" s="13"/>
      <c r="B55" s="13"/>
      <c r="C55" s="43">
        <v>32</v>
      </c>
      <c r="D55" s="55">
        <v>1026.6600000000001</v>
      </c>
      <c r="E55" s="55">
        <v>43.565600000000003</v>
      </c>
      <c r="F55" s="55">
        <v>45.9221</v>
      </c>
      <c r="G55" s="55">
        <v>45.964700000000001</v>
      </c>
      <c r="H55" s="55">
        <v>0.99327169999999998</v>
      </c>
      <c r="I55" s="55">
        <v>0.991892</v>
      </c>
      <c r="J55" s="55">
        <v>0.99270840000000005</v>
      </c>
      <c r="K55" s="55">
        <v>79.234999999999999</v>
      </c>
      <c r="L55" s="55">
        <v>0.215</v>
      </c>
      <c r="M55" s="15" t="e">
        <f>#REF!</f>
        <v>#REF!</v>
      </c>
      <c r="N55" s="16">
        <f t="shared" si="0"/>
        <v>2.2009722222222222E-2</v>
      </c>
      <c r="P55" s="60">
        <v>1025.7</v>
      </c>
      <c r="Q55" s="60">
        <v>43.560600000000001</v>
      </c>
      <c r="R55" s="60">
        <v>46.017699999999998</v>
      </c>
      <c r="S55" s="60">
        <v>46.003</v>
      </c>
      <c r="T55" s="60">
        <v>0.99329000000000001</v>
      </c>
      <c r="U55" s="60">
        <v>0.99215989999999998</v>
      </c>
      <c r="V55" s="60">
        <v>0.9928612</v>
      </c>
      <c r="W55" s="60">
        <v>741.10799999999995</v>
      </c>
      <c r="X55" s="60">
        <v>0.312</v>
      </c>
      <c r="Y55" s="15" t="e">
        <f>#REF!</f>
        <v>#REF!</v>
      </c>
      <c r="Z55" s="16">
        <f t="shared" si="5"/>
        <v>0.20586333333333331</v>
      </c>
      <c r="AA55" s="10">
        <f t="shared" si="6"/>
        <v>9.3532908436928111</v>
      </c>
      <c r="AB55" s="15">
        <f t="shared" si="42"/>
        <v>1.4511627906976745</v>
      </c>
      <c r="AC55" s="15" t="e">
        <f t="shared" si="42"/>
        <v>#REF!</v>
      </c>
      <c r="AD55" s="16">
        <f t="shared" si="7"/>
        <v>9.35071006954626E-4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>
        <f>V55/J55</f>
        <v>1.0001539223401352</v>
      </c>
      <c r="AY55" s="15">
        <f t="shared" si="64"/>
        <v>1.4511627906976745</v>
      </c>
      <c r="AZ55" s="15">
        <f t="shared" si="10"/>
        <v>9.3532908436928111</v>
      </c>
      <c r="BA55" s="15">
        <f>V55/J55</f>
        <v>1.0001539223401352</v>
      </c>
      <c r="BB55" s="15">
        <f t="shared" si="62"/>
        <v>1.4511627906976745</v>
      </c>
      <c r="BC55" s="15">
        <f t="shared" si="11"/>
        <v>9.3532908436928111</v>
      </c>
      <c r="BD55" s="1">
        <f t="shared" si="12"/>
        <v>0</v>
      </c>
    </row>
    <row r="56" spans="1:56" ht="15.75" thickBot="1" x14ac:dyDescent="0.25">
      <c r="A56" s="13"/>
      <c r="B56" s="13"/>
      <c r="C56" s="43">
        <v>37</v>
      </c>
      <c r="D56" s="55">
        <v>598.32000000000005</v>
      </c>
      <c r="E56" s="55">
        <v>40.622199999999999</v>
      </c>
      <c r="F56" s="55">
        <v>43.744999999999997</v>
      </c>
      <c r="G56" s="55">
        <v>44.455599999999997</v>
      </c>
      <c r="H56" s="55">
        <v>0.98689190000000004</v>
      </c>
      <c r="I56" s="55">
        <v>0.98651120000000003</v>
      </c>
      <c r="J56" s="55">
        <v>0.98935119999999999</v>
      </c>
      <c r="K56" s="55">
        <v>46.941000000000003</v>
      </c>
      <c r="L56" s="55">
        <v>0.18099999999999999</v>
      </c>
      <c r="M56" s="15" t="e">
        <f>#REF!</f>
        <v>#REF!</v>
      </c>
      <c r="N56" s="16">
        <f t="shared" si="0"/>
        <v>1.3039166666666668E-2</v>
      </c>
      <c r="P56" s="60">
        <v>599.28</v>
      </c>
      <c r="Q56" s="60">
        <v>40.621899999999997</v>
      </c>
      <c r="R56" s="60">
        <v>43.706200000000003</v>
      </c>
      <c r="S56" s="60">
        <v>44.430100000000003</v>
      </c>
      <c r="T56" s="60">
        <v>0.98683620000000005</v>
      </c>
      <c r="U56" s="60">
        <v>0.98661509999999997</v>
      </c>
      <c r="V56" s="60">
        <v>0.98937090000000005</v>
      </c>
      <c r="W56" s="60">
        <v>413.11700000000002</v>
      </c>
      <c r="X56" s="60">
        <v>0.19400000000000001</v>
      </c>
      <c r="Y56" s="15" t="e">
        <f>#REF!</f>
        <v>#REF!</v>
      </c>
      <c r="Z56" s="16">
        <f t="shared" si="5"/>
        <v>0.11475472222222223</v>
      </c>
      <c r="AA56" s="10">
        <f t="shared" si="6"/>
        <v>8.8007711808440376</v>
      </c>
      <c r="AB56" s="15">
        <f t="shared" si="42"/>
        <v>1.0718232044198897</v>
      </c>
      <c r="AC56" s="15" t="e">
        <f t="shared" si="42"/>
        <v>#REF!</v>
      </c>
      <c r="AD56" s="16">
        <f t="shared" si="7"/>
        <v>1.6044925792216918E-3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>
        <f>V56/J56</f>
        <v>1.0000199120393245</v>
      </c>
      <c r="AY56" s="15">
        <f t="shared" si="64"/>
        <v>1.0718232044198897</v>
      </c>
      <c r="AZ56" s="15">
        <f t="shared" si="10"/>
        <v>8.8007711808440376</v>
      </c>
      <c r="BA56" s="15">
        <f>V56/J56</f>
        <v>1.0000199120393245</v>
      </c>
      <c r="BB56" s="15">
        <f t="shared" si="62"/>
        <v>1.0718232044198897</v>
      </c>
      <c r="BC56" s="15">
        <f t="shared" si="11"/>
        <v>8.8007711808440376</v>
      </c>
      <c r="BD56" s="1">
        <f t="shared" si="12"/>
        <v>0</v>
      </c>
    </row>
    <row r="57" spans="1:56" ht="15.75" thickBot="1" x14ac:dyDescent="0.25">
      <c r="A57" s="17"/>
      <c r="B57" s="17"/>
      <c r="C57" s="44">
        <v>42</v>
      </c>
      <c r="D57" s="55">
        <v>343.44</v>
      </c>
      <c r="E57" s="55">
        <v>37.6783</v>
      </c>
      <c r="F57" s="55">
        <v>42.530099999999997</v>
      </c>
      <c r="G57" s="55">
        <v>43.002499999999998</v>
      </c>
      <c r="H57" s="55">
        <v>0.9754254</v>
      </c>
      <c r="I57" s="55">
        <v>0.98228510000000002</v>
      </c>
      <c r="J57" s="55">
        <v>0.98511689999999996</v>
      </c>
      <c r="K57" s="55">
        <v>28.148</v>
      </c>
      <c r="L57" s="55">
        <v>0.20599999999999999</v>
      </c>
      <c r="M57" s="19" t="e">
        <f>#REF!</f>
        <v>#REF!</v>
      </c>
      <c r="N57" s="20">
        <f t="shared" si="0"/>
        <v>7.8188888888888891E-3</v>
      </c>
      <c r="P57" s="60">
        <v>345</v>
      </c>
      <c r="Q57" s="60">
        <v>37.683199999999999</v>
      </c>
      <c r="R57" s="60">
        <v>42.414099999999998</v>
      </c>
      <c r="S57" s="60">
        <v>43.0306</v>
      </c>
      <c r="T57" s="60">
        <v>0.97555320000000001</v>
      </c>
      <c r="U57" s="60">
        <v>0.98176129999999995</v>
      </c>
      <c r="V57" s="60">
        <v>0.98506990000000005</v>
      </c>
      <c r="W57" s="60">
        <v>217.65600000000001</v>
      </c>
      <c r="X57" s="60">
        <v>0.17699999999999999</v>
      </c>
      <c r="Y57" s="19" t="e">
        <f>#REF!</f>
        <v>#REF!</v>
      </c>
      <c r="Z57" s="20">
        <f t="shared" si="5"/>
        <v>6.046E-2</v>
      </c>
      <c r="AA57" s="10">
        <f t="shared" si="6"/>
        <v>7.7325564871394059</v>
      </c>
      <c r="AB57" s="15">
        <f t="shared" si="42"/>
        <v>0.85922330097087374</v>
      </c>
      <c r="AC57" s="15" t="e">
        <f t="shared" si="42"/>
        <v>#REF!</v>
      </c>
      <c r="AD57" s="20">
        <f t="shared" si="7"/>
        <v>4.5422781271837942E-3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>
        <f>V57/J57</f>
        <v>0.99995228992620078</v>
      </c>
      <c r="AY57" s="15">
        <f t="shared" si="64"/>
        <v>0.85922330097087374</v>
      </c>
      <c r="AZ57" s="15">
        <f t="shared" si="10"/>
        <v>7.7325564871394059</v>
      </c>
      <c r="BA57" s="15"/>
      <c r="BB57" s="15"/>
      <c r="BC57" s="15"/>
      <c r="BD57" s="1">
        <f t="shared" si="12"/>
        <v>0</v>
      </c>
    </row>
    <row r="58" spans="1:56" ht="15.75" thickBot="1" x14ac:dyDescent="0.25">
      <c r="A58" s="48" t="s">
        <v>5</v>
      </c>
      <c r="B58" s="8" t="s">
        <v>26</v>
      </c>
      <c r="C58" s="39">
        <v>22</v>
      </c>
      <c r="D58" s="55">
        <v>2215.75</v>
      </c>
      <c r="E58" s="55">
        <v>42.912399999999998</v>
      </c>
      <c r="F58" s="55">
        <v>44.7149</v>
      </c>
      <c r="G58" s="55">
        <v>45.951000000000001</v>
      </c>
      <c r="H58" s="55">
        <v>0.99633459999999996</v>
      </c>
      <c r="I58" s="55">
        <v>0.99585440000000003</v>
      </c>
      <c r="J58" s="55">
        <v>0.99700719999999998</v>
      </c>
      <c r="K58" s="55">
        <v>224.66399999999999</v>
      </c>
      <c r="L58" s="55">
        <v>0.17899999999999999</v>
      </c>
      <c r="M58" s="10" t="e">
        <f>#REF!</f>
        <v>#REF!</v>
      </c>
      <c r="N58" s="11">
        <f t="shared" si="0"/>
        <v>6.2406666666666666E-2</v>
      </c>
      <c r="P58" s="60">
        <v>2225.65</v>
      </c>
      <c r="Q58" s="60">
        <v>42.921999999999997</v>
      </c>
      <c r="R58" s="60">
        <v>44.675800000000002</v>
      </c>
      <c r="S58" s="60">
        <v>45.995100000000001</v>
      </c>
      <c r="T58" s="60">
        <v>0.99631709999999996</v>
      </c>
      <c r="U58" s="60">
        <v>0.99578370000000005</v>
      </c>
      <c r="V58" s="60">
        <v>0.99696010000000002</v>
      </c>
      <c r="W58" s="60">
        <v>385.52800000000002</v>
      </c>
      <c r="X58" s="60">
        <v>0.17599999999999999</v>
      </c>
      <c r="Y58" s="10" t="e">
        <f>#REF!</f>
        <v>#REF!</v>
      </c>
      <c r="Z58" s="11">
        <f t="shared" si="5"/>
        <v>0.10709111111111112</v>
      </c>
      <c r="AA58" s="10">
        <f t="shared" si="6"/>
        <v>1.7160203681942814</v>
      </c>
      <c r="AB58" s="10">
        <f>X58/L58</f>
        <v>0.98324022346368711</v>
      </c>
      <c r="AC58" s="10" t="e">
        <f>Y58/M58</f>
        <v>#REF!</v>
      </c>
      <c r="AD58" s="11">
        <f t="shared" si="7"/>
        <v>4.468013088119188E-3</v>
      </c>
      <c r="AE58" s="40"/>
      <c r="AF58" s="25">
        <f t="shared" ref="AF58:AK58" si="65">bdRateExtend($D58:$D62,E58:E62,$P58:$P62,Q58:Q62)</f>
        <v>2.9325813475729046E-3</v>
      </c>
      <c r="AG58" s="30">
        <f t="shared" si="65"/>
        <v>6.4874652210304973E-3</v>
      </c>
      <c r="AH58" s="31">
        <f t="shared" si="65"/>
        <v>-4.3181244736715252E-3</v>
      </c>
      <c r="AI58" s="25">
        <f t="shared" si="65"/>
        <v>-3.3861123287851624E-3</v>
      </c>
      <c r="AJ58" s="30">
        <f t="shared" si="65"/>
        <v>1.2405314036697535E-2</v>
      </c>
      <c r="AK58" s="30">
        <f t="shared" si="65"/>
        <v>6.3117596033253065E-3</v>
      </c>
      <c r="AL58" s="45"/>
      <c r="AM58" s="46"/>
      <c r="AN58" s="47"/>
      <c r="AO58" s="46"/>
      <c r="AP58" s="46"/>
      <c r="AQ58" s="47"/>
      <c r="AR58" s="30">
        <f t="shared" ref="AR58:AW58" si="66">bdrate($D58:$D61,E58:E61,$P58:$P61,Q58:Q61)</f>
        <v>2.7733441892685562E-3</v>
      </c>
      <c r="AS58" s="30">
        <f t="shared" si="66"/>
        <v>7.8008804320950365E-3</v>
      </c>
      <c r="AT58" s="31">
        <f t="shared" si="66"/>
        <v>-8.9948429793912377E-3</v>
      </c>
      <c r="AU58" s="25">
        <f t="shared" si="66"/>
        <v>-9.4774779023720779E-4</v>
      </c>
      <c r="AV58" s="30">
        <f t="shared" si="66"/>
        <v>-1.1777432419434963E-2</v>
      </c>
      <c r="AW58" s="31">
        <f t="shared" si="66"/>
        <v>1.9353121473681956E-2</v>
      </c>
      <c r="AX58" s="10"/>
      <c r="AY58" s="10"/>
      <c r="AZ58" s="10"/>
      <c r="BA58" s="10">
        <f>V58/J58</f>
        <v>0.99995275861598598</v>
      </c>
      <c r="BB58" s="10">
        <f t="shared" ref="BB58:BB61" si="67">X58/L58</f>
        <v>0.98324022346368711</v>
      </c>
      <c r="BC58" s="10">
        <f t="shared" si="11"/>
        <v>1.7160203681942814</v>
      </c>
      <c r="BD58" s="1">
        <f t="shared" si="12"/>
        <v>0</v>
      </c>
    </row>
    <row r="59" spans="1:56" ht="15.75" thickBot="1" x14ac:dyDescent="0.25">
      <c r="A59" s="13" t="s">
        <v>21</v>
      </c>
      <c r="B59" s="13"/>
      <c r="C59" s="43">
        <v>27</v>
      </c>
      <c r="D59" s="55">
        <v>1171.8</v>
      </c>
      <c r="E59" s="55">
        <v>39.658700000000003</v>
      </c>
      <c r="F59" s="55">
        <v>42.077500000000001</v>
      </c>
      <c r="G59" s="55">
        <v>43.197800000000001</v>
      </c>
      <c r="H59" s="55">
        <v>0.99103799999999997</v>
      </c>
      <c r="I59" s="55">
        <v>0.99221510000000002</v>
      </c>
      <c r="J59" s="55">
        <v>0.99417310000000003</v>
      </c>
      <c r="K59" s="55">
        <v>163.42699999999999</v>
      </c>
      <c r="L59" s="55">
        <v>0.14699999999999999</v>
      </c>
      <c r="M59" s="15" t="e">
        <f>#REF!</f>
        <v>#REF!</v>
      </c>
      <c r="N59" s="16">
        <f t="shared" si="0"/>
        <v>4.5396388888888889E-2</v>
      </c>
      <c r="P59" s="60">
        <v>1169.5999999999999</v>
      </c>
      <c r="Q59" s="60">
        <v>39.634500000000003</v>
      </c>
      <c r="R59" s="60">
        <v>42.072400000000002</v>
      </c>
      <c r="S59" s="60">
        <v>43.246000000000002</v>
      </c>
      <c r="T59" s="60">
        <v>0.99098799999999998</v>
      </c>
      <c r="U59" s="60">
        <v>0.99228570000000005</v>
      </c>
      <c r="V59" s="60">
        <v>0.9942339</v>
      </c>
      <c r="W59" s="60">
        <v>358.28300000000002</v>
      </c>
      <c r="X59" s="60">
        <v>0.16200000000000001</v>
      </c>
      <c r="Y59" s="15" t="e">
        <f>#REF!</f>
        <v>#REF!</v>
      </c>
      <c r="Z59" s="16">
        <f t="shared" si="5"/>
        <v>9.9523055555555559E-2</v>
      </c>
      <c r="AA59" s="10">
        <f t="shared" si="6"/>
        <v>2.1923121638407363</v>
      </c>
      <c r="AB59" s="15">
        <f t="shared" ref="AB59:AC77" si="68">X59/L59</f>
        <v>1.1020408163265307</v>
      </c>
      <c r="AC59" s="15" t="e">
        <f t="shared" si="68"/>
        <v>#REF!</v>
      </c>
      <c r="AD59" s="16">
        <f t="shared" si="7"/>
        <v>1.877453490356755E-3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2.750618845550612E-3</v>
      </c>
      <c r="AM59" s="21">
        <f>bdrate($D59:$D62,F59:F62,$P59:$P62,R59:R62)</f>
        <v>9.6166367526313579E-3</v>
      </c>
      <c r="AN59" s="36">
        <f t="shared" ref="AN59" si="69">bdrate($D59:$D62,G59:G62,$P59:$P62,S59:S62)</f>
        <v>-1.5285873767783009E-3</v>
      </c>
      <c r="AO59" s="26">
        <f>bdrate($D59:$D62,H59:H62,$P59:$P62,T59:T62)</f>
        <v>-4.2781673711209667E-3</v>
      </c>
      <c r="AP59" s="21">
        <f>bdrate($D59:$D62,I59:I62,$P59:$P62,U59:U62)</f>
        <v>1.206138007181079E-2</v>
      </c>
      <c r="AQ59" s="36">
        <f>bdrate($D59:$D62,J59:J62,$P59:$P62,V59:V62)</f>
        <v>9.0993043826357312E-3</v>
      </c>
      <c r="AR59" s="21"/>
      <c r="AS59" s="21"/>
      <c r="AT59" s="36"/>
      <c r="AU59" s="26"/>
      <c r="AV59" s="21"/>
      <c r="AW59" s="36"/>
      <c r="AX59" s="15">
        <f>V59/J59</f>
        <v>1.000061156351947</v>
      </c>
      <c r="AY59" s="15">
        <f t="shared" ref="AY59:AY62" si="70">X59/L59</f>
        <v>1.1020408163265307</v>
      </c>
      <c r="AZ59" s="15">
        <f t="shared" si="10"/>
        <v>2.1923121638407363</v>
      </c>
      <c r="BA59" s="15">
        <f>V59/J59</f>
        <v>1.000061156351947</v>
      </c>
      <c r="BB59" s="15">
        <f t="shared" si="67"/>
        <v>1.1020408163265307</v>
      </c>
      <c r="BC59" s="15">
        <f t="shared" si="11"/>
        <v>2.1923121638407363</v>
      </c>
      <c r="BD59" s="1">
        <f t="shared" si="12"/>
        <v>0</v>
      </c>
    </row>
    <row r="60" spans="1:56" ht="15.75" thickBot="1" x14ac:dyDescent="0.25">
      <c r="A60" s="13"/>
      <c r="B60" s="13"/>
      <c r="C60" s="43">
        <v>32</v>
      </c>
      <c r="D60" s="55">
        <v>621.70000000000005</v>
      </c>
      <c r="E60" s="55">
        <v>36.715200000000003</v>
      </c>
      <c r="F60" s="55">
        <v>39.935600000000001</v>
      </c>
      <c r="G60" s="55">
        <v>40.706299999999999</v>
      </c>
      <c r="H60" s="55">
        <v>0.98001059999999995</v>
      </c>
      <c r="I60" s="55">
        <v>0.986402</v>
      </c>
      <c r="J60" s="55">
        <v>0.98925470000000004</v>
      </c>
      <c r="K60" s="55">
        <v>110.633</v>
      </c>
      <c r="L60" s="55">
        <v>0.126</v>
      </c>
      <c r="M60" s="15" t="e">
        <f>#REF!</f>
        <v>#REF!</v>
      </c>
      <c r="N60" s="16">
        <f t="shared" si="0"/>
        <v>3.0731388888888888E-2</v>
      </c>
      <c r="P60" s="60">
        <v>625.35</v>
      </c>
      <c r="Q60" s="60">
        <v>36.734900000000003</v>
      </c>
      <c r="R60" s="60">
        <v>39.898499999999999</v>
      </c>
      <c r="S60" s="60">
        <v>40.759399999999999</v>
      </c>
      <c r="T60" s="60">
        <v>0.98023649999999996</v>
      </c>
      <c r="U60" s="60">
        <v>0.98685420000000001</v>
      </c>
      <c r="V60" s="60">
        <v>0.98894660000000001</v>
      </c>
      <c r="W60" s="60">
        <v>298.81299999999999</v>
      </c>
      <c r="X60" s="60">
        <v>0.11799999999999999</v>
      </c>
      <c r="Y60" s="15" t="e">
        <f>#REF!</f>
        <v>#REF!</v>
      </c>
      <c r="Z60" s="16">
        <f t="shared" si="5"/>
        <v>8.3003611111111111E-2</v>
      </c>
      <c r="AA60" s="10">
        <f t="shared" si="6"/>
        <v>2.7009391411242576</v>
      </c>
      <c r="AB60" s="15">
        <f t="shared" si="68"/>
        <v>0.9365079365079364</v>
      </c>
      <c r="AC60" s="15" t="e">
        <f t="shared" si="68"/>
        <v>#REF!</v>
      </c>
      <c r="AD60" s="16">
        <f t="shared" si="7"/>
        <v>5.870998874054973E-3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>
        <f>V60/J60</f>
        <v>0.99968855341298857</v>
      </c>
      <c r="AY60" s="15">
        <f t="shared" si="70"/>
        <v>0.9365079365079364</v>
      </c>
      <c r="AZ60" s="15">
        <f t="shared" si="10"/>
        <v>2.7009391411242576</v>
      </c>
      <c r="BA60" s="15">
        <f>V60/J60</f>
        <v>0.99968855341298857</v>
      </c>
      <c r="BB60" s="15">
        <f t="shared" si="67"/>
        <v>0.9365079365079364</v>
      </c>
      <c r="BC60" s="15">
        <f t="shared" si="11"/>
        <v>2.7009391411242576</v>
      </c>
      <c r="BD60" s="1">
        <f t="shared" si="12"/>
        <v>0</v>
      </c>
    </row>
    <row r="61" spans="1:56" ht="15.75" thickBot="1" x14ac:dyDescent="0.25">
      <c r="A61" s="13"/>
      <c r="B61" s="13"/>
      <c r="C61" s="43">
        <v>37</v>
      </c>
      <c r="D61" s="55">
        <v>340.6</v>
      </c>
      <c r="E61" s="55">
        <v>34.0884</v>
      </c>
      <c r="F61" s="55">
        <v>38.441000000000003</v>
      </c>
      <c r="G61" s="55">
        <v>38.752699999999997</v>
      </c>
      <c r="H61" s="55">
        <v>0.96111040000000003</v>
      </c>
      <c r="I61" s="55">
        <v>0.98142149999999995</v>
      </c>
      <c r="J61" s="55">
        <v>0.98236950000000001</v>
      </c>
      <c r="K61" s="55">
        <v>64.692999999999998</v>
      </c>
      <c r="L61" s="55">
        <v>0.11</v>
      </c>
      <c r="M61" s="15" t="e">
        <f>#REF!</f>
        <v>#REF!</v>
      </c>
      <c r="N61" s="16">
        <f t="shared" si="0"/>
        <v>1.7970277777777776E-2</v>
      </c>
      <c r="P61" s="60">
        <v>343.5</v>
      </c>
      <c r="Q61" s="60">
        <v>34.1004</v>
      </c>
      <c r="R61" s="60">
        <v>38.448700000000002</v>
      </c>
      <c r="S61" s="60">
        <v>38.763800000000003</v>
      </c>
      <c r="T61" s="60">
        <v>0.96139949999999996</v>
      </c>
      <c r="U61" s="60">
        <v>0.98073239999999995</v>
      </c>
      <c r="V61" s="60">
        <v>0.98233490000000001</v>
      </c>
      <c r="W61" s="60">
        <v>214.82499999999999</v>
      </c>
      <c r="X61" s="60">
        <v>0.11</v>
      </c>
      <c r="Y61" s="15" t="e">
        <f>#REF!</f>
        <v>#REF!</v>
      </c>
      <c r="Z61" s="16">
        <f t="shared" si="5"/>
        <v>5.9673611111111108E-2</v>
      </c>
      <c r="AA61" s="10">
        <f t="shared" si="6"/>
        <v>3.3206838452382792</v>
      </c>
      <c r="AB61" s="15">
        <f t="shared" si="68"/>
        <v>1</v>
      </c>
      <c r="AC61" s="15" t="e">
        <f t="shared" si="68"/>
        <v>#REF!</v>
      </c>
      <c r="AD61" s="16">
        <f t="shared" si="7"/>
        <v>8.5143863769817293E-3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>
        <f>V61/J61</f>
        <v>0.99996477903680847</v>
      </c>
      <c r="AY61" s="15">
        <f t="shared" si="70"/>
        <v>1</v>
      </c>
      <c r="AZ61" s="15">
        <f t="shared" si="10"/>
        <v>3.3206838452382792</v>
      </c>
      <c r="BA61" s="15">
        <f>V61/J61</f>
        <v>0.99996477903680847</v>
      </c>
      <c r="BB61" s="15">
        <f t="shared" si="67"/>
        <v>1</v>
      </c>
      <c r="BC61" s="15">
        <f t="shared" si="11"/>
        <v>3.3206838452382792</v>
      </c>
      <c r="BD61" s="1">
        <f t="shared" si="12"/>
        <v>0</v>
      </c>
    </row>
    <row r="62" spans="1:56" ht="15.75" thickBot="1" x14ac:dyDescent="0.25">
      <c r="A62" s="13"/>
      <c r="B62" s="17"/>
      <c r="C62" s="44">
        <v>42</v>
      </c>
      <c r="D62" s="55">
        <v>192.3</v>
      </c>
      <c r="E62" s="55">
        <v>31.501200000000001</v>
      </c>
      <c r="F62" s="55">
        <v>36.821300000000001</v>
      </c>
      <c r="G62" s="55">
        <v>36.991399999999999</v>
      </c>
      <c r="H62" s="55">
        <v>0.93006290000000003</v>
      </c>
      <c r="I62" s="55">
        <v>0.97022640000000004</v>
      </c>
      <c r="J62" s="55">
        <v>0.97223250000000005</v>
      </c>
      <c r="K62" s="55">
        <v>36.164999999999999</v>
      </c>
      <c r="L62" s="55">
        <v>0.10199999999999999</v>
      </c>
      <c r="M62" s="19" t="e">
        <f>#REF!</f>
        <v>#REF!</v>
      </c>
      <c r="N62" s="20">
        <f t="shared" si="0"/>
        <v>1.0045833333333334E-2</v>
      </c>
      <c r="P62" s="60">
        <v>189.6</v>
      </c>
      <c r="Q62" s="60">
        <v>31.448699999999999</v>
      </c>
      <c r="R62" s="60">
        <v>36.775799999999997</v>
      </c>
      <c r="S62" s="60">
        <v>36.865400000000001</v>
      </c>
      <c r="T62" s="60">
        <v>0.93050860000000002</v>
      </c>
      <c r="U62" s="60">
        <v>0.97121480000000004</v>
      </c>
      <c r="V62" s="60">
        <v>0.97264890000000004</v>
      </c>
      <c r="W62" s="60">
        <v>289.86500000000001</v>
      </c>
      <c r="X62" s="60">
        <v>0.1</v>
      </c>
      <c r="Y62" s="19" t="e">
        <f>#REF!</f>
        <v>#REF!</v>
      </c>
      <c r="Z62" s="20">
        <f t="shared" si="5"/>
        <v>8.0518055555555565E-2</v>
      </c>
      <c r="AA62" s="10">
        <f t="shared" si="6"/>
        <v>8.0150698188856637</v>
      </c>
      <c r="AB62" s="15">
        <f t="shared" si="68"/>
        <v>0.98039215686274517</v>
      </c>
      <c r="AC62" s="15" t="e">
        <f t="shared" si="68"/>
        <v>#REF!</v>
      </c>
      <c r="AD62" s="20">
        <f t="shared" si="7"/>
        <v>1.4040561622464986E-2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>
        <f>V62/J62</f>
        <v>1.0004282926151924</v>
      </c>
      <c r="AY62" s="15">
        <f t="shared" si="70"/>
        <v>0.98039215686274517</v>
      </c>
      <c r="AZ62" s="15">
        <f t="shared" si="10"/>
        <v>8.0150698188856637</v>
      </c>
      <c r="BA62" s="15"/>
      <c r="BB62" s="15"/>
      <c r="BC62" s="15"/>
      <c r="BD62" s="1">
        <f t="shared" si="12"/>
        <v>0</v>
      </c>
    </row>
    <row r="63" spans="1:56" ht="15.75" thickBot="1" x14ac:dyDescent="0.25">
      <c r="A63" s="13"/>
      <c r="B63" s="8" t="s">
        <v>17</v>
      </c>
      <c r="C63" s="39">
        <v>22</v>
      </c>
      <c r="D63" s="55">
        <v>3334.08</v>
      </c>
      <c r="E63" s="55">
        <v>42.403500000000001</v>
      </c>
      <c r="F63" s="55">
        <v>44.073399999999999</v>
      </c>
      <c r="G63" s="55">
        <v>45.617400000000004</v>
      </c>
      <c r="H63" s="55">
        <v>0.99738510000000002</v>
      </c>
      <c r="I63" s="55">
        <v>0.99479550000000005</v>
      </c>
      <c r="J63" s="55">
        <v>0.99610500000000002</v>
      </c>
      <c r="K63" s="55">
        <v>241.20699999999999</v>
      </c>
      <c r="L63" s="55">
        <v>0.153</v>
      </c>
      <c r="M63" s="10" t="e">
        <f>#REF!</f>
        <v>#REF!</v>
      </c>
      <c r="N63" s="11">
        <f t="shared" si="0"/>
        <v>6.7001944444444447E-2</v>
      </c>
      <c r="P63" s="60">
        <v>3329.04</v>
      </c>
      <c r="Q63" s="60">
        <v>42.386499999999998</v>
      </c>
      <c r="R63" s="60">
        <v>44.126399999999997</v>
      </c>
      <c r="S63" s="60">
        <v>45.629399999999997</v>
      </c>
      <c r="T63" s="60">
        <v>0.99738769999999999</v>
      </c>
      <c r="U63" s="60">
        <v>0.99476909999999996</v>
      </c>
      <c r="V63" s="60">
        <v>0.99602000000000002</v>
      </c>
      <c r="W63" s="60">
        <v>489.73899999999998</v>
      </c>
      <c r="X63" s="60">
        <v>0.17199999999999999</v>
      </c>
      <c r="Y63" s="10" t="e">
        <f>#REF!</f>
        <v>#REF!</v>
      </c>
      <c r="Z63" s="11">
        <f t="shared" si="5"/>
        <v>0.1360386111111111</v>
      </c>
      <c r="AA63" s="10">
        <f t="shared" si="6"/>
        <v>2.0303681070615696</v>
      </c>
      <c r="AB63" s="15">
        <f t="shared" si="68"/>
        <v>1.1241830065359477</v>
      </c>
      <c r="AC63" s="15" t="e">
        <f t="shared" si="68"/>
        <v>#REF!</v>
      </c>
      <c r="AD63" s="11">
        <f t="shared" si="7"/>
        <v>1.511661387849111E-3</v>
      </c>
      <c r="AE63" s="12"/>
      <c r="AF63" s="25">
        <f t="shared" ref="AF63:AK63" si="71">bdRateExtend($D63:$D67,E63:E67,$P63:$P67,Q63:Q67)</f>
        <v>-3.7511272386758776E-4</v>
      </c>
      <c r="AG63" s="30">
        <f t="shared" si="71"/>
        <v>-7.9013346043721455E-4</v>
      </c>
      <c r="AH63" s="31">
        <f t="shared" si="71"/>
        <v>-1.8831222814038595E-3</v>
      </c>
      <c r="AI63" s="25">
        <f t="shared" si="71"/>
        <v>6.6616815859976697E-4</v>
      </c>
      <c r="AJ63" s="30">
        <f t="shared" si="71"/>
        <v>1.9213995809033158E-3</v>
      </c>
      <c r="AK63" s="30">
        <f t="shared" si="71"/>
        <v>8.2173514538785852E-4</v>
      </c>
      <c r="AL63" s="26"/>
      <c r="AM63" s="21"/>
      <c r="AN63" s="36"/>
      <c r="AO63" s="21"/>
      <c r="AP63" s="21"/>
      <c r="AQ63" s="36"/>
      <c r="AR63" s="30">
        <f t="shared" ref="AR63:AW63" si="72">bdrate($D63:$D66,E63:E66,$P63:$P66,Q63:Q66)</f>
        <v>-5.2590557424025963E-4</v>
      </c>
      <c r="AS63" s="30">
        <f t="shared" si="72"/>
        <v>9.7069241747189672E-3</v>
      </c>
      <c r="AT63" s="31">
        <f t="shared" si="72"/>
        <v>-3.6975264942530339E-3</v>
      </c>
      <c r="AU63" s="25">
        <f t="shared" si="72"/>
        <v>1.9833877215678086E-3</v>
      </c>
      <c r="AV63" s="30">
        <f t="shared" si="72"/>
        <v>-3.2657438473387979E-3</v>
      </c>
      <c r="AW63" s="31">
        <f t="shared" si="72"/>
        <v>-7.3956348981608633E-3</v>
      </c>
      <c r="AX63" s="15"/>
      <c r="AY63" s="15"/>
      <c r="AZ63" s="15"/>
      <c r="BA63" s="15">
        <f>V63/J63</f>
        <v>0.99991466763042047</v>
      </c>
      <c r="BB63" s="15">
        <f t="shared" ref="BB63:BB66" si="73">X63/L63</f>
        <v>1.1241830065359477</v>
      </c>
      <c r="BC63" s="15">
        <f t="shared" si="11"/>
        <v>2.0303681070615691</v>
      </c>
      <c r="BD63" s="1">
        <f t="shared" si="12"/>
        <v>1</v>
      </c>
    </row>
    <row r="64" spans="1:56" ht="11.25" customHeight="1" thickBot="1" x14ac:dyDescent="0.25">
      <c r="A64" s="13"/>
      <c r="B64" s="13"/>
      <c r="C64" s="43">
        <v>27</v>
      </c>
      <c r="D64" s="55">
        <v>2040.36</v>
      </c>
      <c r="E64" s="55">
        <v>39.388199999999998</v>
      </c>
      <c r="F64" s="55">
        <v>41.6599</v>
      </c>
      <c r="G64" s="55">
        <v>42.754100000000001</v>
      </c>
      <c r="H64" s="55">
        <v>0.99521749999999998</v>
      </c>
      <c r="I64" s="55">
        <v>0.98889590000000005</v>
      </c>
      <c r="J64" s="55">
        <v>0.99095129999999998</v>
      </c>
      <c r="K64" s="55">
        <v>160.82</v>
      </c>
      <c r="L64" s="55">
        <v>0.13600000000000001</v>
      </c>
      <c r="M64" s="15" t="e">
        <f>#REF!</f>
        <v>#REF!</v>
      </c>
      <c r="N64" s="16">
        <f t="shared" si="0"/>
        <v>4.4672222222222217E-2</v>
      </c>
      <c r="P64" s="60">
        <v>2047.38</v>
      </c>
      <c r="Q64" s="60">
        <v>39.418900000000001</v>
      </c>
      <c r="R64" s="60">
        <v>41.579700000000003</v>
      </c>
      <c r="S64" s="60">
        <v>42.8292</v>
      </c>
      <c r="T64" s="60">
        <v>0.99523280000000003</v>
      </c>
      <c r="U64" s="60">
        <v>0.98865190000000003</v>
      </c>
      <c r="V64" s="60">
        <v>0.99126700000000001</v>
      </c>
      <c r="W64" s="60">
        <v>393.483</v>
      </c>
      <c r="X64" s="60">
        <v>0.161</v>
      </c>
      <c r="Y64" s="15" t="e">
        <f>#REF!</f>
        <v>#REF!</v>
      </c>
      <c r="Z64" s="16">
        <f t="shared" si="5"/>
        <v>0.10930083333333333</v>
      </c>
      <c r="AA64" s="10">
        <f t="shared" si="6"/>
        <v>2.4467292625295363</v>
      </c>
      <c r="AB64" s="15">
        <f t="shared" si="68"/>
        <v>1.1838235294117647</v>
      </c>
      <c r="AC64" s="15" t="e">
        <f t="shared" si="68"/>
        <v>#REF!</v>
      </c>
      <c r="AD64" s="16">
        <f t="shared" si="7"/>
        <v>3.4405693112981089E-3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-3.1983444629968272E-4</v>
      </c>
      <c r="AM64" s="21">
        <f>bdrate($D64:$D67,F64:F67,$P64:$P67,R64:R67)</f>
        <v>-5.3301829065425244E-3</v>
      </c>
      <c r="AN64" s="36">
        <f t="shared" ref="AN64" si="74">bdrate($D64:$D67,G64:G67,$P64:$P67,S64:S67)</f>
        <v>2.5678016422381322E-3</v>
      </c>
      <c r="AO64" s="26">
        <f>bdrate($D64:$D67,H64:H67,$P64:$P67,T64:T67)</f>
        <v>7.3750599578148446E-4</v>
      </c>
      <c r="AP64" s="21">
        <f>bdrate($D64:$D67,I64:I67,$P64:$P67,U64:U67)</f>
        <v>-2.8146814097327333E-3</v>
      </c>
      <c r="AQ64" s="36">
        <f>bdrate($D64:$D67,J64:J67,$P64:$P67,V64:V67)</f>
        <v>2.7984921512491656E-3</v>
      </c>
      <c r="AR64" s="21"/>
      <c r="AS64" s="21"/>
      <c r="AT64" s="36"/>
      <c r="AU64" s="26"/>
      <c r="AV64" s="21"/>
      <c r="AW64" s="36"/>
      <c r="AX64" s="15">
        <f>V64/J64</f>
        <v>1.0003185827598189</v>
      </c>
      <c r="AY64" s="15">
        <f t="shared" ref="AY64:AY67" si="75">X64/L64</f>
        <v>1.1838235294117647</v>
      </c>
      <c r="AZ64" s="15">
        <f t="shared" si="10"/>
        <v>2.4467292625295363</v>
      </c>
      <c r="BA64" s="15">
        <f>V64/J64</f>
        <v>1.0003185827598189</v>
      </c>
      <c r="BB64" s="15">
        <f t="shared" si="73"/>
        <v>1.1838235294117647</v>
      </c>
      <c r="BC64" s="15">
        <f t="shared" si="11"/>
        <v>2.4467292625295363</v>
      </c>
      <c r="BD64" s="1">
        <f t="shared" si="12"/>
        <v>0</v>
      </c>
    </row>
    <row r="65" spans="1:56" ht="15.75" thickBot="1" x14ac:dyDescent="0.25">
      <c r="A65" s="13"/>
      <c r="B65" s="13"/>
      <c r="C65" s="43">
        <v>32</v>
      </c>
      <c r="D65" s="55">
        <v>1226.0999999999999</v>
      </c>
      <c r="E65" s="55">
        <v>36.193600000000004</v>
      </c>
      <c r="F65" s="55">
        <v>39.529200000000003</v>
      </c>
      <c r="G65" s="55">
        <v>40.335599999999999</v>
      </c>
      <c r="H65" s="55">
        <v>0.99070530000000001</v>
      </c>
      <c r="I65" s="55">
        <v>0.9776049</v>
      </c>
      <c r="J65" s="55">
        <v>0.98150090000000001</v>
      </c>
      <c r="K65" s="55">
        <v>119.47799999999999</v>
      </c>
      <c r="L65" s="55">
        <v>0.13200000000000001</v>
      </c>
      <c r="M65" s="15" t="e">
        <f>#REF!</f>
        <v>#REF!</v>
      </c>
      <c r="N65" s="16">
        <f t="shared" si="0"/>
        <v>3.3188333333333334E-2</v>
      </c>
      <c r="P65" s="60">
        <v>1228.2</v>
      </c>
      <c r="Q65" s="60">
        <v>36.208799999999997</v>
      </c>
      <c r="R65" s="60">
        <v>39.488999999999997</v>
      </c>
      <c r="S65" s="60">
        <v>40.335599999999999</v>
      </c>
      <c r="T65" s="60">
        <v>0.99070290000000005</v>
      </c>
      <c r="U65" s="60">
        <v>0.97820229999999997</v>
      </c>
      <c r="V65" s="60">
        <v>0.98174539999999999</v>
      </c>
      <c r="W65" s="60">
        <v>316.38</v>
      </c>
      <c r="X65" s="60">
        <v>0.14299999999999999</v>
      </c>
      <c r="Y65" s="15" t="e">
        <f>#REF!</f>
        <v>#REF!</v>
      </c>
      <c r="Z65" s="16">
        <f t="shared" si="5"/>
        <v>8.7883333333333327E-2</v>
      </c>
      <c r="AA65" s="10">
        <f t="shared" si="6"/>
        <v>2.6480188821372974</v>
      </c>
      <c r="AB65" s="15">
        <f t="shared" si="68"/>
        <v>1.0833333333333333</v>
      </c>
      <c r="AC65" s="15" t="e">
        <f t="shared" si="68"/>
        <v>#REF!</v>
      </c>
      <c r="AD65" s="16">
        <f t="shared" si="7"/>
        <v>1.7127477367263164E-3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>
        <f>V65/J65</f>
        <v>1.0002491082789633</v>
      </c>
      <c r="AY65" s="15">
        <f t="shared" si="75"/>
        <v>1.0833333333333333</v>
      </c>
      <c r="AZ65" s="15">
        <f t="shared" si="10"/>
        <v>2.648018882137297</v>
      </c>
      <c r="BA65" s="15">
        <f>V65/J65</f>
        <v>1.0002491082789633</v>
      </c>
      <c r="BB65" s="15">
        <f t="shared" si="73"/>
        <v>1.0833333333333333</v>
      </c>
      <c r="BC65" s="15">
        <f t="shared" si="11"/>
        <v>2.648018882137297</v>
      </c>
      <c r="BD65" s="1">
        <f t="shared" si="12"/>
        <v>0</v>
      </c>
    </row>
    <row r="66" spans="1:56" ht="15.75" thickBot="1" x14ac:dyDescent="0.25">
      <c r="A66" s="13"/>
      <c r="B66" s="13"/>
      <c r="C66" s="43">
        <v>37</v>
      </c>
      <c r="D66" s="55">
        <v>688.32</v>
      </c>
      <c r="E66" s="55">
        <v>32.836399999999998</v>
      </c>
      <c r="F66" s="55">
        <v>38.036499999999997</v>
      </c>
      <c r="G66" s="55">
        <v>38.817500000000003</v>
      </c>
      <c r="H66" s="55">
        <v>0.98012889999999997</v>
      </c>
      <c r="I66" s="55">
        <v>0.96710779999999996</v>
      </c>
      <c r="J66" s="55">
        <v>0.97156399999999998</v>
      </c>
      <c r="K66" s="55">
        <v>85.65</v>
      </c>
      <c r="L66" s="55">
        <v>0.113</v>
      </c>
      <c r="M66" s="15" t="e">
        <f>#REF!</f>
        <v>#REF!</v>
      </c>
      <c r="N66" s="16">
        <f t="shared" si="0"/>
        <v>2.3791666666666669E-2</v>
      </c>
      <c r="P66" s="60">
        <v>692.22</v>
      </c>
      <c r="Q66" s="60">
        <v>32.860900000000001</v>
      </c>
      <c r="R66" s="60">
        <v>38.117600000000003</v>
      </c>
      <c r="S66" s="60">
        <v>38.793399999999998</v>
      </c>
      <c r="T66" s="60">
        <v>0.98021259999999999</v>
      </c>
      <c r="U66" s="60">
        <v>0.96676620000000002</v>
      </c>
      <c r="V66" s="60">
        <v>0.97128930000000002</v>
      </c>
      <c r="W66" s="60">
        <v>267.32799999999997</v>
      </c>
      <c r="X66" s="60">
        <v>0.11799999999999999</v>
      </c>
      <c r="Y66" s="15" t="e">
        <f>#REF!</f>
        <v>#REF!</v>
      </c>
      <c r="Z66" s="16">
        <f t="shared" si="5"/>
        <v>7.425777777777777E-2</v>
      </c>
      <c r="AA66" s="10">
        <f t="shared" si="6"/>
        <v>3.1211675423234087</v>
      </c>
      <c r="AB66" s="15">
        <f t="shared" si="68"/>
        <v>1.0442477876106193</v>
      </c>
      <c r="AC66" s="15" t="e">
        <f t="shared" si="68"/>
        <v>#REF!</v>
      </c>
      <c r="AD66" s="16">
        <f t="shared" si="7"/>
        <v>5.6659693165968979E-3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>
        <f>V66/J66</f>
        <v>0.99971726000551697</v>
      </c>
      <c r="AY66" s="15">
        <f t="shared" si="75"/>
        <v>1.0442477876106193</v>
      </c>
      <c r="AZ66" s="15">
        <f t="shared" si="10"/>
        <v>3.1211675423234087</v>
      </c>
      <c r="BA66" s="15">
        <f>V66/J66</f>
        <v>0.99971726000551697</v>
      </c>
      <c r="BB66" s="15">
        <f t="shared" si="73"/>
        <v>1.0442477876106193</v>
      </c>
      <c r="BC66" s="15">
        <f t="shared" si="11"/>
        <v>3.1211675423234087</v>
      </c>
      <c r="BD66" s="1">
        <f t="shared" si="12"/>
        <v>0</v>
      </c>
    </row>
    <row r="67" spans="1:56" ht="15.75" thickBot="1" x14ac:dyDescent="0.25">
      <c r="A67" s="13"/>
      <c r="B67" s="17"/>
      <c r="C67" s="44">
        <v>42</v>
      </c>
      <c r="D67" s="55">
        <v>369.66</v>
      </c>
      <c r="E67" s="55">
        <v>29.7468</v>
      </c>
      <c r="F67" s="55">
        <v>36.665500000000002</v>
      </c>
      <c r="G67" s="55">
        <v>37.360999999999997</v>
      </c>
      <c r="H67" s="55">
        <v>0.95838120000000004</v>
      </c>
      <c r="I67" s="55">
        <v>0.95222689999999999</v>
      </c>
      <c r="J67" s="55">
        <v>0.95742649999999996</v>
      </c>
      <c r="K67" s="55">
        <v>53.756999999999998</v>
      </c>
      <c r="L67" s="55">
        <v>0.112</v>
      </c>
      <c r="M67" s="19" t="e">
        <f>#REF!</f>
        <v>#REF!</v>
      </c>
      <c r="N67" s="20">
        <f t="shared" ref="N67:N130" si="76">K67/3600</f>
        <v>1.49325E-2</v>
      </c>
      <c r="P67" s="60">
        <v>367.5</v>
      </c>
      <c r="Q67" s="60">
        <v>29.730499999999999</v>
      </c>
      <c r="R67" s="60">
        <v>36.783900000000003</v>
      </c>
      <c r="S67" s="60">
        <v>37.377200000000002</v>
      </c>
      <c r="T67" s="60">
        <v>0.95821650000000003</v>
      </c>
      <c r="U67" s="60">
        <v>0.952878</v>
      </c>
      <c r="V67" s="60">
        <v>0.95741869999999996</v>
      </c>
      <c r="W67" s="60">
        <v>283.98500000000001</v>
      </c>
      <c r="X67" s="60">
        <v>0.108</v>
      </c>
      <c r="Y67" s="19" t="e">
        <f>#REF!</f>
        <v>#REF!</v>
      </c>
      <c r="Z67" s="20">
        <f t="shared" si="5"/>
        <v>7.8884722222222231E-2</v>
      </c>
      <c r="AA67" s="10">
        <f t="shared" si="6"/>
        <v>5.2827538739140953</v>
      </c>
      <c r="AB67" s="15">
        <f t="shared" si="68"/>
        <v>0.9642857142857143</v>
      </c>
      <c r="AC67" s="15" t="e">
        <f t="shared" si="68"/>
        <v>#REF!</v>
      </c>
      <c r="AD67" s="20">
        <f t="shared" si="7"/>
        <v>5.8432072715468939E-3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>
        <f>V67/J67</f>
        <v>0.99999185316052985</v>
      </c>
      <c r="AY67" s="15">
        <f t="shared" si="75"/>
        <v>0.9642857142857143</v>
      </c>
      <c r="AZ67" s="15">
        <f t="shared" si="10"/>
        <v>5.2827538739140953</v>
      </c>
      <c r="BA67" s="15"/>
      <c r="BB67" s="15"/>
      <c r="BC67" s="15"/>
      <c r="BD67" s="1">
        <f t="shared" si="12"/>
        <v>0</v>
      </c>
    </row>
    <row r="68" spans="1:56" ht="15.75" thickBot="1" x14ac:dyDescent="0.25">
      <c r="A68" s="13"/>
      <c r="B68" s="8" t="s">
        <v>27</v>
      </c>
      <c r="C68" s="39">
        <v>22</v>
      </c>
      <c r="D68" s="55">
        <v>6051.55</v>
      </c>
      <c r="E68" s="55">
        <v>41.972099999999998</v>
      </c>
      <c r="F68" s="55">
        <v>42.4221</v>
      </c>
      <c r="G68" s="55">
        <v>43.165500000000002</v>
      </c>
      <c r="H68" s="55">
        <v>0.99839549999999999</v>
      </c>
      <c r="I68" s="55">
        <v>0.99463060000000003</v>
      </c>
      <c r="J68" s="55">
        <v>0.99574810000000002</v>
      </c>
      <c r="K68" s="55">
        <v>268.87900000000002</v>
      </c>
      <c r="L68" s="55">
        <v>0.19700000000000001</v>
      </c>
      <c r="M68" s="10" t="e">
        <f>#REF!</f>
        <v>#REF!</v>
      </c>
      <c r="N68" s="11">
        <f t="shared" si="76"/>
        <v>7.4688611111111122E-2</v>
      </c>
      <c r="P68" s="60">
        <v>6052.4</v>
      </c>
      <c r="Q68" s="60">
        <v>41.966500000000003</v>
      </c>
      <c r="R68" s="60">
        <v>42.4056</v>
      </c>
      <c r="S68" s="60">
        <v>43.184100000000001</v>
      </c>
      <c r="T68" s="60">
        <v>0.99838890000000002</v>
      </c>
      <c r="U68" s="60">
        <v>0.99465239999999999</v>
      </c>
      <c r="V68" s="60">
        <v>0.9957627</v>
      </c>
      <c r="W68" s="60">
        <v>438.75599999999997</v>
      </c>
      <c r="X68" s="60">
        <v>0.23499999999999999</v>
      </c>
      <c r="Y68" s="10" t="e">
        <f>#REF!</f>
        <v>#REF!</v>
      </c>
      <c r="Z68" s="11">
        <f t="shared" ref="Z68:Z131" si="77">W68/3600</f>
        <v>0.12187666666666666</v>
      </c>
      <c r="AA68" s="10">
        <f t="shared" ref="AA68:AA131" si="78">W68/K68</f>
        <v>1.6317972024590985</v>
      </c>
      <c r="AB68" s="15">
        <f t="shared" si="68"/>
        <v>1.1928934010152283</v>
      </c>
      <c r="AC68" s="15" t="e">
        <f t="shared" si="68"/>
        <v>#REF!</v>
      </c>
      <c r="AD68" s="11">
        <f t="shared" ref="AD68:AD131" si="79">ABS(P68-D68)/D68</f>
        <v>1.4045988217885571E-4</v>
      </c>
      <c r="AE68" s="12"/>
      <c r="AF68" s="25">
        <f t="shared" ref="AF68:AK68" si="80">bdRateExtend($D68:$D72,E68:E72,$P68:$P72,Q68:Q72)</f>
        <v>6.678286761963026E-4</v>
      </c>
      <c r="AG68" s="30">
        <f t="shared" si="80"/>
        <v>-5.4911980280839545E-3</v>
      </c>
      <c r="AH68" s="31">
        <f t="shared" si="80"/>
        <v>-7.3873484738340434E-4</v>
      </c>
      <c r="AI68" s="25">
        <f t="shared" si="80"/>
        <v>8.2017210783733585E-3</v>
      </c>
      <c r="AJ68" s="30">
        <f t="shared" si="80"/>
        <v>-2.8583941725850437E-3</v>
      </c>
      <c r="AK68" s="30">
        <f t="shared" si="80"/>
        <v>-1.1378737529776251E-2</v>
      </c>
      <c r="AL68" s="45"/>
      <c r="AM68" s="46"/>
      <c r="AN68" s="47"/>
      <c r="AO68" s="46"/>
      <c r="AP68" s="46"/>
      <c r="AQ68" s="47"/>
      <c r="AR68" s="30">
        <f t="shared" ref="AR68:AW68" si="81">bdrate($D68:$D71,E68:E71,$P68:$P71,Q68:Q71)</f>
        <v>2.3502537859587669E-4</v>
      </c>
      <c r="AS68" s="30">
        <f t="shared" si="81"/>
        <v>-3.9423728700744842E-3</v>
      </c>
      <c r="AT68" s="31">
        <f t="shared" si="81"/>
        <v>4.6595265897246829E-3</v>
      </c>
      <c r="AU68" s="25">
        <f t="shared" si="81"/>
        <v>2.7990397811699097E-3</v>
      </c>
      <c r="AV68" s="30">
        <f t="shared" si="81"/>
        <v>-7.1460919218614416E-3</v>
      </c>
      <c r="AW68" s="31">
        <f t="shared" si="81"/>
        <v>-8.8162377193079511E-4</v>
      </c>
      <c r="AX68" s="15"/>
      <c r="AY68" s="15"/>
      <c r="AZ68" s="15"/>
      <c r="BA68" s="15">
        <f>V68/J68</f>
        <v>1.0000146623428154</v>
      </c>
      <c r="BB68" s="15">
        <f t="shared" ref="BB68:BB71" si="82">X68/L68</f>
        <v>1.1928934010152283</v>
      </c>
      <c r="BC68" s="15">
        <f t="shared" ref="BC68:BC96" si="83">Z68/N68</f>
        <v>1.6317972024590983</v>
      </c>
      <c r="BD68" s="1">
        <f t="shared" ref="BD68:BD131" si="84">IF((((AF68&lt;0)*AND(AL69&lt;0)*AND(AR68&lt;0))),1,0)</f>
        <v>0</v>
      </c>
    </row>
    <row r="69" spans="1:56" ht="15.75" thickBot="1" x14ac:dyDescent="0.25">
      <c r="A69" s="13"/>
      <c r="B69" s="13"/>
      <c r="C69" s="43">
        <v>27</v>
      </c>
      <c r="D69" s="55">
        <v>3809.1</v>
      </c>
      <c r="E69" s="55">
        <v>37.473799999999997</v>
      </c>
      <c r="F69" s="55">
        <v>38.889400000000002</v>
      </c>
      <c r="G69" s="55">
        <v>39.601199999999999</v>
      </c>
      <c r="H69" s="55">
        <v>0.99542470000000005</v>
      </c>
      <c r="I69" s="55">
        <v>0.98677309999999996</v>
      </c>
      <c r="J69" s="55">
        <v>0.9893016</v>
      </c>
      <c r="K69" s="55">
        <v>225.577</v>
      </c>
      <c r="L69" s="55">
        <v>0.17199999999999999</v>
      </c>
      <c r="M69" s="15" t="e">
        <f>#REF!</f>
        <v>#REF!</v>
      </c>
      <c r="N69" s="16">
        <f t="shared" si="76"/>
        <v>6.2660277777777773E-2</v>
      </c>
      <c r="P69" s="60">
        <v>3813.3</v>
      </c>
      <c r="Q69" s="60">
        <v>37.4846</v>
      </c>
      <c r="R69" s="60">
        <v>38.930799999999998</v>
      </c>
      <c r="S69" s="60">
        <v>39.556899999999999</v>
      </c>
      <c r="T69" s="60">
        <v>0.99544630000000001</v>
      </c>
      <c r="U69" s="60">
        <v>0.98672530000000003</v>
      </c>
      <c r="V69" s="60">
        <v>0.98928320000000003</v>
      </c>
      <c r="W69" s="60">
        <v>402.57799999999997</v>
      </c>
      <c r="X69" s="60">
        <v>0.184</v>
      </c>
      <c r="Y69" s="15" t="e">
        <f>#REF!</f>
        <v>#REF!</v>
      </c>
      <c r="Z69" s="16">
        <f t="shared" si="77"/>
        <v>0.11182722222222222</v>
      </c>
      <c r="AA69" s="10">
        <f t="shared" si="78"/>
        <v>1.784658896962013</v>
      </c>
      <c r="AB69" s="15">
        <f t="shared" si="68"/>
        <v>1.0697674418604652</v>
      </c>
      <c r="AC69" s="15" t="e">
        <f t="shared" si="68"/>
        <v>#REF!</v>
      </c>
      <c r="AD69" s="16">
        <f t="shared" si="79"/>
        <v>1.1026226667717499E-3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8.1499133025220161E-4</v>
      </c>
      <c r="AM69" s="21">
        <f>bdrate($D69:$D72,F69:F72,$P69:$P72,R69:R72)</f>
        <v>-5.312454018603141E-3</v>
      </c>
      <c r="AN69" s="36">
        <f t="shared" ref="AN69" si="85">bdrate($D69:$D72,G69:G72,$P69:$P72,S69:S72)</f>
        <v>-2.671497632236508E-3</v>
      </c>
      <c r="AO69" s="26">
        <f>bdrate($D69:$D72,H69:H72,$P69:$P72,T69:T72)</f>
        <v>8.691750199802728E-3</v>
      </c>
      <c r="AP69" s="21">
        <f>bdrate($D69:$D72,I69:I72,$P69:$P72,U69:U72)</f>
        <v>-3.9854206930733937E-3</v>
      </c>
      <c r="AQ69" s="36">
        <f>bdrate($D69:$D72,J69:J72,$P69:$P72,V69:V72)</f>
        <v>-1.2359155864636873E-2</v>
      </c>
      <c r="AR69" s="21"/>
      <c r="AS69" s="21"/>
      <c r="AT69" s="36"/>
      <c r="AU69" s="26"/>
      <c r="AV69" s="21"/>
      <c r="AW69" s="36"/>
      <c r="AX69" s="15">
        <f>V69/J69</f>
        <v>0.99998140102067967</v>
      </c>
      <c r="AY69" s="15">
        <f t="shared" ref="AY69:AY72" si="86">X69/L69</f>
        <v>1.0697674418604652</v>
      </c>
      <c r="AZ69" s="15">
        <f t="shared" ref="AZ69:AZ97" si="87">Z69/N69</f>
        <v>1.784658896962013</v>
      </c>
      <c r="BA69" s="15">
        <f>V69/J69</f>
        <v>0.99998140102067967</v>
      </c>
      <c r="BB69" s="15">
        <f t="shared" si="82"/>
        <v>1.0697674418604652</v>
      </c>
      <c r="BC69" s="15">
        <f t="shared" si="83"/>
        <v>1.784658896962013</v>
      </c>
      <c r="BD69" s="1">
        <f t="shared" si="84"/>
        <v>0</v>
      </c>
    </row>
    <row r="70" spans="1:56" ht="15.75" thickBot="1" x14ac:dyDescent="0.25">
      <c r="A70" s="13"/>
      <c r="B70" s="13"/>
      <c r="C70" s="43">
        <v>32</v>
      </c>
      <c r="D70" s="55">
        <v>2298.5</v>
      </c>
      <c r="E70" s="55">
        <v>33.513500000000001</v>
      </c>
      <c r="F70" s="55">
        <v>36.528599999999997</v>
      </c>
      <c r="G70" s="55">
        <v>37.0032</v>
      </c>
      <c r="H70" s="55">
        <v>0.98829739999999999</v>
      </c>
      <c r="I70" s="55">
        <v>0.9742248</v>
      </c>
      <c r="J70" s="55">
        <v>0.97808459999999997</v>
      </c>
      <c r="K70" s="55">
        <v>186.024</v>
      </c>
      <c r="L70" s="55">
        <v>0.156</v>
      </c>
      <c r="M70" s="15" t="e">
        <f>#REF!</f>
        <v>#REF!</v>
      </c>
      <c r="N70" s="16">
        <f t="shared" si="76"/>
        <v>5.1673333333333335E-2</v>
      </c>
      <c r="P70" s="60">
        <v>2295.4499999999998</v>
      </c>
      <c r="Q70" s="60">
        <v>33.506399999999999</v>
      </c>
      <c r="R70" s="60">
        <v>36.521099999999997</v>
      </c>
      <c r="S70" s="60">
        <v>36.960299999999997</v>
      </c>
      <c r="T70" s="60">
        <v>0.98823340000000004</v>
      </c>
      <c r="U70" s="60">
        <v>0.97441259999999996</v>
      </c>
      <c r="V70" s="60">
        <v>0.9777884</v>
      </c>
      <c r="W70" s="60">
        <v>363.416</v>
      </c>
      <c r="X70" s="60">
        <v>0.17699999999999999</v>
      </c>
      <c r="Y70" s="15" t="e">
        <f>#REF!</f>
        <v>#REF!</v>
      </c>
      <c r="Z70" s="16">
        <f t="shared" si="77"/>
        <v>0.10094888888888889</v>
      </c>
      <c r="AA70" s="10">
        <f t="shared" si="78"/>
        <v>1.9535973852836193</v>
      </c>
      <c r="AB70" s="15">
        <f t="shared" si="68"/>
        <v>1.1346153846153846</v>
      </c>
      <c r="AC70" s="15" t="e">
        <f t="shared" si="68"/>
        <v>#REF!</v>
      </c>
      <c r="AD70" s="16">
        <f t="shared" si="79"/>
        <v>1.3269523602350149E-3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>
        <f>V70/J70</f>
        <v>0.99969716321062618</v>
      </c>
      <c r="AY70" s="15">
        <f t="shared" si="86"/>
        <v>1.1346153846153846</v>
      </c>
      <c r="AZ70" s="15">
        <f t="shared" si="87"/>
        <v>1.9535973852836193</v>
      </c>
      <c r="BA70" s="15">
        <f>V70/J70</f>
        <v>0.99969716321062618</v>
      </c>
      <c r="BB70" s="15">
        <f t="shared" si="82"/>
        <v>1.1346153846153846</v>
      </c>
      <c r="BC70" s="15">
        <f t="shared" si="83"/>
        <v>1.9535973852836193</v>
      </c>
      <c r="BD70" s="1">
        <f t="shared" si="84"/>
        <v>0</v>
      </c>
    </row>
    <row r="71" spans="1:56" ht="15.75" thickBot="1" x14ac:dyDescent="0.25">
      <c r="A71" s="13"/>
      <c r="B71" s="13"/>
      <c r="C71" s="43">
        <v>37</v>
      </c>
      <c r="D71" s="55">
        <v>1263.8499999999999</v>
      </c>
      <c r="E71" s="55">
        <v>29.745200000000001</v>
      </c>
      <c r="F71" s="55">
        <v>34.939</v>
      </c>
      <c r="G71" s="55">
        <v>35.2532</v>
      </c>
      <c r="H71" s="55">
        <v>0.97187959999999995</v>
      </c>
      <c r="I71" s="55">
        <v>0.96006659999999999</v>
      </c>
      <c r="J71" s="55">
        <v>0.96443080000000003</v>
      </c>
      <c r="K71" s="55">
        <v>146.05099999999999</v>
      </c>
      <c r="L71" s="55">
        <v>0.13500000000000001</v>
      </c>
      <c r="M71" s="15" t="e">
        <f>#REF!</f>
        <v>#REF!</v>
      </c>
      <c r="N71" s="16">
        <f t="shared" si="76"/>
        <v>4.0569722222222215E-2</v>
      </c>
      <c r="P71" s="60">
        <v>1267.1500000000001</v>
      </c>
      <c r="Q71" s="60">
        <v>29.744700000000002</v>
      </c>
      <c r="R71" s="60">
        <v>34.989800000000002</v>
      </c>
      <c r="S71" s="60">
        <v>35.315399999999997</v>
      </c>
      <c r="T71" s="60">
        <v>0.97170029999999996</v>
      </c>
      <c r="U71" s="60">
        <v>0.96073419999999998</v>
      </c>
      <c r="V71" s="60">
        <v>0.96552879999999996</v>
      </c>
      <c r="W71" s="60">
        <v>347.8</v>
      </c>
      <c r="X71" s="60">
        <v>0.192</v>
      </c>
      <c r="Y71" s="15" t="e">
        <f>#REF!</f>
        <v>#REF!</v>
      </c>
      <c r="Z71" s="16">
        <f t="shared" si="77"/>
        <v>9.661111111111112E-2</v>
      </c>
      <c r="AA71" s="10">
        <f t="shared" si="78"/>
        <v>2.3813599359127977</v>
      </c>
      <c r="AB71" s="15">
        <f t="shared" si="68"/>
        <v>1.4222222222222221</v>
      </c>
      <c r="AC71" s="15" t="e">
        <f t="shared" si="68"/>
        <v>#REF!</v>
      </c>
      <c r="AD71" s="16">
        <f t="shared" si="79"/>
        <v>2.6110693515845884E-3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>
        <f>V71/J71</f>
        <v>1.0011384953694966</v>
      </c>
      <c r="AY71" s="15">
        <f t="shared" si="86"/>
        <v>1.4222222222222221</v>
      </c>
      <c r="AZ71" s="15">
        <f t="shared" si="87"/>
        <v>2.3813599359127982</v>
      </c>
      <c r="BA71" s="15">
        <f>V71/J71</f>
        <v>1.0011384953694966</v>
      </c>
      <c r="BB71" s="15">
        <f t="shared" si="82"/>
        <v>1.4222222222222221</v>
      </c>
      <c r="BC71" s="15">
        <f t="shared" si="83"/>
        <v>2.3813599359127982</v>
      </c>
      <c r="BD71" s="1">
        <f t="shared" si="84"/>
        <v>0</v>
      </c>
    </row>
    <row r="72" spans="1:56" ht="15.75" thickBot="1" x14ac:dyDescent="0.25">
      <c r="A72" s="13"/>
      <c r="B72" s="17"/>
      <c r="C72" s="44">
        <v>42</v>
      </c>
      <c r="D72" s="55">
        <v>596.45000000000005</v>
      </c>
      <c r="E72" s="55">
        <v>26.267199999999999</v>
      </c>
      <c r="F72" s="55">
        <v>33.542099999999998</v>
      </c>
      <c r="G72" s="55">
        <v>33.760100000000001</v>
      </c>
      <c r="H72" s="55">
        <v>0.93422430000000001</v>
      </c>
      <c r="I72" s="55">
        <v>0.941994</v>
      </c>
      <c r="J72" s="55">
        <v>0.94790969999999997</v>
      </c>
      <c r="K72" s="55">
        <v>95.367999999999995</v>
      </c>
      <c r="L72" s="55">
        <v>0.129</v>
      </c>
      <c r="M72" s="19" t="e">
        <f>#REF!</f>
        <v>#REF!</v>
      </c>
      <c r="N72" s="20">
        <f t="shared" si="76"/>
        <v>2.6491111111111111E-2</v>
      </c>
      <c r="P72" s="60">
        <v>597.85</v>
      </c>
      <c r="Q72" s="60">
        <v>26.276700000000002</v>
      </c>
      <c r="R72" s="60">
        <v>33.532899999999998</v>
      </c>
      <c r="S72" s="60">
        <v>33.802700000000002</v>
      </c>
      <c r="T72" s="60">
        <v>0.93320360000000002</v>
      </c>
      <c r="U72" s="60">
        <v>0.94030769999999997</v>
      </c>
      <c r="V72" s="60">
        <v>0.94726900000000003</v>
      </c>
      <c r="W72" s="60">
        <v>319.64499999999998</v>
      </c>
      <c r="X72" s="60">
        <v>0.13300000000000001</v>
      </c>
      <c r="Y72" s="19" t="e">
        <f>#REF!</f>
        <v>#REF!</v>
      </c>
      <c r="Z72" s="20">
        <f t="shared" si="77"/>
        <v>8.8790277777777774E-2</v>
      </c>
      <c r="AA72" s="10">
        <f t="shared" si="78"/>
        <v>3.3517007801358947</v>
      </c>
      <c r="AB72" s="15">
        <f t="shared" si="68"/>
        <v>1.0310077519379846</v>
      </c>
      <c r="AC72" s="15" t="e">
        <f t="shared" si="68"/>
        <v>#REF!</v>
      </c>
      <c r="AD72" s="20">
        <f t="shared" si="79"/>
        <v>2.3472210579260242E-3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>
        <f>V72/J72</f>
        <v>0.99932409173574244</v>
      </c>
      <c r="AY72" s="15">
        <f t="shared" si="86"/>
        <v>1.0310077519379846</v>
      </c>
      <c r="AZ72" s="15">
        <f t="shared" si="87"/>
        <v>3.3517007801358947</v>
      </c>
      <c r="BA72" s="15"/>
      <c r="BB72" s="15"/>
      <c r="BC72" s="15"/>
      <c r="BD72" s="1">
        <f t="shared" si="84"/>
        <v>0</v>
      </c>
    </row>
    <row r="73" spans="1:56" ht="15.75" thickBot="1" x14ac:dyDescent="0.25">
      <c r="A73" s="13"/>
      <c r="B73" s="8" t="s">
        <v>28</v>
      </c>
      <c r="C73" s="39">
        <v>22</v>
      </c>
      <c r="D73" s="55">
        <v>2099.85</v>
      </c>
      <c r="E73" s="55">
        <v>43.209299999999999</v>
      </c>
      <c r="F73" s="55">
        <v>43.644799999999996</v>
      </c>
      <c r="G73" s="55">
        <v>44.431199999999997</v>
      </c>
      <c r="H73" s="55">
        <v>0.99756489999999998</v>
      </c>
      <c r="I73" s="55">
        <v>0.99616769999999999</v>
      </c>
      <c r="J73" s="55">
        <v>0.99616839999999995</v>
      </c>
      <c r="K73" s="55">
        <v>203.39500000000001</v>
      </c>
      <c r="L73" s="55">
        <v>0.153</v>
      </c>
      <c r="M73" s="10" t="e">
        <f>#REF!</f>
        <v>#REF!</v>
      </c>
      <c r="N73" s="11">
        <f t="shared" si="76"/>
        <v>5.6498611111111111E-2</v>
      </c>
      <c r="P73" s="60">
        <v>2094.9899999999998</v>
      </c>
      <c r="Q73" s="60">
        <v>43.189599999999999</v>
      </c>
      <c r="R73" s="60">
        <v>43.682400000000001</v>
      </c>
      <c r="S73" s="60">
        <v>44.4071</v>
      </c>
      <c r="T73" s="60">
        <v>0.99755689999999997</v>
      </c>
      <c r="U73" s="60">
        <v>0.99627359999999998</v>
      </c>
      <c r="V73" s="60">
        <v>0.99617389999999995</v>
      </c>
      <c r="W73" s="60">
        <v>447.654</v>
      </c>
      <c r="X73" s="60">
        <v>0.20399999999999999</v>
      </c>
      <c r="Y73" s="10" t="e">
        <f>#REF!</f>
        <v>#REF!</v>
      </c>
      <c r="Z73" s="11">
        <f t="shared" si="77"/>
        <v>0.12434833333333334</v>
      </c>
      <c r="AA73" s="10">
        <f t="shared" si="78"/>
        <v>2.2009095602153446</v>
      </c>
      <c r="AB73" s="15">
        <f t="shared" si="68"/>
        <v>1.3333333333333333</v>
      </c>
      <c r="AC73" s="15" t="e">
        <f t="shared" si="68"/>
        <v>#REF!</v>
      </c>
      <c r="AD73" s="11">
        <f t="shared" si="79"/>
        <v>2.3144510322166477E-3</v>
      </c>
      <c r="AE73" s="12"/>
      <c r="AF73" s="25">
        <f t="shared" ref="AF73:AK73" si="88">bdRateExtend($D73:$D77,E73:E77,$P73:$P77,Q73:Q77)</f>
        <v>1.1404787959250484E-3</v>
      </c>
      <c r="AG73" s="30">
        <f t="shared" si="88"/>
        <v>2.2734797336789736E-3</v>
      </c>
      <c r="AH73" s="31">
        <f t="shared" si="88"/>
        <v>-2.1460056445342768E-2</v>
      </c>
      <c r="AI73" s="25">
        <f t="shared" si="88"/>
        <v>1.2155599650336635E-2</v>
      </c>
      <c r="AJ73" s="30">
        <f t="shared" si="88"/>
        <v>2.7833090182685094E-3</v>
      </c>
      <c r="AK73" s="30">
        <f t="shared" si="88"/>
        <v>-4.423673101273029E-2</v>
      </c>
      <c r="AL73" s="26"/>
      <c r="AM73" s="21"/>
      <c r="AN73" s="36"/>
      <c r="AO73" s="21"/>
      <c r="AP73" s="21"/>
      <c r="AQ73" s="36"/>
      <c r="AR73" s="30">
        <f t="shared" ref="AR73:AT73" si="89">bdrate($D73:$D76,E73:E76,$P73:$P76,Q73:Q76)</f>
        <v>9.7832542809239698E-4</v>
      </c>
      <c r="AS73" s="30">
        <f t="shared" si="89"/>
        <v>4.978320234183542E-5</v>
      </c>
      <c r="AT73" s="31">
        <f t="shared" si="89"/>
        <v>-1.1672467637076522E-2</v>
      </c>
      <c r="AU73" s="25">
        <f>bdrate($D73:$D76,H73:H76,$P73:$P76,T73:T76)</f>
        <v>1.0566078535831025E-2</v>
      </c>
      <c r="AV73" s="30">
        <f>bdrate($D73:$D76,H73:H76,$P73:$P76,T73:T76)</f>
        <v>1.0566078535831025E-2</v>
      </c>
      <c r="AW73" s="31">
        <f>bdrate($D73:$D76,I73:I76,$P73:$P76,U73:U76)</f>
        <v>6.2351630204657837E-3</v>
      </c>
      <c r="AX73" s="15"/>
      <c r="AY73" s="15"/>
      <c r="AZ73" s="15"/>
      <c r="BA73" s="15">
        <f>V73/J73</f>
        <v>1.0000055211548569</v>
      </c>
      <c r="BB73" s="15">
        <f t="shared" ref="BB73:BB76" si="90">X73/L73</f>
        <v>1.3333333333333333</v>
      </c>
      <c r="BC73" s="15">
        <f t="shared" si="83"/>
        <v>2.2009095602153446</v>
      </c>
      <c r="BD73" s="1">
        <f t="shared" si="84"/>
        <v>0</v>
      </c>
    </row>
    <row r="74" spans="1:56" ht="15.75" thickBot="1" x14ac:dyDescent="0.25">
      <c r="A74" s="13"/>
      <c r="B74" s="13"/>
      <c r="C74" s="43">
        <v>27</v>
      </c>
      <c r="D74" s="55">
        <v>1261.56</v>
      </c>
      <c r="E74" s="55">
        <v>39.442399999999999</v>
      </c>
      <c r="F74" s="55">
        <v>39.950899999999997</v>
      </c>
      <c r="G74" s="55">
        <v>41.397399999999998</v>
      </c>
      <c r="H74" s="55">
        <v>0.99464520000000001</v>
      </c>
      <c r="I74" s="55">
        <v>0.98943219999999998</v>
      </c>
      <c r="J74" s="55">
        <v>0.99073739999999999</v>
      </c>
      <c r="K74" s="55">
        <v>152.54599999999999</v>
      </c>
      <c r="L74" s="55">
        <v>0.14599999999999999</v>
      </c>
      <c r="M74" s="15" t="e">
        <f>#REF!</f>
        <v>#REF!</v>
      </c>
      <c r="N74" s="16">
        <f t="shared" si="76"/>
        <v>4.2373888888888885E-2</v>
      </c>
      <c r="P74" s="60">
        <v>1258.47</v>
      </c>
      <c r="Q74" s="60">
        <v>39.424599999999998</v>
      </c>
      <c r="R74" s="60">
        <v>39.961300000000001</v>
      </c>
      <c r="S74" s="60">
        <v>41.421199999999999</v>
      </c>
      <c r="T74" s="60">
        <v>0.99465150000000002</v>
      </c>
      <c r="U74" s="60">
        <v>0.98942280000000005</v>
      </c>
      <c r="V74" s="60">
        <v>0.99087990000000004</v>
      </c>
      <c r="W74" s="60">
        <v>401.50299999999999</v>
      </c>
      <c r="X74" s="60">
        <v>0.312</v>
      </c>
      <c r="Y74" s="15" t="e">
        <f>#REF!</f>
        <v>#REF!</v>
      </c>
      <c r="Z74" s="16">
        <f t="shared" si="77"/>
        <v>0.11152861111111111</v>
      </c>
      <c r="AA74" s="10">
        <f t="shared" si="78"/>
        <v>2.6320126388105884</v>
      </c>
      <c r="AB74" s="15">
        <f t="shared" si="68"/>
        <v>2.1369863013698631</v>
      </c>
      <c r="AC74" s="15" t="e">
        <f t="shared" si="68"/>
        <v>#REF!</v>
      </c>
      <c r="AD74" s="16">
        <f t="shared" si="79"/>
        <v>2.4493484257585196E-3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1.5627907050821399E-3</v>
      </c>
      <c r="AM74" s="21">
        <f>bdrate($D74:$D77,F74:F77,$P74:$P77,R74:R77)</f>
        <v>8.2061378568218935E-3</v>
      </c>
      <c r="AN74" s="36">
        <f t="shared" ref="AN74" si="91">bdrate($D74:$D77,G74:G77,$P74:$P77,S74:S77)</f>
        <v>-2.9819058826207168E-2</v>
      </c>
      <c r="AO74" s="26">
        <f>bdrate($D74:$D77,H74:H77,$P74:$P77,T74:T77)</f>
        <v>1.304498855660019E-2</v>
      </c>
      <c r="AP74" s="21">
        <f>bdrate($D74:$D77,I74:I77,$P74:$P77,U74:U77)</f>
        <v>4.7361045777978283E-3</v>
      </c>
      <c r="AQ74" s="36">
        <f>bdrate($D74:$D77,J74:J77,$P74:$P77,V74:V77)</f>
        <v>-5.0267557505442539E-2</v>
      </c>
      <c r="AR74" s="21"/>
      <c r="AS74" s="21"/>
      <c r="AT74" s="36"/>
      <c r="AU74" s="26"/>
      <c r="AV74" s="21"/>
      <c r="AW74" s="36"/>
      <c r="AX74" s="15">
        <f>V74/J74</f>
        <v>1.0001438322606979</v>
      </c>
      <c r="AY74" s="15">
        <f t="shared" ref="AY74:AY77" si="92">X74/L74</f>
        <v>2.1369863013698631</v>
      </c>
      <c r="AZ74" s="15">
        <f t="shared" si="87"/>
        <v>2.6320126388105884</v>
      </c>
      <c r="BA74" s="15">
        <f>V74/J74</f>
        <v>1.0001438322606979</v>
      </c>
      <c r="BB74" s="15">
        <f t="shared" si="90"/>
        <v>2.1369863013698631</v>
      </c>
      <c r="BC74" s="15">
        <f t="shared" si="83"/>
        <v>2.6320126388105884</v>
      </c>
      <c r="BD74" s="1">
        <f t="shared" si="84"/>
        <v>0</v>
      </c>
    </row>
    <row r="75" spans="1:56" ht="15.75" thickBot="1" x14ac:dyDescent="0.25">
      <c r="A75" s="13"/>
      <c r="B75" s="13"/>
      <c r="C75" s="43">
        <v>32</v>
      </c>
      <c r="D75" s="55">
        <v>733.2</v>
      </c>
      <c r="E75" s="55">
        <v>35.798200000000001</v>
      </c>
      <c r="F75" s="55">
        <v>37.425800000000002</v>
      </c>
      <c r="G75" s="55">
        <v>39.069499999999998</v>
      </c>
      <c r="H75" s="55">
        <v>0.98884139999999998</v>
      </c>
      <c r="I75" s="55">
        <v>0.97779380000000005</v>
      </c>
      <c r="J75" s="55">
        <v>0.98236259999999997</v>
      </c>
      <c r="K75" s="55">
        <v>115.67100000000001</v>
      </c>
      <c r="L75" s="55">
        <v>0.13100000000000001</v>
      </c>
      <c r="M75" s="15" t="e">
        <f>#REF!</f>
        <v>#REF!</v>
      </c>
      <c r="N75" s="16">
        <f t="shared" si="76"/>
        <v>3.2130833333333338E-2</v>
      </c>
      <c r="P75" s="60">
        <v>734.04</v>
      </c>
      <c r="Q75" s="60">
        <v>35.795699999999997</v>
      </c>
      <c r="R75" s="60">
        <v>37.4084</v>
      </c>
      <c r="S75" s="60">
        <v>39.111499999999999</v>
      </c>
      <c r="T75" s="60">
        <v>0.98867919999999998</v>
      </c>
      <c r="U75" s="60">
        <v>0.97762079999999996</v>
      </c>
      <c r="V75" s="60">
        <v>0.98275400000000002</v>
      </c>
      <c r="W75" s="60">
        <v>357.68599999999998</v>
      </c>
      <c r="X75" s="60">
        <v>0.13600000000000001</v>
      </c>
      <c r="Y75" s="15" t="e">
        <f>#REF!</f>
        <v>#REF!</v>
      </c>
      <c r="Z75" s="16">
        <f t="shared" si="77"/>
        <v>9.9357222222222222E-2</v>
      </c>
      <c r="AA75" s="10">
        <f t="shared" si="78"/>
        <v>3.0922703184030564</v>
      </c>
      <c r="AB75" s="15">
        <f t="shared" si="68"/>
        <v>1.0381679389312977</v>
      </c>
      <c r="AC75" s="15" t="e">
        <f t="shared" si="68"/>
        <v>#REF!</v>
      </c>
      <c r="AD75" s="16">
        <f t="shared" si="79"/>
        <v>1.1456628477903956E-3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>
        <f>V75/J75</f>
        <v>1.0003984272202546</v>
      </c>
      <c r="AY75" s="15">
        <f t="shared" si="92"/>
        <v>1.0381679389312977</v>
      </c>
      <c r="AZ75" s="15">
        <f t="shared" si="87"/>
        <v>3.0922703184030564</v>
      </c>
      <c r="BA75" s="15">
        <f>V75/J75</f>
        <v>1.0003984272202546</v>
      </c>
      <c r="BB75" s="15">
        <f t="shared" si="90"/>
        <v>1.0381679389312977</v>
      </c>
      <c r="BC75" s="15">
        <f t="shared" si="83"/>
        <v>3.0922703184030564</v>
      </c>
      <c r="BD75" s="1">
        <f t="shared" si="84"/>
        <v>0</v>
      </c>
    </row>
    <row r="76" spans="1:56" ht="15.75" thickBot="1" x14ac:dyDescent="0.25">
      <c r="A76" s="13"/>
      <c r="B76" s="13"/>
      <c r="C76" s="43">
        <v>37</v>
      </c>
      <c r="D76" s="55">
        <v>385.53</v>
      </c>
      <c r="E76" s="55">
        <v>32.176000000000002</v>
      </c>
      <c r="F76" s="55">
        <v>36.182000000000002</v>
      </c>
      <c r="G76" s="55">
        <v>37.341799999999999</v>
      </c>
      <c r="H76" s="55">
        <v>0.97441279999999997</v>
      </c>
      <c r="I76" s="55">
        <v>0.96793490000000004</v>
      </c>
      <c r="J76" s="55">
        <v>0.97296649999999996</v>
      </c>
      <c r="K76" s="55">
        <v>85.831000000000003</v>
      </c>
      <c r="L76" s="55">
        <v>0.126</v>
      </c>
      <c r="M76" s="15" t="e">
        <f>#REF!</f>
        <v>#REF!</v>
      </c>
      <c r="N76" s="16">
        <f t="shared" si="76"/>
        <v>2.3841944444444447E-2</v>
      </c>
      <c r="P76" s="60">
        <v>384.51</v>
      </c>
      <c r="Q76" s="60">
        <v>32.147199999999998</v>
      </c>
      <c r="R76" s="60">
        <v>36.123899999999999</v>
      </c>
      <c r="S76" s="60">
        <v>37.481099999999998</v>
      </c>
      <c r="T76" s="60">
        <v>0.97376940000000001</v>
      </c>
      <c r="U76" s="60">
        <v>0.96754019999999996</v>
      </c>
      <c r="V76" s="60">
        <v>0.97412750000000004</v>
      </c>
      <c r="W76" s="60">
        <v>360.8</v>
      </c>
      <c r="X76" s="60">
        <v>0.14499999999999999</v>
      </c>
      <c r="Y76" s="15" t="e">
        <f>#REF!</f>
        <v>#REF!</v>
      </c>
      <c r="Z76" s="16">
        <f t="shared" si="77"/>
        <v>0.10022222222222223</v>
      </c>
      <c r="AA76" s="10">
        <f t="shared" si="78"/>
        <v>4.2036094185084645</v>
      </c>
      <c r="AB76" s="15">
        <f t="shared" si="68"/>
        <v>1.1507936507936507</v>
      </c>
      <c r="AC76" s="15" t="e">
        <f t="shared" si="68"/>
        <v>#REF!</v>
      </c>
      <c r="AD76" s="16">
        <f t="shared" si="79"/>
        <v>2.6457085051746474E-3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>
        <f>V76/J76</f>
        <v>1.0011932579384799</v>
      </c>
      <c r="AY76" s="15">
        <f t="shared" si="92"/>
        <v>1.1507936507936507</v>
      </c>
      <c r="AZ76" s="15">
        <f t="shared" si="87"/>
        <v>4.2036094185084645</v>
      </c>
      <c r="BA76" s="15">
        <f>V76/J76</f>
        <v>1.0011932579384799</v>
      </c>
      <c r="BB76" s="15">
        <f t="shared" si="90"/>
        <v>1.1507936507936507</v>
      </c>
      <c r="BC76" s="15">
        <f t="shared" si="83"/>
        <v>4.2036094185084645</v>
      </c>
      <c r="BD76" s="1">
        <f t="shared" si="84"/>
        <v>0</v>
      </c>
    </row>
    <row r="77" spans="1:56" ht="15.75" thickBot="1" x14ac:dyDescent="0.25">
      <c r="A77" s="17"/>
      <c r="B77" s="17"/>
      <c r="C77" s="44">
        <v>42</v>
      </c>
      <c r="D77" s="55">
        <v>166.86</v>
      </c>
      <c r="E77" s="55">
        <v>28.867999999999999</v>
      </c>
      <c r="F77" s="55">
        <v>34.8797</v>
      </c>
      <c r="G77" s="55">
        <v>35.820300000000003</v>
      </c>
      <c r="H77" s="55">
        <v>0.93499310000000002</v>
      </c>
      <c r="I77" s="55">
        <v>0.95468629999999999</v>
      </c>
      <c r="J77" s="55">
        <v>0.96095410000000003</v>
      </c>
      <c r="K77" s="55">
        <v>51.404000000000003</v>
      </c>
      <c r="L77" s="55">
        <v>0.111</v>
      </c>
      <c r="M77" s="19" t="e">
        <f>#REF!</f>
        <v>#REF!</v>
      </c>
      <c r="N77" s="20">
        <f t="shared" si="76"/>
        <v>1.427888888888889E-2</v>
      </c>
      <c r="P77" s="60">
        <v>167.28</v>
      </c>
      <c r="Q77" s="60">
        <v>28.885200000000001</v>
      </c>
      <c r="R77" s="60">
        <v>34.912399999999998</v>
      </c>
      <c r="S77" s="60">
        <v>35.886299999999999</v>
      </c>
      <c r="T77" s="60">
        <v>0.93555250000000001</v>
      </c>
      <c r="U77" s="60">
        <v>0.9556171</v>
      </c>
      <c r="V77" s="60">
        <v>0.96152150000000003</v>
      </c>
      <c r="W77" s="60">
        <v>723.19500000000005</v>
      </c>
      <c r="X77" s="60">
        <v>0.17100000000000001</v>
      </c>
      <c r="Y77" s="19" t="e">
        <f>#REF!</f>
        <v>#REF!</v>
      </c>
      <c r="Z77" s="20">
        <f t="shared" si="77"/>
        <v>0.20088750000000002</v>
      </c>
      <c r="AA77" s="10">
        <f t="shared" si="78"/>
        <v>14.068846782351567</v>
      </c>
      <c r="AB77" s="19">
        <f t="shared" si="68"/>
        <v>1.5405405405405406</v>
      </c>
      <c r="AC77" s="19" t="e">
        <f t="shared" si="68"/>
        <v>#REF!</v>
      </c>
      <c r="AD77" s="20">
        <f t="shared" si="79"/>
        <v>2.5170801869830246E-3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>
        <f>V77/J77</f>
        <v>1.000590454840663</v>
      </c>
      <c r="AY77" s="19">
        <f t="shared" si="92"/>
        <v>1.5405405405405406</v>
      </c>
      <c r="AZ77" s="19">
        <f t="shared" si="87"/>
        <v>14.068846782351569</v>
      </c>
      <c r="BA77" s="19"/>
      <c r="BB77" s="19"/>
      <c r="BC77" s="19"/>
      <c r="BD77" s="1">
        <f t="shared" si="84"/>
        <v>0</v>
      </c>
    </row>
    <row r="78" spans="1:56" ht="15.75" thickBot="1" x14ac:dyDescent="0.25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43.623600000000003</v>
      </c>
      <c r="F78" s="55">
        <v>45.669199999999996</v>
      </c>
      <c r="G78" s="55">
        <v>45.907299999999999</v>
      </c>
      <c r="H78" s="55">
        <v>0.99697389999999997</v>
      </c>
      <c r="I78" s="55">
        <v>0.99596929999999995</v>
      </c>
      <c r="J78" s="55">
        <v>0.9969249</v>
      </c>
      <c r="K78" s="55">
        <v>63.162999999999997</v>
      </c>
      <c r="L78" s="55">
        <v>9.5000000000000001E-2</v>
      </c>
      <c r="M78" s="10" t="e">
        <f>#REF!</f>
        <v>#REF!</v>
      </c>
      <c r="N78" s="11">
        <f t="shared" si="76"/>
        <v>1.7545277777777778E-2</v>
      </c>
      <c r="P78" s="60">
        <v>620.75</v>
      </c>
      <c r="Q78" s="60">
        <v>43.615499999999997</v>
      </c>
      <c r="R78" s="60">
        <v>45.631799999999998</v>
      </c>
      <c r="S78" s="60">
        <v>45.804600000000001</v>
      </c>
      <c r="T78" s="60">
        <v>0.99696929999999995</v>
      </c>
      <c r="U78" s="60">
        <v>0.99585789999999996</v>
      </c>
      <c r="V78" s="60">
        <v>0.99692910000000001</v>
      </c>
      <c r="W78" s="60">
        <v>137.23400000000001</v>
      </c>
      <c r="X78" s="60">
        <v>0.13</v>
      </c>
      <c r="Y78" s="10" t="e">
        <f>#REF!</f>
        <v>#REF!</v>
      </c>
      <c r="Z78" s="11">
        <f t="shared" si="77"/>
        <v>3.812055555555556E-2</v>
      </c>
      <c r="AA78" s="10">
        <f t="shared" si="78"/>
        <v>2.1726960404034008</v>
      </c>
      <c r="AB78" s="10">
        <f>X78/L78</f>
        <v>1.368421052631579</v>
      </c>
      <c r="AC78" s="10" t="e">
        <f>Y78/M78</f>
        <v>#REF!</v>
      </c>
      <c r="AD78" s="11">
        <f t="shared" si="79"/>
        <v>1.367438867438904E-3</v>
      </c>
      <c r="AE78" s="40"/>
      <c r="AF78" s="25">
        <f t="shared" ref="AF78:AK78" si="93">bdRateExtend($D78:$D82,E78:E82,$P78:$P82,Q78:Q82)</f>
        <v>-3.1362019645814199E-3</v>
      </c>
      <c r="AG78" s="30">
        <f t="shared" si="93"/>
        <v>1.8574874927834717E-3</v>
      </c>
      <c r="AH78" s="31">
        <f t="shared" si="93"/>
        <v>-2.2742499858619536E-2</v>
      </c>
      <c r="AI78" s="25">
        <f t="shared" si="93"/>
        <v>-1.1029787754024967E-2</v>
      </c>
      <c r="AJ78" s="30">
        <f t="shared" si="93"/>
        <v>1.4880416685876252E-2</v>
      </c>
      <c r="AK78" s="30">
        <f t="shared" si="93"/>
        <v>7.5245249604212194E-3</v>
      </c>
      <c r="AL78" s="45"/>
      <c r="AM78" s="46"/>
      <c r="AN78" s="47"/>
      <c r="AO78" s="46"/>
      <c r="AP78" s="46"/>
      <c r="AQ78" s="47"/>
      <c r="AR78" s="30">
        <f t="shared" ref="AR78:AW78" si="94">bdrate($D78:$D81,E78:E81,$P78:$P81,Q78:Q81)</f>
        <v>1.93938515538572E-3</v>
      </c>
      <c r="AS78" s="30">
        <f t="shared" si="94"/>
        <v>-4.1572976641471859E-3</v>
      </c>
      <c r="AT78" s="31">
        <f t="shared" si="94"/>
        <v>-2.8613739771359836E-2</v>
      </c>
      <c r="AU78" s="25">
        <f t="shared" si="94"/>
        <v>-2.1439858768625975E-3</v>
      </c>
      <c r="AV78" s="30">
        <f t="shared" si="94"/>
        <v>2.8029854266997667E-4</v>
      </c>
      <c r="AW78" s="31">
        <f t="shared" si="94"/>
        <v>-3.4218182344717518E-2</v>
      </c>
      <c r="AX78" s="10"/>
      <c r="AY78" s="10"/>
      <c r="AZ78" s="10"/>
      <c r="BA78" s="10">
        <f>V78/J78</f>
        <v>1.0000042129552587</v>
      </c>
      <c r="BB78" s="10">
        <f t="shared" ref="BB78:BB81" si="95">X78/L78</f>
        <v>1.368421052631579</v>
      </c>
      <c r="BC78" s="10">
        <f t="shared" si="83"/>
        <v>2.1726960404034008</v>
      </c>
      <c r="BD78" s="1">
        <f t="shared" si="84"/>
        <v>0</v>
      </c>
    </row>
    <row r="79" spans="1:56" ht="15.75" thickBot="1" x14ac:dyDescent="0.25">
      <c r="A79" s="13" t="s">
        <v>22</v>
      </c>
      <c r="B79" s="13"/>
      <c r="C79" s="43">
        <f>C74</f>
        <v>27</v>
      </c>
      <c r="D79" s="55">
        <v>367.35</v>
      </c>
      <c r="E79" s="55">
        <v>40.123699999999999</v>
      </c>
      <c r="F79" s="55">
        <v>42.287399999999998</v>
      </c>
      <c r="G79" s="55">
        <v>42.3142</v>
      </c>
      <c r="H79" s="55">
        <v>0.99271699999999996</v>
      </c>
      <c r="I79" s="55">
        <v>0.99084459999999996</v>
      </c>
      <c r="J79" s="55">
        <v>0.99372240000000001</v>
      </c>
      <c r="K79" s="55">
        <v>47.119</v>
      </c>
      <c r="L79" s="55">
        <v>9.1999999999999998E-2</v>
      </c>
      <c r="M79" s="15" t="e">
        <f>#REF!</f>
        <v>#REF!</v>
      </c>
      <c r="N79" s="16">
        <f t="shared" si="76"/>
        <v>1.3088611111111112E-2</v>
      </c>
      <c r="P79" s="60">
        <v>369.5</v>
      </c>
      <c r="Q79" s="60">
        <v>40.139699999999998</v>
      </c>
      <c r="R79" s="60">
        <v>42.395099999999999</v>
      </c>
      <c r="S79" s="60">
        <v>42.491900000000001</v>
      </c>
      <c r="T79" s="60">
        <v>0.9927684</v>
      </c>
      <c r="U79" s="60">
        <v>0.99088549999999997</v>
      </c>
      <c r="V79" s="60">
        <v>0.99381249999999999</v>
      </c>
      <c r="W79" s="60">
        <v>113.6</v>
      </c>
      <c r="X79" s="60">
        <v>0.10100000000000001</v>
      </c>
      <c r="Y79" s="15" t="e">
        <f>#REF!</f>
        <v>#REF!</v>
      </c>
      <c r="Z79" s="16">
        <f t="shared" si="77"/>
        <v>3.1555555555555552E-2</v>
      </c>
      <c r="AA79" s="10">
        <f t="shared" si="78"/>
        <v>2.4109170398353106</v>
      </c>
      <c r="AB79" s="15">
        <f t="shared" ref="AB79:AC97" si="96">X79/L79</f>
        <v>1.0978260869565217</v>
      </c>
      <c r="AC79" s="15" t="e">
        <f t="shared" si="96"/>
        <v>#REF!</v>
      </c>
      <c r="AD79" s="16">
        <f t="shared" si="79"/>
        <v>5.8527290050360073E-3</v>
      </c>
      <c r="AE79" s="12"/>
      <c r="AF79" s="26"/>
      <c r="AG79" s="21"/>
      <c r="AH79" s="36"/>
      <c r="AI79" s="26"/>
      <c r="AJ79" s="21"/>
      <c r="AK79" s="21"/>
      <c r="AL79" s="26">
        <f>bdrate($D79:$D82,E79:E82,$P79:$P82,Q79:Q82)</f>
        <v>-4.3589830738178792E-3</v>
      </c>
      <c r="AM79" s="21">
        <f>bdrate($D79:$D82,F79:F82,$P79:$P82,R79:R82)</f>
        <v>6.4014030154619928E-3</v>
      </c>
      <c r="AN79" s="36">
        <f t="shared" ref="AN79" si="97">bdrate($D79:$D82,G79:G82,$P79:$P82,S79:S82)</f>
        <v>-3.3619167291346397E-2</v>
      </c>
      <c r="AO79" s="26">
        <f>bdrate($D79:$D82,H79:H82,$P79:$P82,T79:T82)</f>
        <v>-1.1868550207968398E-2</v>
      </c>
      <c r="AP79" s="21">
        <f>bdrate($D79:$D82,I79:I82,$P79:$P82,U79:U82)</f>
        <v>1.376966857475348E-2</v>
      </c>
      <c r="AQ79" s="36">
        <f>bdrate($D79:$D82,J79:J82,$P79:$P82,V79:V82)</f>
        <v>3.9924407280349516E-3</v>
      </c>
      <c r="AR79" s="21"/>
      <c r="AS79" s="21"/>
      <c r="AT79" s="36"/>
      <c r="AU79" s="26"/>
      <c r="AV79" s="21"/>
      <c r="AW79" s="36"/>
      <c r="AX79" s="15">
        <f>V79/J79</f>
        <v>1.000090669184875</v>
      </c>
      <c r="AY79" s="15">
        <f t="shared" ref="AY79:AY82" si="98">X79/L79</f>
        <v>1.0978260869565217</v>
      </c>
      <c r="AZ79" s="15">
        <f t="shared" si="87"/>
        <v>2.4109170398353101</v>
      </c>
      <c r="BA79" s="15">
        <f>V79/J79</f>
        <v>1.000090669184875</v>
      </c>
      <c r="BB79" s="15">
        <f t="shared" si="95"/>
        <v>1.0978260869565217</v>
      </c>
      <c r="BC79" s="15">
        <f t="shared" si="83"/>
        <v>2.4109170398353101</v>
      </c>
      <c r="BD79" s="1">
        <f t="shared" si="84"/>
        <v>0</v>
      </c>
    </row>
    <row r="80" spans="1:56" ht="15.75" thickBot="1" x14ac:dyDescent="0.25">
      <c r="A80" s="13"/>
      <c r="B80" s="13"/>
      <c r="C80" s="43">
        <f>C75</f>
        <v>32</v>
      </c>
      <c r="D80" s="55">
        <v>206</v>
      </c>
      <c r="E80" s="55">
        <v>36.683700000000002</v>
      </c>
      <c r="F80" s="55">
        <v>39.504600000000003</v>
      </c>
      <c r="G80" s="55">
        <v>39.328699999999998</v>
      </c>
      <c r="H80" s="55">
        <v>0.98301810000000001</v>
      </c>
      <c r="I80" s="55">
        <v>0.98026659999999999</v>
      </c>
      <c r="J80" s="55">
        <v>0.98577579999999998</v>
      </c>
      <c r="K80" s="55">
        <v>32.247</v>
      </c>
      <c r="L80" s="55">
        <v>8.6999999999999994E-2</v>
      </c>
      <c r="M80" s="15" t="e">
        <f>#REF!</f>
        <v>#REF!</v>
      </c>
      <c r="N80" s="16">
        <f t="shared" si="76"/>
        <v>8.9575000000000002E-3</v>
      </c>
      <c r="P80" s="60">
        <v>205.7</v>
      </c>
      <c r="Q80" s="60">
        <v>36.636600000000001</v>
      </c>
      <c r="R80" s="60">
        <v>39.516500000000001</v>
      </c>
      <c r="S80" s="60">
        <v>39.556399999999996</v>
      </c>
      <c r="T80" s="60">
        <v>0.98299879999999995</v>
      </c>
      <c r="U80" s="60">
        <v>0.98063359999999999</v>
      </c>
      <c r="V80" s="60">
        <v>0.98680389999999996</v>
      </c>
      <c r="W80" s="60">
        <v>96.826999999999998</v>
      </c>
      <c r="X80" s="60">
        <v>0.09</v>
      </c>
      <c r="Y80" s="15" t="e">
        <f>#REF!</f>
        <v>#REF!</v>
      </c>
      <c r="Z80" s="16">
        <f t="shared" si="77"/>
        <v>2.689638888888889E-2</v>
      </c>
      <c r="AA80" s="10">
        <f t="shared" si="78"/>
        <v>3.0026669147517597</v>
      </c>
      <c r="AB80" s="15">
        <f t="shared" si="96"/>
        <v>1.0344827586206897</v>
      </c>
      <c r="AC80" s="15" t="e">
        <f t="shared" si="96"/>
        <v>#REF!</v>
      </c>
      <c r="AD80" s="16">
        <f t="shared" si="79"/>
        <v>1.4563106796117056E-3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>
        <f>V80/J80</f>
        <v>1.0010429349148153</v>
      </c>
      <c r="AY80" s="15">
        <f t="shared" si="98"/>
        <v>1.0344827586206897</v>
      </c>
      <c r="AZ80" s="15">
        <f t="shared" si="87"/>
        <v>3.0026669147517597</v>
      </c>
      <c r="BA80" s="15">
        <f>V80/J80</f>
        <v>1.0010429349148153</v>
      </c>
      <c r="BB80" s="15">
        <f t="shared" si="95"/>
        <v>1.0344827586206897</v>
      </c>
      <c r="BC80" s="15">
        <f t="shared" si="83"/>
        <v>3.0026669147517597</v>
      </c>
      <c r="BD80" s="1">
        <f t="shared" si="84"/>
        <v>0</v>
      </c>
    </row>
    <row r="81" spans="1:56" ht="15.75" thickBot="1" x14ac:dyDescent="0.25">
      <c r="A81" s="13"/>
      <c r="B81" s="13"/>
      <c r="C81" s="43">
        <f>C76</f>
        <v>37</v>
      </c>
      <c r="D81" s="55">
        <v>111.85</v>
      </c>
      <c r="E81" s="55">
        <v>33.476100000000002</v>
      </c>
      <c r="F81" s="55">
        <v>37.835299999999997</v>
      </c>
      <c r="G81" s="55">
        <v>37.574199999999998</v>
      </c>
      <c r="H81" s="55">
        <v>0.96500730000000001</v>
      </c>
      <c r="I81" s="55">
        <v>0.97182500000000005</v>
      </c>
      <c r="J81" s="55">
        <v>0.97925139999999999</v>
      </c>
      <c r="K81" s="55">
        <v>21.419</v>
      </c>
      <c r="L81" s="55">
        <v>9.1999999999999998E-2</v>
      </c>
      <c r="M81" s="15" t="e">
        <f>#REF!</f>
        <v>#REF!</v>
      </c>
      <c r="N81" s="16">
        <f t="shared" si="76"/>
        <v>5.9497222222222226E-3</v>
      </c>
      <c r="P81" s="60">
        <v>109.6</v>
      </c>
      <c r="Q81" s="60">
        <v>33.457000000000001</v>
      </c>
      <c r="R81" s="60">
        <v>37.685299999999998</v>
      </c>
      <c r="S81" s="60">
        <v>37.569499999999998</v>
      </c>
      <c r="T81" s="60">
        <v>0.96445360000000002</v>
      </c>
      <c r="U81" s="60">
        <v>0.97040329999999997</v>
      </c>
      <c r="V81" s="60">
        <v>0.97838150000000002</v>
      </c>
      <c r="W81" s="60">
        <v>74.882999999999996</v>
      </c>
      <c r="X81" s="60">
        <v>8.5999999999999993E-2</v>
      </c>
      <c r="Y81" s="15" t="e">
        <f>#REF!</f>
        <v>#REF!</v>
      </c>
      <c r="Z81" s="16">
        <f t="shared" si="77"/>
        <v>2.0800833333333331E-2</v>
      </c>
      <c r="AA81" s="10">
        <f t="shared" si="78"/>
        <v>3.4961015920444463</v>
      </c>
      <c r="AB81" s="15">
        <f t="shared" si="96"/>
        <v>0.93478260869565211</v>
      </c>
      <c r="AC81" s="15" t="e">
        <f t="shared" si="96"/>
        <v>#REF!</v>
      </c>
      <c r="AD81" s="16">
        <f t="shared" si="79"/>
        <v>2.0116227089852484E-2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>
        <f>V81/J81</f>
        <v>0.99911166836217957</v>
      </c>
      <c r="AY81" s="15">
        <f t="shared" si="98"/>
        <v>0.93478260869565211</v>
      </c>
      <c r="AZ81" s="15">
        <f t="shared" si="87"/>
        <v>3.4961015920444458</v>
      </c>
      <c r="BA81" s="15">
        <f>V81/J81</f>
        <v>0.99911166836217957</v>
      </c>
      <c r="BB81" s="15">
        <f t="shared" si="95"/>
        <v>0.93478260869565211</v>
      </c>
      <c r="BC81" s="15">
        <f t="shared" si="83"/>
        <v>3.4961015920444458</v>
      </c>
      <c r="BD81" s="1">
        <f t="shared" si="84"/>
        <v>0</v>
      </c>
    </row>
    <row r="82" spans="1:56" ht="15.75" thickBot="1" x14ac:dyDescent="0.25">
      <c r="A82" s="13"/>
      <c r="B82" s="17"/>
      <c r="C82" s="44">
        <f>C77</f>
        <v>42</v>
      </c>
      <c r="D82" s="55">
        <v>61.7</v>
      </c>
      <c r="E82" s="55">
        <v>30.6099</v>
      </c>
      <c r="F82" s="55">
        <v>36.0867</v>
      </c>
      <c r="G82" s="55">
        <v>35.7363</v>
      </c>
      <c r="H82" s="55">
        <v>0.93747709999999995</v>
      </c>
      <c r="I82" s="55">
        <v>0.94889349999999995</v>
      </c>
      <c r="J82" s="55">
        <v>0.9680687</v>
      </c>
      <c r="K82" s="55">
        <v>13.27</v>
      </c>
      <c r="L82" s="55">
        <v>8.5999999999999993E-2</v>
      </c>
      <c r="M82" s="19" t="e">
        <f>#REF!</f>
        <v>#REF!</v>
      </c>
      <c r="N82" s="20">
        <f t="shared" si="76"/>
        <v>3.6861111111111109E-3</v>
      </c>
      <c r="P82" s="60">
        <v>60.05</v>
      </c>
      <c r="Q82" s="60">
        <v>30.5686</v>
      </c>
      <c r="R82" s="60">
        <v>35.9773</v>
      </c>
      <c r="S82" s="60">
        <v>35.556600000000003</v>
      </c>
      <c r="T82" s="60">
        <v>0.93890189999999996</v>
      </c>
      <c r="U82" s="60">
        <v>0.94640179999999996</v>
      </c>
      <c r="V82" s="60">
        <v>0.96495730000000002</v>
      </c>
      <c r="W82" s="60">
        <v>95.622</v>
      </c>
      <c r="X82" s="60">
        <v>8.2000000000000003E-2</v>
      </c>
      <c r="Y82" s="19" t="e">
        <f>#REF!</f>
        <v>#REF!</v>
      </c>
      <c r="Z82" s="20">
        <f t="shared" si="77"/>
        <v>2.6561666666666667E-2</v>
      </c>
      <c r="AA82" s="10">
        <f t="shared" si="78"/>
        <v>7.2058779201205727</v>
      </c>
      <c r="AB82" s="15">
        <f t="shared" si="96"/>
        <v>0.9534883720930234</v>
      </c>
      <c r="AC82" s="15" t="e">
        <f t="shared" si="96"/>
        <v>#REF!</v>
      </c>
      <c r="AD82" s="20">
        <f t="shared" si="79"/>
        <v>2.674230145867108E-2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>
        <f>V82/J82</f>
        <v>0.99678597190467988</v>
      </c>
      <c r="AY82" s="15">
        <f t="shared" si="98"/>
        <v>0.9534883720930234</v>
      </c>
      <c r="AZ82" s="15">
        <f t="shared" si="87"/>
        <v>7.2058779201205736</v>
      </c>
      <c r="BA82" s="15"/>
      <c r="BB82" s="15"/>
      <c r="BC82" s="15"/>
      <c r="BD82" s="1">
        <f t="shared" si="84"/>
        <v>0</v>
      </c>
    </row>
    <row r="83" spans="1:56" ht="15.75" thickBot="1" x14ac:dyDescent="0.25">
      <c r="A83" s="13"/>
      <c r="B83" s="8" t="s">
        <v>31</v>
      </c>
      <c r="C83" s="39">
        <v>22</v>
      </c>
      <c r="D83" s="55">
        <v>1129.75</v>
      </c>
      <c r="E83" s="55">
        <v>41.958500000000001</v>
      </c>
      <c r="F83" s="55">
        <v>42.596699999999998</v>
      </c>
      <c r="G83" s="55">
        <v>44.335299999999997</v>
      </c>
      <c r="H83" s="55">
        <v>0.99770230000000004</v>
      </c>
      <c r="I83" s="55">
        <v>0.99413779999999996</v>
      </c>
      <c r="J83" s="55">
        <v>0.9950502</v>
      </c>
      <c r="K83" s="55">
        <v>76.367000000000004</v>
      </c>
      <c r="L83" s="55">
        <v>0.13900000000000001</v>
      </c>
      <c r="M83" s="10" t="e">
        <f>#REF!</f>
        <v>#REF!</v>
      </c>
      <c r="N83" s="11">
        <f t="shared" si="76"/>
        <v>2.1213055555555558E-2</v>
      </c>
      <c r="P83" s="60">
        <v>1130.4000000000001</v>
      </c>
      <c r="Q83" s="60">
        <v>41.981699999999996</v>
      </c>
      <c r="R83" s="60">
        <v>42.545000000000002</v>
      </c>
      <c r="S83" s="60">
        <v>44.286000000000001</v>
      </c>
      <c r="T83" s="60">
        <v>0.99774149999999995</v>
      </c>
      <c r="U83" s="60">
        <v>0.99429049999999997</v>
      </c>
      <c r="V83" s="60">
        <v>0.99498819999999999</v>
      </c>
      <c r="W83" s="60">
        <v>122.40900000000001</v>
      </c>
      <c r="X83" s="60">
        <v>0.10299999999999999</v>
      </c>
      <c r="Y83" s="10" t="e">
        <f>#REF!</f>
        <v>#REF!</v>
      </c>
      <c r="Z83" s="11">
        <f t="shared" si="77"/>
        <v>3.4002500000000005E-2</v>
      </c>
      <c r="AA83" s="10">
        <f t="shared" si="78"/>
        <v>1.6029043958778006</v>
      </c>
      <c r="AB83" s="15">
        <f t="shared" si="96"/>
        <v>0.74100719424460426</v>
      </c>
      <c r="AC83" s="15" t="e">
        <f t="shared" si="96"/>
        <v>#REF!</v>
      </c>
      <c r="AD83" s="11">
        <f t="shared" si="79"/>
        <v>5.7534852843557508E-4</v>
      </c>
      <c r="AE83" s="12"/>
      <c r="AF83" s="25">
        <f t="shared" ref="AF83:AK83" si="99">bdRateExtend($D83:$D87,E83:E87,$P83:$P87,Q83:Q87)</f>
        <v>1.9313834393870355E-3</v>
      </c>
      <c r="AG83" s="30">
        <f t="shared" si="99"/>
        <v>2.5373326442243993E-3</v>
      </c>
      <c r="AH83" s="31">
        <f t="shared" si="99"/>
        <v>1.9264594815078251E-2</v>
      </c>
      <c r="AI83" s="25">
        <f t="shared" si="99"/>
        <v>5.0374821822722904E-3</v>
      </c>
      <c r="AJ83" s="30">
        <f t="shared" si="99"/>
        <v>5.6732821021634461E-3</v>
      </c>
      <c r="AK83" s="30">
        <f t="shared" si="99"/>
        <v>1.5767179892570704E-2</v>
      </c>
      <c r="AL83" s="26"/>
      <c r="AM83" s="21"/>
      <c r="AN83" s="36"/>
      <c r="AO83" s="21"/>
      <c r="AP83" s="21"/>
      <c r="AQ83" s="36"/>
      <c r="AR83" s="30">
        <f t="shared" ref="AR83:AW83" si="100">bdrate($D83:$D86,E83:E86,$P83:$P86,Q83:Q86)</f>
        <v>2.939874634377837E-4</v>
      </c>
      <c r="AS83" s="30">
        <f t="shared" si="100"/>
        <v>-6.5223265005942554E-4</v>
      </c>
      <c r="AT83" s="31">
        <f t="shared" si="100"/>
        <v>5.5535432942721563E-3</v>
      </c>
      <c r="AU83" s="25">
        <f t="shared" si="100"/>
        <v>9.4605239823613019E-3</v>
      </c>
      <c r="AV83" s="30">
        <f t="shared" si="100"/>
        <v>2.5457015184685572E-2</v>
      </c>
      <c r="AW83" s="31">
        <f t="shared" si="100"/>
        <v>2.6200760552869351E-2</v>
      </c>
      <c r="AX83" s="15"/>
      <c r="AY83" s="15"/>
      <c r="AZ83" s="15"/>
      <c r="BA83" s="15">
        <f>V83/J83</f>
        <v>0.99993769158581147</v>
      </c>
      <c r="BB83" s="15">
        <f t="shared" ref="BB83:BB86" si="101">X83/L83</f>
        <v>0.74100719424460426</v>
      </c>
      <c r="BC83" s="15">
        <f t="shared" si="83"/>
        <v>1.6029043958778006</v>
      </c>
      <c r="BD83" s="1">
        <f t="shared" si="84"/>
        <v>0</v>
      </c>
    </row>
    <row r="84" spans="1:56" ht="15.75" thickBot="1" x14ac:dyDescent="0.25">
      <c r="A84" s="13"/>
      <c r="C84" s="43">
        <v>27</v>
      </c>
      <c r="D84" s="55">
        <v>655.5</v>
      </c>
      <c r="E84" s="55">
        <v>37.917400000000001</v>
      </c>
      <c r="F84" s="55">
        <v>39.125</v>
      </c>
      <c r="G84" s="55">
        <v>40.946199999999997</v>
      </c>
      <c r="H84" s="55">
        <v>0.99413269999999998</v>
      </c>
      <c r="I84" s="55">
        <v>0.98433360000000003</v>
      </c>
      <c r="J84" s="55">
        <v>0.98755280000000001</v>
      </c>
      <c r="K84" s="55">
        <v>63.771999999999998</v>
      </c>
      <c r="L84" s="55">
        <v>9.7000000000000003E-2</v>
      </c>
      <c r="M84" s="15" t="e">
        <f>#REF!</f>
        <v>#REF!</v>
      </c>
      <c r="N84" s="16">
        <f t="shared" si="76"/>
        <v>1.7714444444444442E-2</v>
      </c>
      <c r="P84" s="60">
        <v>656.6</v>
      </c>
      <c r="Q84" s="60">
        <v>37.944800000000001</v>
      </c>
      <c r="R84" s="60">
        <v>39.183599999999998</v>
      </c>
      <c r="S84" s="60">
        <v>40.9756</v>
      </c>
      <c r="T84" s="60">
        <v>0.99417999999999995</v>
      </c>
      <c r="U84" s="60">
        <v>0.98451789999999995</v>
      </c>
      <c r="V84" s="60">
        <v>0.98777879999999996</v>
      </c>
      <c r="W84" s="60">
        <v>118.25700000000001</v>
      </c>
      <c r="X84" s="60">
        <v>0.32200000000000001</v>
      </c>
      <c r="Y84" s="15" t="e">
        <f>#REF!</f>
        <v>#REF!</v>
      </c>
      <c r="Z84" s="16">
        <f t="shared" si="77"/>
        <v>3.2849166666666665E-2</v>
      </c>
      <c r="AA84" s="10">
        <f t="shared" si="78"/>
        <v>1.8543718246252274</v>
      </c>
      <c r="AB84" s="15">
        <f t="shared" si="96"/>
        <v>3.3195876288659796</v>
      </c>
      <c r="AC84" s="15" t="e">
        <f t="shared" si="96"/>
        <v>#REF!</v>
      </c>
      <c r="AD84" s="16">
        <f t="shared" si="79"/>
        <v>1.6781083142639553E-3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4.0535304595308297E-3</v>
      </c>
      <c r="AM84" s="21">
        <f>bdrate($D84:$D87,F84:F87,$P84:$P87,R84:R87)</f>
        <v>6.648166464756633E-3</v>
      </c>
      <c r="AN84" s="36">
        <f t="shared" ref="AN84" si="102">bdrate($D84:$D87,G84:G87,$P84:$P87,S84:S87)</f>
        <v>2.2618939311244368E-2</v>
      </c>
      <c r="AO84" s="26">
        <f>bdrate($D84:$D87,H84:H87,$P84:$P87,T84:T87)</f>
        <v>5.8318890105013566E-3</v>
      </c>
      <c r="AP84" s="21">
        <f>bdrate($D84:$D87,I84:I87,$P84:$P87,U84:U87)</f>
        <v>1.5819209486387154E-2</v>
      </c>
      <c r="AQ84" s="36">
        <f>bdrate($D84:$D87,J84:J87,$P84:$P87,V84:V87)</f>
        <v>2.1683234763114401E-2</v>
      </c>
      <c r="AR84" s="21"/>
      <c r="AS84" s="21"/>
      <c r="AT84" s="36"/>
      <c r="AU84" s="26"/>
      <c r="AV84" s="21"/>
      <c r="AW84" s="36"/>
      <c r="AX84" s="15">
        <f>V84/J84</f>
        <v>1.0002288485233397</v>
      </c>
      <c r="AY84" s="15">
        <f t="shared" ref="AY84:AY87" si="103">X84/L84</f>
        <v>3.3195876288659796</v>
      </c>
      <c r="AZ84" s="15">
        <f t="shared" si="87"/>
        <v>1.8543718246252274</v>
      </c>
      <c r="BA84" s="15">
        <f>V84/J84</f>
        <v>1.0002288485233397</v>
      </c>
      <c r="BB84" s="15">
        <f t="shared" si="101"/>
        <v>3.3195876288659796</v>
      </c>
      <c r="BC84" s="15">
        <f t="shared" si="83"/>
        <v>1.8543718246252274</v>
      </c>
      <c r="BD84" s="1">
        <f t="shared" si="84"/>
        <v>0</v>
      </c>
    </row>
    <row r="85" spans="1:56" ht="15.75" thickBot="1" x14ac:dyDescent="0.25">
      <c r="A85" s="13"/>
      <c r="B85" s="13"/>
      <c r="C85" s="43">
        <v>32</v>
      </c>
      <c r="D85" s="55">
        <v>361.5</v>
      </c>
      <c r="E85" s="55">
        <v>34.334600000000002</v>
      </c>
      <c r="F85" s="55">
        <v>36.2714</v>
      </c>
      <c r="G85" s="55">
        <v>38.185400000000001</v>
      </c>
      <c r="H85" s="55">
        <v>0.98624040000000002</v>
      </c>
      <c r="I85" s="55">
        <v>0.96413219999999999</v>
      </c>
      <c r="J85" s="55">
        <v>0.9728871</v>
      </c>
      <c r="K85" s="55">
        <v>51.677999999999997</v>
      </c>
      <c r="L85" s="55">
        <v>9.7000000000000003E-2</v>
      </c>
      <c r="M85" s="15" t="e">
        <f>#REF!</f>
        <v>#REF!</v>
      </c>
      <c r="N85" s="16">
        <f t="shared" si="76"/>
        <v>1.4355E-2</v>
      </c>
      <c r="P85" s="60">
        <v>366.4</v>
      </c>
      <c r="Q85" s="60">
        <v>34.393300000000004</v>
      </c>
      <c r="R85" s="60">
        <v>36.299500000000002</v>
      </c>
      <c r="S85" s="60">
        <v>38.245100000000001</v>
      </c>
      <c r="T85" s="60">
        <v>0.98624100000000003</v>
      </c>
      <c r="U85" s="60">
        <v>0.96228519999999995</v>
      </c>
      <c r="V85" s="60">
        <v>0.97209129999999999</v>
      </c>
      <c r="W85" s="60">
        <v>178.71700000000001</v>
      </c>
      <c r="X85" s="60">
        <v>0.09</v>
      </c>
      <c r="Y85" s="15" t="e">
        <f>#REF!</f>
        <v>#REF!</v>
      </c>
      <c r="Z85" s="16">
        <f t="shared" si="77"/>
        <v>4.9643611111111118E-2</v>
      </c>
      <c r="AA85" s="10">
        <f t="shared" si="78"/>
        <v>3.4582801191996597</v>
      </c>
      <c r="AB85" s="15">
        <f t="shared" si="96"/>
        <v>0.92783505154639168</v>
      </c>
      <c r="AC85" s="15" t="e">
        <f t="shared" si="96"/>
        <v>#REF!</v>
      </c>
      <c r="AD85" s="16">
        <f t="shared" si="79"/>
        <v>1.3554633471645858E-2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>
        <f>V85/J85</f>
        <v>0.99918202225109165</v>
      </c>
      <c r="AY85" s="15">
        <f t="shared" si="103"/>
        <v>0.92783505154639168</v>
      </c>
      <c r="AZ85" s="15">
        <f t="shared" si="87"/>
        <v>3.4582801191996602</v>
      </c>
      <c r="BA85" s="15">
        <f>V85/J85</f>
        <v>0.99918202225109165</v>
      </c>
      <c r="BB85" s="15">
        <f t="shared" si="101"/>
        <v>0.92783505154639168</v>
      </c>
      <c r="BC85" s="15">
        <f t="shared" si="83"/>
        <v>3.4582801191996602</v>
      </c>
      <c r="BD85" s="1">
        <f t="shared" si="84"/>
        <v>0</v>
      </c>
    </row>
    <row r="86" spans="1:56" ht="15.75" thickBot="1" x14ac:dyDescent="0.25">
      <c r="A86" s="13"/>
      <c r="B86" s="13"/>
      <c r="C86" s="43">
        <v>37</v>
      </c>
      <c r="D86" s="55">
        <v>190.2</v>
      </c>
      <c r="E86" s="55">
        <v>31.0625</v>
      </c>
      <c r="F86" s="55">
        <v>34.869300000000003</v>
      </c>
      <c r="G86" s="55">
        <v>36.8673</v>
      </c>
      <c r="H86" s="55">
        <v>0.96881669999999998</v>
      </c>
      <c r="I86" s="55">
        <v>0.94656879999999999</v>
      </c>
      <c r="J86" s="55">
        <v>0.95836149999999998</v>
      </c>
      <c r="K86" s="55">
        <v>34.506</v>
      </c>
      <c r="L86" s="55">
        <v>9.2999999999999999E-2</v>
      </c>
      <c r="M86" s="15" t="e">
        <f>#REF!</f>
        <v>#REF!</v>
      </c>
      <c r="N86" s="16">
        <f t="shared" si="76"/>
        <v>9.5849999999999998E-3</v>
      </c>
      <c r="P86" s="60">
        <v>192.7</v>
      </c>
      <c r="Q86" s="60">
        <v>31.0977</v>
      </c>
      <c r="R86" s="60">
        <v>34.856200000000001</v>
      </c>
      <c r="S86" s="60">
        <v>36.622300000000003</v>
      </c>
      <c r="T86" s="60">
        <v>0.96906020000000004</v>
      </c>
      <c r="U86" s="60">
        <v>0.94795779999999996</v>
      </c>
      <c r="V86" s="60">
        <v>0.95755420000000002</v>
      </c>
      <c r="W86" s="60">
        <v>91.741</v>
      </c>
      <c r="X86" s="60">
        <v>0.09</v>
      </c>
      <c r="Y86" s="15" t="e">
        <f>#REF!</f>
        <v>#REF!</v>
      </c>
      <c r="Z86" s="16">
        <f t="shared" si="77"/>
        <v>2.548361111111111E-2</v>
      </c>
      <c r="AA86" s="10">
        <f t="shared" si="78"/>
        <v>2.6586970381962556</v>
      </c>
      <c r="AB86" s="15">
        <f t="shared" si="96"/>
        <v>0.96774193548387089</v>
      </c>
      <c r="AC86" s="15" t="e">
        <f t="shared" si="96"/>
        <v>#REF!</v>
      </c>
      <c r="AD86" s="16">
        <f t="shared" si="79"/>
        <v>1.3144058885383808E-2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>
        <f>V86/J86</f>
        <v>0.99915762475850711</v>
      </c>
      <c r="AY86" s="15">
        <f t="shared" si="103"/>
        <v>0.96774193548387089</v>
      </c>
      <c r="AZ86" s="15">
        <f t="shared" si="87"/>
        <v>2.6586970381962556</v>
      </c>
      <c r="BA86" s="15">
        <f>V86/J86</f>
        <v>0.99915762475850711</v>
      </c>
      <c r="BB86" s="15">
        <f t="shared" si="101"/>
        <v>0.96774193548387089</v>
      </c>
      <c r="BC86" s="15">
        <f t="shared" si="83"/>
        <v>2.6586970381962556</v>
      </c>
      <c r="BD86" s="1">
        <f t="shared" si="84"/>
        <v>0</v>
      </c>
    </row>
    <row r="87" spans="1:56" ht="15.75" thickBot="1" x14ac:dyDescent="0.25">
      <c r="A87" s="13"/>
      <c r="B87" s="17"/>
      <c r="C87" s="44">
        <v>42</v>
      </c>
      <c r="D87" s="55">
        <v>95.5</v>
      </c>
      <c r="E87" s="55">
        <v>28.227900000000002</v>
      </c>
      <c r="F87" s="55">
        <v>33.402500000000003</v>
      </c>
      <c r="G87" s="55">
        <v>35.176000000000002</v>
      </c>
      <c r="H87" s="55">
        <v>0.93681179999999997</v>
      </c>
      <c r="I87" s="55">
        <v>0.92462520000000004</v>
      </c>
      <c r="J87" s="55">
        <v>0.93710959999999999</v>
      </c>
      <c r="K87" s="55">
        <v>21.905999999999999</v>
      </c>
      <c r="L87" s="55">
        <v>9.5000000000000001E-2</v>
      </c>
      <c r="M87" s="19" t="e">
        <f>#REF!</f>
        <v>#REF!</v>
      </c>
      <c r="N87" s="20">
        <f t="shared" si="76"/>
        <v>6.0849999999999993E-3</v>
      </c>
      <c r="P87" s="60">
        <v>94.65</v>
      </c>
      <c r="Q87" s="60">
        <v>28.146699999999999</v>
      </c>
      <c r="R87" s="60">
        <v>33.355200000000004</v>
      </c>
      <c r="S87" s="60">
        <v>35.264499999999998</v>
      </c>
      <c r="T87" s="60">
        <v>0.9360096</v>
      </c>
      <c r="U87" s="60">
        <v>0.92316960000000003</v>
      </c>
      <c r="V87" s="60">
        <v>0.93975120000000001</v>
      </c>
      <c r="W87" s="60">
        <v>169.8</v>
      </c>
      <c r="X87" s="60">
        <v>8.2000000000000003E-2</v>
      </c>
      <c r="Y87" s="19" t="e">
        <f>#REF!</f>
        <v>#REF!</v>
      </c>
      <c r="Z87" s="20">
        <f t="shared" si="77"/>
        <v>4.7166666666666669E-2</v>
      </c>
      <c r="AA87" s="10">
        <f t="shared" si="78"/>
        <v>7.7513010134209814</v>
      </c>
      <c r="AB87" s="15">
        <f t="shared" si="96"/>
        <v>0.86315789473684212</v>
      </c>
      <c r="AC87" s="15" t="e">
        <f t="shared" si="96"/>
        <v>#REF!</v>
      </c>
      <c r="AD87" s="20">
        <f t="shared" si="79"/>
        <v>8.9005235602093637E-3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>
        <f>V87/J87</f>
        <v>1.0028188805236868</v>
      </c>
      <c r="AY87" s="15">
        <f t="shared" si="103"/>
        <v>0.86315789473684212</v>
      </c>
      <c r="AZ87" s="15">
        <f t="shared" si="87"/>
        <v>7.7513010134209823</v>
      </c>
      <c r="BA87" s="15"/>
      <c r="BB87" s="15"/>
      <c r="BC87" s="15"/>
      <c r="BD87" s="1">
        <f t="shared" si="84"/>
        <v>0</v>
      </c>
    </row>
    <row r="88" spans="1:56" ht="15.75" thickBot="1" x14ac:dyDescent="0.25">
      <c r="A88" s="13"/>
      <c r="B88" s="8" t="s">
        <v>30</v>
      </c>
      <c r="C88" s="39">
        <v>22</v>
      </c>
      <c r="D88" s="55">
        <v>1514.34</v>
      </c>
      <c r="E88" s="55">
        <v>42.559699999999999</v>
      </c>
      <c r="F88" s="55">
        <v>44.520400000000002</v>
      </c>
      <c r="G88" s="55">
        <v>45.401800000000001</v>
      </c>
      <c r="H88" s="55">
        <v>0.99783679999999997</v>
      </c>
      <c r="I88" s="55">
        <v>0.99401329999999999</v>
      </c>
      <c r="J88" s="55">
        <v>0.99530070000000004</v>
      </c>
      <c r="K88" s="55">
        <v>65.820999999999998</v>
      </c>
      <c r="L88" s="55">
        <v>0.108</v>
      </c>
      <c r="M88" s="10" t="e">
        <f>#REF!</f>
        <v>#REF!</v>
      </c>
      <c r="N88" s="11">
        <f t="shared" si="76"/>
        <v>1.8283611111111112E-2</v>
      </c>
      <c r="P88" s="60">
        <v>1514.58</v>
      </c>
      <c r="Q88" s="60">
        <v>42.538400000000003</v>
      </c>
      <c r="R88" s="60">
        <v>44.489100000000001</v>
      </c>
      <c r="S88" s="60">
        <v>45.369700000000002</v>
      </c>
      <c r="T88" s="60">
        <v>0.9978764</v>
      </c>
      <c r="U88" s="60">
        <v>0.99390469999999997</v>
      </c>
      <c r="V88" s="60">
        <v>0.99529210000000001</v>
      </c>
      <c r="W88" s="60">
        <v>97.19</v>
      </c>
      <c r="X88" s="60">
        <v>0.27500000000000002</v>
      </c>
      <c r="Y88" s="10" t="e">
        <f>#REF!</f>
        <v>#REF!</v>
      </c>
      <c r="Z88" s="11">
        <f t="shared" si="77"/>
        <v>2.6997222222222221E-2</v>
      </c>
      <c r="AA88" s="10">
        <f t="shared" si="78"/>
        <v>1.4765804226614607</v>
      </c>
      <c r="AB88" s="15">
        <f t="shared" si="96"/>
        <v>2.5462962962962967</v>
      </c>
      <c r="AC88" s="15" t="e">
        <f t="shared" si="96"/>
        <v>#REF!</v>
      </c>
      <c r="AD88" s="11">
        <f t="shared" si="79"/>
        <v>1.5848488450414644E-4</v>
      </c>
      <c r="AE88" s="12"/>
      <c r="AF88" s="25">
        <f t="shared" ref="AF88:AK88" si="104">bdRateExtend($D88:$D92,E88:E92,$P88:$P92,Q88:Q92)</f>
        <v>7.3716564367742876E-4</v>
      </c>
      <c r="AG88" s="30">
        <f t="shared" si="104"/>
        <v>-6.8632895196801824E-3</v>
      </c>
      <c r="AH88" s="31">
        <f t="shared" si="104"/>
        <v>-2.9090642284238633E-2</v>
      </c>
      <c r="AI88" s="25">
        <f t="shared" si="104"/>
        <v>7.9354606436521369E-3</v>
      </c>
      <c r="AJ88" s="30">
        <f>bdRateExtend($D88:$D92,I88:I92,$P88:$P92,U88:U92)</f>
        <v>-7.7770452957104386E-3</v>
      </c>
      <c r="AK88" s="30">
        <f t="shared" si="104"/>
        <v>-5.6676355729696537E-2</v>
      </c>
      <c r="AL88" s="45"/>
      <c r="AM88" s="46"/>
      <c r="AN88" s="47"/>
      <c r="AO88" s="46"/>
      <c r="AP88" s="46"/>
      <c r="AQ88" s="47"/>
      <c r="AR88" s="30">
        <f t="shared" ref="AR88:AW88" si="105">bdrate($D88:$D91,E88:E91,$P88:$P91,Q88:Q91)</f>
        <v>2.0152755686804191E-3</v>
      </c>
      <c r="AS88" s="30">
        <f t="shared" si="105"/>
        <v>-3.6709298197881157E-3</v>
      </c>
      <c r="AT88" s="31">
        <f t="shared" si="105"/>
        <v>-2.3025373008620953E-2</v>
      </c>
      <c r="AU88" s="25">
        <f t="shared" si="105"/>
        <v>1.051990731917396E-2</v>
      </c>
      <c r="AV88" s="30">
        <f t="shared" si="105"/>
        <v>4.1367534407232842E-3</v>
      </c>
      <c r="AW88" s="31">
        <f t="shared" si="105"/>
        <v>-5.0586779379270363E-2</v>
      </c>
      <c r="AX88" s="15"/>
      <c r="AY88" s="15"/>
      <c r="AZ88" s="15"/>
      <c r="BA88" s="15">
        <f>V88/J88</f>
        <v>0.99999135939520589</v>
      </c>
      <c r="BB88" s="15">
        <f t="shared" ref="BB88:BB91" si="106">X88/L88</f>
        <v>2.5462962962962967</v>
      </c>
      <c r="BC88" s="15">
        <f t="shared" si="83"/>
        <v>1.4765804226614605</v>
      </c>
      <c r="BD88" s="1">
        <f t="shared" si="84"/>
        <v>0</v>
      </c>
    </row>
    <row r="89" spans="1:56" ht="15.75" thickBot="1" x14ac:dyDescent="0.25">
      <c r="A89" s="13"/>
      <c r="B89" s="13"/>
      <c r="C89" s="43">
        <v>27</v>
      </c>
      <c r="D89" s="55">
        <v>1001.52</v>
      </c>
      <c r="E89" s="55">
        <v>38.151400000000002</v>
      </c>
      <c r="F89" s="55">
        <v>41.760899999999999</v>
      </c>
      <c r="G89" s="55">
        <v>42.595300000000002</v>
      </c>
      <c r="H89" s="55">
        <v>0.99416329999999997</v>
      </c>
      <c r="I89" s="55">
        <v>0.98564149999999995</v>
      </c>
      <c r="J89" s="55">
        <v>0.98935220000000001</v>
      </c>
      <c r="K89" s="55">
        <v>48.09</v>
      </c>
      <c r="L89" s="55">
        <v>0.10299999999999999</v>
      </c>
      <c r="M89" s="15" t="e">
        <f>#REF!</f>
        <v>#REF!</v>
      </c>
      <c r="N89" s="16">
        <f t="shared" si="76"/>
        <v>1.3358333333333335E-2</v>
      </c>
      <c r="P89" s="60">
        <v>1000.26</v>
      </c>
      <c r="Q89" s="60">
        <v>38.090200000000003</v>
      </c>
      <c r="R89" s="60">
        <v>41.712499999999999</v>
      </c>
      <c r="S89" s="60">
        <v>42.570599999999999</v>
      </c>
      <c r="T89" s="60">
        <v>0.99406609999999995</v>
      </c>
      <c r="U89" s="60">
        <v>0.98483229999999999</v>
      </c>
      <c r="V89" s="60">
        <v>0.98930260000000003</v>
      </c>
      <c r="W89" s="60">
        <v>92.997</v>
      </c>
      <c r="X89" s="60">
        <v>9.4E-2</v>
      </c>
      <c r="Y89" s="15" t="e">
        <f>#REF!</f>
        <v>#REF!</v>
      </c>
      <c r="Z89" s="16">
        <f t="shared" si="77"/>
        <v>2.5832500000000001E-2</v>
      </c>
      <c r="AA89" s="10">
        <f t="shared" si="78"/>
        <v>1.9338116032439174</v>
      </c>
      <c r="AB89" s="15">
        <f t="shared" si="96"/>
        <v>0.91262135922330101</v>
      </c>
      <c r="AC89" s="15" t="e">
        <f t="shared" si="96"/>
        <v>#REF!</v>
      </c>
      <c r="AD89" s="16">
        <f t="shared" si="79"/>
        <v>1.2580877066858285E-3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-8.6911543383150214E-4</v>
      </c>
      <c r="AM89" s="21">
        <f>bdrate($D89:$D92,F89:F92,$P89:$P92,R89:R92)</f>
        <v>-2.4606906990414235E-2</v>
      </c>
      <c r="AN89" s="36">
        <f t="shared" ref="AN89" si="107">bdrate($D89:$D92,G89:G92,$P89:$P92,S89:S92)</f>
        <v>-5.4362994729006853E-2</v>
      </c>
      <c r="AO89" s="26">
        <f>bdrate($D89:$D92,H89:H92,$P89:$P92,T89:T92)</f>
        <v>9.0559146651081335E-3</v>
      </c>
      <c r="AP89" s="21">
        <f>bdrate($D89:$D92,I89:I92,$P89:$P92,U89:U92)</f>
        <v>-2.0161181972249365E-2</v>
      </c>
      <c r="AQ89" s="36">
        <f>bdrate($D89:$D92,J89:J92,$P89:$P92,V89:V92)</f>
        <v>-7.9482020162748301E-2</v>
      </c>
      <c r="AR89" s="21"/>
      <c r="AS89" s="21"/>
      <c r="AT89" s="36"/>
      <c r="AU89" s="26"/>
      <c r="AV89" s="21"/>
      <c r="AW89" s="36"/>
      <c r="AX89" s="15">
        <f>V89/J89</f>
        <v>0.99994986618516646</v>
      </c>
      <c r="AY89" s="15">
        <f t="shared" ref="AY89:AY92" si="108">X89/L89</f>
        <v>0.91262135922330101</v>
      </c>
      <c r="AZ89" s="15">
        <f t="shared" si="87"/>
        <v>1.9338116032439174</v>
      </c>
      <c r="BA89" s="15">
        <f>V89/J89</f>
        <v>0.99994986618516646</v>
      </c>
      <c r="BB89" s="15">
        <f t="shared" si="106"/>
        <v>0.91262135922330101</v>
      </c>
      <c r="BC89" s="15">
        <f t="shared" si="83"/>
        <v>1.9338116032439174</v>
      </c>
      <c r="BD89" s="1">
        <f t="shared" si="84"/>
        <v>0</v>
      </c>
    </row>
    <row r="90" spans="1:56" ht="15.75" thickBot="1" x14ac:dyDescent="0.25">
      <c r="A90" s="13"/>
      <c r="B90" s="13"/>
      <c r="C90" s="43">
        <v>32</v>
      </c>
      <c r="D90" s="55">
        <v>625.91999999999996</v>
      </c>
      <c r="E90" s="55">
        <v>34.166800000000002</v>
      </c>
      <c r="F90" s="55">
        <v>39.695700000000002</v>
      </c>
      <c r="G90" s="55">
        <v>39.882199999999997</v>
      </c>
      <c r="H90" s="55">
        <v>0.98643199999999998</v>
      </c>
      <c r="I90" s="55">
        <v>0.96956120000000001</v>
      </c>
      <c r="J90" s="55">
        <v>0.97763420000000001</v>
      </c>
      <c r="K90" s="55">
        <v>37.762</v>
      </c>
      <c r="L90" s="55">
        <v>9.4E-2</v>
      </c>
      <c r="M90" s="15" t="e">
        <f>#REF!</f>
        <v>#REF!</v>
      </c>
      <c r="N90" s="16">
        <f t="shared" si="76"/>
        <v>1.0489444444444445E-2</v>
      </c>
      <c r="P90" s="60">
        <v>624.9</v>
      </c>
      <c r="Q90" s="60">
        <v>34.155900000000003</v>
      </c>
      <c r="R90" s="60">
        <v>39.800199999999997</v>
      </c>
      <c r="S90" s="60">
        <v>40.131700000000002</v>
      </c>
      <c r="T90" s="60">
        <v>0.98612010000000005</v>
      </c>
      <c r="U90" s="60">
        <v>0.96995319999999996</v>
      </c>
      <c r="V90" s="60">
        <v>0.97952870000000003</v>
      </c>
      <c r="W90" s="60">
        <v>94.947000000000003</v>
      </c>
      <c r="X90" s="60">
        <v>9.4E-2</v>
      </c>
      <c r="Y90" s="15" t="e">
        <f>#REF!</f>
        <v>#REF!</v>
      </c>
      <c r="Z90" s="16">
        <f t="shared" si="77"/>
        <v>2.6374166666666667E-2</v>
      </c>
      <c r="AA90" s="10">
        <f t="shared" si="78"/>
        <v>2.5143530533340397</v>
      </c>
      <c r="AB90" s="15">
        <f t="shared" si="96"/>
        <v>1</v>
      </c>
      <c r="AC90" s="15" t="e">
        <f t="shared" si="96"/>
        <v>#REF!</v>
      </c>
      <c r="AD90" s="16">
        <f t="shared" si="79"/>
        <v>1.6296012269938361E-3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>
        <f>V90/J90</f>
        <v>1.0019378413725706</v>
      </c>
      <c r="AY90" s="15">
        <f t="shared" si="108"/>
        <v>1</v>
      </c>
      <c r="AZ90" s="15">
        <f t="shared" si="87"/>
        <v>2.5143530533340392</v>
      </c>
      <c r="BA90" s="15">
        <f>V90/J90</f>
        <v>1.0019378413725706</v>
      </c>
      <c r="BB90" s="15">
        <f t="shared" si="106"/>
        <v>1</v>
      </c>
      <c r="BC90" s="15">
        <f t="shared" si="83"/>
        <v>2.5143530533340392</v>
      </c>
      <c r="BD90" s="1">
        <f t="shared" si="84"/>
        <v>0</v>
      </c>
    </row>
    <row r="91" spans="1:56" ht="15.75" thickBot="1" x14ac:dyDescent="0.25">
      <c r="A91" s="13"/>
      <c r="B91" s="13"/>
      <c r="C91" s="43">
        <v>37</v>
      </c>
      <c r="D91" s="55">
        <v>387.24</v>
      </c>
      <c r="E91" s="55">
        <v>30.616700000000002</v>
      </c>
      <c r="F91" s="55">
        <v>38.538800000000002</v>
      </c>
      <c r="G91" s="55">
        <v>38.782299999999999</v>
      </c>
      <c r="H91" s="55">
        <v>0.97856639999999995</v>
      </c>
      <c r="I91" s="55">
        <v>0.95818559999999997</v>
      </c>
      <c r="J91" s="55">
        <v>0.97197160000000005</v>
      </c>
      <c r="K91" s="55">
        <v>31.535</v>
      </c>
      <c r="L91" s="55">
        <v>9.0999999999999998E-2</v>
      </c>
      <c r="M91" s="15" t="e">
        <f>#REF!</f>
        <v>#REF!</v>
      </c>
      <c r="N91" s="16">
        <f t="shared" si="76"/>
        <v>8.7597222222222226E-3</v>
      </c>
      <c r="P91" s="60">
        <v>384</v>
      </c>
      <c r="Q91" s="60">
        <v>30.5793</v>
      </c>
      <c r="R91" s="60">
        <v>38.504399999999997</v>
      </c>
      <c r="S91" s="60">
        <v>38.985199999999999</v>
      </c>
      <c r="T91" s="60">
        <v>0.97836210000000001</v>
      </c>
      <c r="U91" s="60">
        <v>0.95807810000000004</v>
      </c>
      <c r="V91" s="60">
        <v>0.97298660000000003</v>
      </c>
      <c r="W91" s="60">
        <v>87.143000000000001</v>
      </c>
      <c r="X91" s="60">
        <v>0.18</v>
      </c>
      <c r="Y91" s="15" t="e">
        <f>#REF!</f>
        <v>#REF!</v>
      </c>
      <c r="Z91" s="16">
        <f t="shared" si="77"/>
        <v>2.4206388888888888E-2</v>
      </c>
      <c r="AA91" s="10">
        <f t="shared" si="78"/>
        <v>2.7633740288568256</v>
      </c>
      <c r="AB91" s="15">
        <f t="shared" si="96"/>
        <v>1.9780219780219781</v>
      </c>
      <c r="AC91" s="15" t="e">
        <f t="shared" si="96"/>
        <v>#REF!</v>
      </c>
      <c r="AD91" s="16">
        <f t="shared" si="79"/>
        <v>8.3669042454292148E-3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>
        <f>V91/J91</f>
        <v>1.0010442691946966</v>
      </c>
      <c r="AY91" s="15">
        <f t="shared" si="108"/>
        <v>1.9780219780219781</v>
      </c>
      <c r="AZ91" s="15">
        <f t="shared" si="87"/>
        <v>2.7633740288568256</v>
      </c>
      <c r="BA91" s="15">
        <f>V91/J91</f>
        <v>1.0010442691946966</v>
      </c>
      <c r="BB91" s="15">
        <f t="shared" si="106"/>
        <v>1.9780219780219781</v>
      </c>
      <c r="BC91" s="15">
        <f t="shared" si="83"/>
        <v>2.7633740288568256</v>
      </c>
      <c r="BD91" s="1">
        <f t="shared" si="84"/>
        <v>0</v>
      </c>
    </row>
    <row r="92" spans="1:56" ht="15.75" thickBot="1" x14ac:dyDescent="0.25">
      <c r="A92" s="13"/>
      <c r="B92" s="17"/>
      <c r="C92" s="44">
        <v>42</v>
      </c>
      <c r="D92" s="55">
        <v>220.98</v>
      </c>
      <c r="E92" s="55">
        <v>26.988499999999998</v>
      </c>
      <c r="F92" s="55">
        <v>37.681100000000001</v>
      </c>
      <c r="G92" s="55">
        <v>37.389400000000002</v>
      </c>
      <c r="H92" s="55">
        <v>0.96525470000000002</v>
      </c>
      <c r="I92" s="55">
        <v>0.94743140000000003</v>
      </c>
      <c r="J92" s="55">
        <v>0.95874879999999996</v>
      </c>
      <c r="K92" s="55">
        <v>26.013000000000002</v>
      </c>
      <c r="L92" s="55">
        <v>8.6999999999999994E-2</v>
      </c>
      <c r="M92" s="19" t="e">
        <f>#REF!</f>
        <v>#REF!</v>
      </c>
      <c r="N92" s="20">
        <f t="shared" si="76"/>
        <v>7.2258333333333341E-3</v>
      </c>
      <c r="P92" s="60">
        <v>220.92</v>
      </c>
      <c r="Q92" s="60">
        <v>27.0092</v>
      </c>
      <c r="R92" s="60">
        <v>37.955100000000002</v>
      </c>
      <c r="S92" s="60">
        <v>37.375799999999998</v>
      </c>
      <c r="T92" s="60">
        <v>0.96472939999999996</v>
      </c>
      <c r="U92" s="60">
        <v>0.95180670000000001</v>
      </c>
      <c r="V92" s="60">
        <v>0.96219909999999997</v>
      </c>
      <c r="W92" s="60">
        <v>86.016000000000005</v>
      </c>
      <c r="X92" s="60">
        <v>0.16900000000000001</v>
      </c>
      <c r="Y92" s="19" t="e">
        <f>#REF!</f>
        <v>#REF!</v>
      </c>
      <c r="Z92" s="20">
        <f t="shared" si="77"/>
        <v>2.3893333333333336E-2</v>
      </c>
      <c r="AA92" s="10">
        <f t="shared" si="78"/>
        <v>3.3066543651251297</v>
      </c>
      <c r="AB92" s="15">
        <f t="shared" si="96"/>
        <v>1.9425287356321841</v>
      </c>
      <c r="AC92" s="15" t="e">
        <f t="shared" si="96"/>
        <v>#REF!</v>
      </c>
      <c r="AD92" s="20">
        <f t="shared" si="79"/>
        <v>2.7151778441488947E-4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>
        <f>V92/J92</f>
        <v>1.0035987528745798</v>
      </c>
      <c r="AY92" s="15">
        <f t="shared" si="108"/>
        <v>1.9425287356321841</v>
      </c>
      <c r="AZ92" s="15">
        <f t="shared" si="87"/>
        <v>3.3066543651251297</v>
      </c>
      <c r="BA92" s="15"/>
      <c r="BB92" s="15"/>
      <c r="BC92" s="15"/>
      <c r="BD92" s="1">
        <f t="shared" si="84"/>
        <v>0</v>
      </c>
    </row>
    <row r="93" spans="1:56" ht="15.75" thickBot="1" x14ac:dyDescent="0.25">
      <c r="A93" s="13"/>
      <c r="B93" s="8" t="s">
        <v>28</v>
      </c>
      <c r="C93" s="39">
        <v>22</v>
      </c>
      <c r="D93" s="55">
        <v>614.88</v>
      </c>
      <c r="E93" s="55">
        <v>43.431699999999999</v>
      </c>
      <c r="F93" s="55">
        <v>43.515500000000003</v>
      </c>
      <c r="G93" s="55">
        <v>44.251800000000003</v>
      </c>
      <c r="H93" s="55">
        <v>0.99836320000000001</v>
      </c>
      <c r="I93" s="55">
        <v>0.99599649999999995</v>
      </c>
      <c r="J93" s="55">
        <v>0.99604190000000004</v>
      </c>
      <c r="K93" s="55">
        <v>68.313999999999993</v>
      </c>
      <c r="L93" s="55">
        <v>0.105</v>
      </c>
      <c r="M93" s="10" t="e">
        <f>#REF!</f>
        <v>#REF!</v>
      </c>
      <c r="N93" s="11">
        <f t="shared" si="76"/>
        <v>1.897611111111111E-2</v>
      </c>
      <c r="P93" s="60">
        <v>616.02</v>
      </c>
      <c r="Q93" s="60">
        <v>43.417099999999998</v>
      </c>
      <c r="R93" s="60">
        <v>43.409799999999997</v>
      </c>
      <c r="S93" s="60">
        <v>44.269300000000001</v>
      </c>
      <c r="T93" s="60">
        <v>0.99835669999999999</v>
      </c>
      <c r="U93" s="60">
        <v>0.99599899999999997</v>
      </c>
      <c r="V93" s="60">
        <v>0.99599340000000003</v>
      </c>
      <c r="W93" s="60">
        <v>128.489</v>
      </c>
      <c r="X93" s="60">
        <v>0.24399999999999999</v>
      </c>
      <c r="Y93" s="10" t="e">
        <f>#REF!</f>
        <v>#REF!</v>
      </c>
      <c r="Z93" s="11">
        <f t="shared" si="77"/>
        <v>3.5691388888888891E-2</v>
      </c>
      <c r="AA93" s="10">
        <f t="shared" si="78"/>
        <v>1.8808589747343154</v>
      </c>
      <c r="AB93" s="15">
        <f t="shared" si="96"/>
        <v>2.323809523809524</v>
      </c>
      <c r="AC93" s="15" t="e">
        <f t="shared" si="96"/>
        <v>#REF!</v>
      </c>
      <c r="AD93" s="11">
        <f t="shared" si="79"/>
        <v>1.8540202966432252E-3</v>
      </c>
      <c r="AE93" s="12"/>
      <c r="AF93" s="25">
        <f t="shared" ref="AF93:AK93" si="109">bdRateExtend($D93:$D97,E93:E97,$P93:$P97,Q93:Q97)</f>
        <v>1.9781851302758113E-4</v>
      </c>
      <c r="AG93" s="30">
        <f t="shared" si="109"/>
        <v>-1.2399545537070455E-2</v>
      </c>
      <c r="AH93" s="31">
        <f t="shared" si="109"/>
        <v>-8.1970539111092533E-3</v>
      </c>
      <c r="AI93" s="25">
        <f t="shared" si="109"/>
        <v>-1.1458941597848549E-2</v>
      </c>
      <c r="AJ93" s="30">
        <f t="shared" si="109"/>
        <v>-6.2518928049771771E-3</v>
      </c>
      <c r="AK93" s="30">
        <f t="shared" si="109"/>
        <v>-1.1556518688290329E-2</v>
      </c>
      <c r="AL93" s="26"/>
      <c r="AM93" s="21"/>
      <c r="AN93" s="36"/>
      <c r="AO93" s="21"/>
      <c r="AP93" s="21"/>
      <c r="AQ93" s="36"/>
      <c r="AR93" s="30">
        <f t="shared" ref="AR93:AW93" si="110">bdrate($D93:$D96,E93:E96,$P93:$P96,Q93:Q96)</f>
        <v>3.1217407794104091E-4</v>
      </c>
      <c r="AS93" s="30">
        <f t="shared" si="110"/>
        <v>-1.851951216697878E-2</v>
      </c>
      <c r="AT93" s="31">
        <f t="shared" si="110"/>
        <v>-2.8659671262408759E-3</v>
      </c>
      <c r="AU93" s="25">
        <f t="shared" si="110"/>
        <v>-4.6118143536179046E-3</v>
      </c>
      <c r="AV93" s="30">
        <f t="shared" si="110"/>
        <v>-3.0081355870969939E-2</v>
      </c>
      <c r="AW93" s="31">
        <f t="shared" si="110"/>
        <v>-1.6295588945071326E-2</v>
      </c>
      <c r="AX93" s="15"/>
      <c r="AY93" s="15"/>
      <c r="AZ93" s="15"/>
      <c r="BA93" s="15">
        <f>V93/J93</f>
        <v>0.99995130726930259</v>
      </c>
      <c r="BB93" s="15">
        <f t="shared" ref="BB93:BB96" si="111">X93/L93</f>
        <v>2.323809523809524</v>
      </c>
      <c r="BC93" s="15">
        <f t="shared" si="83"/>
        <v>1.8808589747343152</v>
      </c>
      <c r="BD93" s="1">
        <f t="shared" si="84"/>
        <v>0</v>
      </c>
    </row>
    <row r="94" spans="1:56" ht="15.75" thickBot="1" x14ac:dyDescent="0.25">
      <c r="A94" s="13"/>
      <c r="B94" s="13"/>
      <c r="C94" s="43">
        <v>27</v>
      </c>
      <c r="D94" s="55">
        <v>381.78</v>
      </c>
      <c r="E94" s="55">
        <v>39.198900000000002</v>
      </c>
      <c r="F94" s="55">
        <v>39.681600000000003</v>
      </c>
      <c r="G94" s="55">
        <v>40.721800000000002</v>
      </c>
      <c r="H94" s="55">
        <v>0.99590559999999995</v>
      </c>
      <c r="I94" s="55">
        <v>0.98895730000000004</v>
      </c>
      <c r="J94" s="55">
        <v>0.99018079999999997</v>
      </c>
      <c r="K94" s="55">
        <v>56.927999999999997</v>
      </c>
      <c r="L94" s="55">
        <v>9.5000000000000001E-2</v>
      </c>
      <c r="M94" s="15" t="e">
        <f>#REF!</f>
        <v>#REF!</v>
      </c>
      <c r="N94" s="16">
        <f t="shared" si="76"/>
        <v>1.5813333333333332E-2</v>
      </c>
      <c r="P94" s="60">
        <v>385.65</v>
      </c>
      <c r="Q94" s="60">
        <v>39.299599999999998</v>
      </c>
      <c r="R94" s="60">
        <v>39.861800000000002</v>
      </c>
      <c r="S94" s="60">
        <v>40.817599999999999</v>
      </c>
      <c r="T94" s="60">
        <v>0.99596209999999996</v>
      </c>
      <c r="U94" s="60">
        <v>0.98916029999999999</v>
      </c>
      <c r="V94" s="60">
        <v>0.99029999999999996</v>
      </c>
      <c r="W94" s="60">
        <v>107.247</v>
      </c>
      <c r="X94" s="60">
        <v>0.11799999999999999</v>
      </c>
      <c r="Y94" s="15" t="e">
        <f>#REF!</f>
        <v>#REF!</v>
      </c>
      <c r="Z94" s="16">
        <f t="shared" si="77"/>
        <v>2.9790833333333332E-2</v>
      </c>
      <c r="AA94" s="10">
        <f t="shared" si="78"/>
        <v>1.8839059865092749</v>
      </c>
      <c r="AB94" s="15">
        <f t="shared" si="96"/>
        <v>1.2421052631578946</v>
      </c>
      <c r="AC94" s="15" t="e">
        <f t="shared" si="96"/>
        <v>#REF!</v>
      </c>
      <c r="AD94" s="16">
        <f t="shared" si="79"/>
        <v>1.013672795851015E-2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8.1893950630007595E-4</v>
      </c>
      <c r="AM94" s="21">
        <f>bdrate($D94:$D97,F94:F97,$P94:$P97,R94:R97)</f>
        <v>-1.8320685500982758E-2</v>
      </c>
      <c r="AN94" s="36">
        <f t="shared" ref="AN94" si="112">bdrate($D94:$D97,G94:G97,$P94:$P97,S94:S97)</f>
        <v>-8.1129734371495621E-3</v>
      </c>
      <c r="AO94" s="26">
        <f>bdrate($D94:$D97,H94:H97,$P94:$P97,T94:T97)</f>
        <v>-1.1968110347131411E-2</v>
      </c>
      <c r="AP94" s="21">
        <f>bdrate($D94:$D97,I94:I97,$P94:$P97,U94:U97)</f>
        <v>-9.9872409267219853E-3</v>
      </c>
      <c r="AQ94" s="36">
        <f>bdrate($D94:$D97,J94:J97,$P94:$P97,V94:V97)</f>
        <v>-1.3891642524727521E-2</v>
      </c>
      <c r="AR94" s="21"/>
      <c r="AS94" s="21"/>
      <c r="AT94" s="36"/>
      <c r="AU94" s="26"/>
      <c r="AV94" s="21"/>
      <c r="AW94" s="36"/>
      <c r="AX94" s="15">
        <f>V94/J94</f>
        <v>1.0001203820554792</v>
      </c>
      <c r="AY94" s="15">
        <f t="shared" ref="AY94:AY97" si="113">X94/L94</f>
        <v>1.2421052631578946</v>
      </c>
      <c r="AZ94" s="15">
        <f t="shared" si="87"/>
        <v>1.8839059865092749</v>
      </c>
      <c r="BA94" s="15">
        <f>V94/J94</f>
        <v>1.0001203820554792</v>
      </c>
      <c r="BB94" s="15">
        <f t="shared" si="111"/>
        <v>1.2421052631578946</v>
      </c>
      <c r="BC94" s="15">
        <f t="shared" si="83"/>
        <v>1.8839059865092749</v>
      </c>
      <c r="BD94" s="1">
        <f t="shared" si="84"/>
        <v>0</v>
      </c>
    </row>
    <row r="95" spans="1:56" ht="15.75" thickBot="1" x14ac:dyDescent="0.25">
      <c r="A95" s="13"/>
      <c r="B95" s="13"/>
      <c r="C95" s="43">
        <v>32</v>
      </c>
      <c r="D95" s="55">
        <v>223.32</v>
      </c>
      <c r="E95" s="55">
        <v>35.270000000000003</v>
      </c>
      <c r="F95" s="55">
        <v>37.107700000000001</v>
      </c>
      <c r="G95" s="55">
        <v>37.690399999999997</v>
      </c>
      <c r="H95" s="55">
        <v>0.9897435</v>
      </c>
      <c r="I95" s="55">
        <v>0.97705739999999996</v>
      </c>
      <c r="J95" s="55">
        <v>0.97805070000000005</v>
      </c>
      <c r="K95" s="55">
        <v>46.463999999999999</v>
      </c>
      <c r="L95" s="55">
        <v>9.5000000000000001E-2</v>
      </c>
      <c r="M95" s="15" t="e">
        <f>#REF!</f>
        <v>#REF!</v>
      </c>
      <c r="N95" s="16">
        <f t="shared" si="76"/>
        <v>1.2906666666666667E-2</v>
      </c>
      <c r="P95" s="60">
        <v>223.8</v>
      </c>
      <c r="Q95" s="60">
        <v>35.2684</v>
      </c>
      <c r="R95" s="60">
        <v>37.238300000000002</v>
      </c>
      <c r="S95" s="60">
        <v>37.682299999999998</v>
      </c>
      <c r="T95" s="60">
        <v>0.98967499999999997</v>
      </c>
      <c r="U95" s="60">
        <v>0.97833199999999998</v>
      </c>
      <c r="V95" s="60">
        <v>0.97856209999999999</v>
      </c>
      <c r="W95" s="60">
        <v>127.785</v>
      </c>
      <c r="X95" s="60">
        <v>9.5000000000000001E-2</v>
      </c>
      <c r="Y95" s="15" t="e">
        <f>#REF!</f>
        <v>#REF!</v>
      </c>
      <c r="Z95" s="16">
        <f t="shared" si="77"/>
        <v>3.5495833333333331E-2</v>
      </c>
      <c r="AA95" s="10">
        <f t="shared" si="78"/>
        <v>2.7501936983471076</v>
      </c>
      <c r="AB95" s="15">
        <f t="shared" si="96"/>
        <v>1</v>
      </c>
      <c r="AC95" s="15" t="e">
        <f t="shared" si="96"/>
        <v>#REF!</v>
      </c>
      <c r="AD95" s="16">
        <f t="shared" si="79"/>
        <v>2.149382052659942E-3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>
        <f>V95/J95</f>
        <v>1.0005228767792917</v>
      </c>
      <c r="AY95" s="15">
        <f t="shared" si="113"/>
        <v>1</v>
      </c>
      <c r="AZ95" s="15">
        <f t="shared" si="87"/>
        <v>2.7501936983471071</v>
      </c>
      <c r="BA95" s="15">
        <f>V95/J95</f>
        <v>1.0005228767792917</v>
      </c>
      <c r="BB95" s="15">
        <f t="shared" si="111"/>
        <v>1</v>
      </c>
      <c r="BC95" s="15">
        <f t="shared" si="83"/>
        <v>2.7501936983471071</v>
      </c>
      <c r="BD95" s="1">
        <f t="shared" si="84"/>
        <v>0</v>
      </c>
    </row>
    <row r="96" spans="1:56" ht="15.75" thickBot="1" x14ac:dyDescent="0.25">
      <c r="A96" s="13"/>
      <c r="B96" s="13"/>
      <c r="C96" s="43">
        <v>37</v>
      </c>
      <c r="D96" s="55">
        <v>121.17</v>
      </c>
      <c r="E96" s="55">
        <v>31.674099999999999</v>
      </c>
      <c r="F96" s="55">
        <v>35.848300000000002</v>
      </c>
      <c r="G96" s="55">
        <v>35.845700000000001</v>
      </c>
      <c r="H96" s="55">
        <v>0.97123689999999996</v>
      </c>
      <c r="I96" s="55">
        <v>0.96652320000000003</v>
      </c>
      <c r="J96" s="55">
        <v>0.96313110000000002</v>
      </c>
      <c r="K96" s="55">
        <v>33.92</v>
      </c>
      <c r="L96" s="55">
        <v>0.09</v>
      </c>
      <c r="M96" s="15" t="e">
        <f>#REF!</f>
        <v>#REF!</v>
      </c>
      <c r="N96" s="16">
        <f t="shared" si="76"/>
        <v>9.4222222222222225E-3</v>
      </c>
      <c r="P96" s="60">
        <v>121.38</v>
      </c>
      <c r="Q96" s="60">
        <v>31.6844</v>
      </c>
      <c r="R96" s="60">
        <v>35.880499999999998</v>
      </c>
      <c r="S96" s="60">
        <v>35.9161</v>
      </c>
      <c r="T96" s="60">
        <v>0.97241359999999999</v>
      </c>
      <c r="U96" s="60">
        <v>0.96686119999999998</v>
      </c>
      <c r="V96" s="60">
        <v>0.9643294</v>
      </c>
      <c r="W96" s="60">
        <v>138.44399999999999</v>
      </c>
      <c r="X96" s="60">
        <v>0.1</v>
      </c>
      <c r="Y96" s="15" t="e">
        <f>#REF!</f>
        <v>#REF!</v>
      </c>
      <c r="Z96" s="16">
        <f t="shared" si="77"/>
        <v>3.8456666666666667E-2</v>
      </c>
      <c r="AA96" s="10">
        <f t="shared" si="78"/>
        <v>4.0814858490566035</v>
      </c>
      <c r="AB96" s="15">
        <f t="shared" si="96"/>
        <v>1.1111111111111112</v>
      </c>
      <c r="AC96" s="15" t="e">
        <f t="shared" si="96"/>
        <v>#REF!</v>
      </c>
      <c r="AD96" s="16">
        <f t="shared" si="79"/>
        <v>1.7331022530328772E-3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>
        <f>V96/J96</f>
        <v>1.0012441712244573</v>
      </c>
      <c r="AY96" s="15">
        <f t="shared" si="113"/>
        <v>1.1111111111111112</v>
      </c>
      <c r="AZ96" s="15">
        <f t="shared" si="87"/>
        <v>4.0814858490566035</v>
      </c>
      <c r="BA96" s="15">
        <f>V96/J96</f>
        <v>1.0012441712244573</v>
      </c>
      <c r="BB96" s="15">
        <f t="shared" si="111"/>
        <v>1.1111111111111112</v>
      </c>
      <c r="BC96" s="15">
        <f t="shared" si="83"/>
        <v>4.0814858490566035</v>
      </c>
      <c r="BD96" s="1">
        <f t="shared" si="84"/>
        <v>0</v>
      </c>
    </row>
    <row r="97" spans="1:56" ht="15.75" thickBot="1" x14ac:dyDescent="0.25">
      <c r="A97" s="17"/>
      <c r="B97" s="17"/>
      <c r="C97" s="44">
        <v>42</v>
      </c>
      <c r="D97" s="55">
        <v>67.2</v>
      </c>
      <c r="E97" s="55">
        <v>28.841899999999999</v>
      </c>
      <c r="F97" s="55">
        <v>34.042000000000002</v>
      </c>
      <c r="G97" s="55">
        <v>33.8142</v>
      </c>
      <c r="H97" s="55">
        <v>0.94230170000000002</v>
      </c>
      <c r="I97" s="55">
        <v>0.94628509999999999</v>
      </c>
      <c r="J97" s="55">
        <v>0.94435749999999996</v>
      </c>
      <c r="K97" s="55">
        <v>23.587</v>
      </c>
      <c r="L97" s="55">
        <v>8.7999999999999995E-2</v>
      </c>
      <c r="M97" s="19" t="e">
        <f>#REF!</f>
        <v>#REF!</v>
      </c>
      <c r="N97" s="20">
        <f t="shared" si="76"/>
        <v>6.5519444444444444E-3</v>
      </c>
      <c r="P97" s="60">
        <v>67.41</v>
      </c>
      <c r="Q97" s="60">
        <v>28.849699999999999</v>
      </c>
      <c r="R97" s="60">
        <v>33.9071</v>
      </c>
      <c r="S97" s="60">
        <v>33.980200000000004</v>
      </c>
      <c r="T97" s="60">
        <v>0.94102940000000002</v>
      </c>
      <c r="U97" s="60">
        <v>0.94189080000000003</v>
      </c>
      <c r="V97" s="60">
        <v>0.94116409999999995</v>
      </c>
      <c r="W97" s="60">
        <v>98.385000000000005</v>
      </c>
      <c r="X97" s="60">
        <v>9.0999999999999998E-2</v>
      </c>
      <c r="Y97" s="19" t="e">
        <f>#REF!</f>
        <v>#REF!</v>
      </c>
      <c r="Z97" s="20">
        <f t="shared" si="77"/>
        <v>2.7329166666666668E-2</v>
      </c>
      <c r="AA97" s="10">
        <f t="shared" si="78"/>
        <v>4.1711536015601816</v>
      </c>
      <c r="AB97" s="19">
        <f t="shared" si="96"/>
        <v>1.0340909090909092</v>
      </c>
      <c r="AC97" s="19" t="e">
        <f t="shared" si="96"/>
        <v>#REF!</v>
      </c>
      <c r="AD97" s="20">
        <f t="shared" si="79"/>
        <v>3.1249999999999069E-3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>
        <f>V97/J97</f>
        <v>0.99661844163889202</v>
      </c>
      <c r="AY97" s="19">
        <f t="shared" si="113"/>
        <v>1.0340909090909092</v>
      </c>
      <c r="AZ97" s="19">
        <f t="shared" si="87"/>
        <v>4.1711536015601816</v>
      </c>
      <c r="BA97" s="19"/>
      <c r="BB97" s="19"/>
      <c r="BC97" s="19"/>
      <c r="BD97" s="1">
        <f t="shared" si="84"/>
        <v>0</v>
      </c>
    </row>
    <row r="98" spans="1:56" ht="15.75" thickBot="1" x14ac:dyDescent="0.25">
      <c r="A98" s="48" t="s">
        <v>23</v>
      </c>
      <c r="B98" s="8" t="s">
        <v>32</v>
      </c>
      <c r="C98" s="39">
        <v>22</v>
      </c>
      <c r="D98" s="55">
        <v>3393.9</v>
      </c>
      <c r="E98" s="55">
        <v>44.671999999999997</v>
      </c>
      <c r="F98" s="55">
        <v>47.747399999999999</v>
      </c>
      <c r="G98" s="55">
        <v>49.038800000000002</v>
      </c>
      <c r="H98" s="55">
        <v>0.99685259999999998</v>
      </c>
      <c r="I98" s="55">
        <v>0.9960985</v>
      </c>
      <c r="J98" s="55">
        <v>0.99697709999999995</v>
      </c>
      <c r="K98" s="55">
        <v>351.83300000000003</v>
      </c>
      <c r="L98" s="55">
        <v>0.19600000000000001</v>
      </c>
      <c r="M98" s="10" t="e">
        <f>#REF!</f>
        <v>#REF!</v>
      </c>
      <c r="N98" s="11">
        <f t="shared" si="76"/>
        <v>9.7731388888888895E-2</v>
      </c>
      <c r="P98" s="60">
        <v>3394.14</v>
      </c>
      <c r="Q98" s="60">
        <v>44.670999999999999</v>
      </c>
      <c r="R98" s="60">
        <v>47.750700000000002</v>
      </c>
      <c r="S98" s="60">
        <v>49.017699999999998</v>
      </c>
      <c r="T98" s="60">
        <v>0.99685440000000003</v>
      </c>
      <c r="U98" s="60">
        <v>0.99611989999999995</v>
      </c>
      <c r="V98" s="60">
        <v>0.99700270000000002</v>
      </c>
      <c r="W98" s="60">
        <v>829.28099999999995</v>
      </c>
      <c r="X98" s="60">
        <v>0.25800000000000001</v>
      </c>
      <c r="Y98" s="10" t="e">
        <f>#REF!</f>
        <v>#REF!</v>
      </c>
      <c r="Z98" s="11">
        <f t="shared" si="77"/>
        <v>0.23035583333333332</v>
      </c>
      <c r="AA98" s="10">
        <f t="shared" si="78"/>
        <v>2.3570301819329051</v>
      </c>
      <c r="AB98" s="10">
        <f>X98/L98</f>
        <v>1.3163265306122449</v>
      </c>
      <c r="AC98" s="10" t="e">
        <f>Y98/M98</f>
        <v>#REF!</v>
      </c>
      <c r="AD98" s="11">
        <f t="shared" si="79"/>
        <v>7.0715106514564872E-5</v>
      </c>
      <c r="AE98" s="40"/>
      <c r="AF98" s="25">
        <f t="shared" ref="AF98:AK98" si="114">bdRateExtend($D98:$D102,E98:E102,$P98:$P102,Q98:Q102)</f>
        <v>-1.4674918767353384E-3</v>
      </c>
      <c r="AG98" s="30">
        <f t="shared" si="114"/>
        <v>-4.4728002039269299E-3</v>
      </c>
      <c r="AH98" s="31">
        <f t="shared" si="114"/>
        <v>-5.9632614449949273E-3</v>
      </c>
      <c r="AI98" s="25">
        <f t="shared" si="114"/>
        <v>-6.0748537188903828E-3</v>
      </c>
      <c r="AJ98" s="30">
        <f t="shared" si="114"/>
        <v>-1.9661162180062419E-3</v>
      </c>
      <c r="AK98" s="30">
        <f t="shared" si="114"/>
        <v>-2.086000723196213E-2</v>
      </c>
      <c r="AL98" s="45"/>
      <c r="AM98" s="46"/>
      <c r="AN98" s="47"/>
      <c r="AO98" s="46"/>
      <c r="AP98" s="46"/>
      <c r="AQ98" s="47"/>
      <c r="AR98" s="30">
        <f t="shared" ref="AR98:AW98" si="115">bdrate($D98:$D101,E98:E101,$P98:$P101,Q98:Q101)</f>
        <v>-1.2329848940809685E-3</v>
      </c>
      <c r="AS98" s="30">
        <f t="shared" si="115"/>
        <v>1.3417465112346427E-3</v>
      </c>
      <c r="AT98" s="31">
        <f t="shared" si="115"/>
        <v>-6.0774739455031757E-3</v>
      </c>
      <c r="AU98" s="25">
        <f t="shared" si="115"/>
        <v>-3.5246099634488326E-3</v>
      </c>
      <c r="AV98" s="30">
        <f t="shared" si="115"/>
        <v>7.6469168216970473E-3</v>
      </c>
      <c r="AW98" s="31">
        <f t="shared" si="115"/>
        <v>-7.0177072403847518E-3</v>
      </c>
      <c r="AX98" s="10"/>
      <c r="AY98" s="10"/>
      <c r="AZ98" s="10"/>
      <c r="BA98" s="10">
        <f>V98/J98</f>
        <v>1.0000256776208802</v>
      </c>
      <c r="BB98" s="10">
        <f>X98/L98</f>
        <v>1.3163265306122449</v>
      </c>
      <c r="BC98" s="10">
        <f t="shared" ref="BC98:BC101" si="116">Z98/N98</f>
        <v>2.3570301819329051</v>
      </c>
      <c r="BD98" s="1">
        <f t="shared" si="84"/>
        <v>1</v>
      </c>
    </row>
    <row r="99" spans="1:56" ht="15.75" thickBot="1" x14ac:dyDescent="0.25">
      <c r="A99" s="13" t="s">
        <v>24</v>
      </c>
      <c r="B99" s="13"/>
      <c r="C99" s="43">
        <v>27</v>
      </c>
      <c r="D99" s="55">
        <v>2070.96</v>
      </c>
      <c r="E99" s="55">
        <v>42.299199999999999</v>
      </c>
      <c r="F99" s="55">
        <v>45.571399999999997</v>
      </c>
      <c r="G99" s="55">
        <v>46.682099999999998</v>
      </c>
      <c r="H99" s="55">
        <v>0.99524789999999996</v>
      </c>
      <c r="I99" s="55">
        <v>0.99248619999999999</v>
      </c>
      <c r="J99" s="55">
        <v>0.99402400000000002</v>
      </c>
      <c r="K99" s="55">
        <v>227.33199999999999</v>
      </c>
      <c r="L99" s="55">
        <v>0.16900000000000001</v>
      </c>
      <c r="M99" s="15" t="e">
        <f>#REF!</f>
        <v>#REF!</v>
      </c>
      <c r="N99" s="16">
        <f t="shared" si="76"/>
        <v>6.3147777777777775E-2</v>
      </c>
      <c r="P99" s="60">
        <v>2067.84</v>
      </c>
      <c r="Q99" s="60">
        <v>42.291499999999999</v>
      </c>
      <c r="R99" s="60">
        <v>45.507800000000003</v>
      </c>
      <c r="S99" s="60">
        <v>46.682000000000002</v>
      </c>
      <c r="T99" s="60">
        <v>0.99522189999999999</v>
      </c>
      <c r="U99" s="60">
        <v>0.99241679999999999</v>
      </c>
      <c r="V99" s="60">
        <v>0.99405449999999995</v>
      </c>
      <c r="W99" s="60">
        <v>596.99800000000005</v>
      </c>
      <c r="X99" s="60">
        <v>0.192</v>
      </c>
      <c r="Y99" s="15" t="e">
        <f>#REF!</f>
        <v>#REF!</v>
      </c>
      <c r="Z99" s="16">
        <f t="shared" si="77"/>
        <v>0.1658327777777778</v>
      </c>
      <c r="AA99" s="10">
        <f t="shared" si="78"/>
        <v>2.626106311473968</v>
      </c>
      <c r="AB99" s="15">
        <f t="shared" ref="AB99:AC112" si="117">X99/L99</f>
        <v>1.136094674556213</v>
      </c>
      <c r="AC99" s="15" t="e">
        <f t="shared" si="117"/>
        <v>#REF!</v>
      </c>
      <c r="AD99" s="16">
        <f t="shared" si="79"/>
        <v>1.5065476880286876E-3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-1.9804973022986561E-3</v>
      </c>
      <c r="AM99" s="21">
        <f>bdrate($D99:$D102,F99:F102,$P99:$P102,R99:R102)</f>
        <v>-1.0762175197632895E-2</v>
      </c>
      <c r="AN99" s="36">
        <f t="shared" ref="AN99" si="118">bdrate($D99:$D102,G99:G102,$P99:$P102,S99:S102)</f>
        <v>-1.0500004234841986E-2</v>
      </c>
      <c r="AO99" s="26">
        <f>bdrate($D99:$D102,H99:H102,$P99:$P102,T99:T102)</f>
        <v>-6.7511617193659612E-3</v>
      </c>
      <c r="AP99" s="21">
        <f>bdrate($D99:$D102,I99:I102,$P99:$P102,U99:U102)</f>
        <v>-2.2909710382367221E-3</v>
      </c>
      <c r="AQ99" s="36">
        <f>bdrate($D99:$D102,J99:J102,$P99:$P102,V99:V102)</f>
        <v>-2.2701680829338433E-2</v>
      </c>
      <c r="AR99" s="21"/>
      <c r="AS99" s="21"/>
      <c r="AT99" s="36"/>
      <c r="AU99" s="26"/>
      <c r="AV99" s="21"/>
      <c r="AW99" s="36"/>
      <c r="AX99" s="15">
        <f>V99/J99</f>
        <v>1.000030683363782</v>
      </c>
      <c r="AY99" s="15">
        <f>X99/L99</f>
        <v>1.136094674556213</v>
      </c>
      <c r="AZ99" s="15">
        <f t="shared" ref="AZ99:AZ102" si="119">Z99/N99</f>
        <v>2.626106311473968</v>
      </c>
      <c r="BA99" s="15">
        <f>V99/J99</f>
        <v>1.000030683363782</v>
      </c>
      <c r="BB99" s="15">
        <f>X99/L99</f>
        <v>1.136094674556213</v>
      </c>
      <c r="BC99" s="15">
        <f t="shared" si="116"/>
        <v>2.626106311473968</v>
      </c>
      <c r="BD99" s="1">
        <f t="shared" si="84"/>
        <v>0</v>
      </c>
    </row>
    <row r="100" spans="1:56" ht="15.75" thickBot="1" x14ac:dyDescent="0.25">
      <c r="A100" s="13"/>
      <c r="B100" s="13"/>
      <c r="C100" s="43">
        <v>32</v>
      </c>
      <c r="D100" s="55">
        <v>1285.32</v>
      </c>
      <c r="E100" s="55">
        <v>39.610599999999998</v>
      </c>
      <c r="F100" s="55">
        <v>43.560699999999997</v>
      </c>
      <c r="G100" s="55">
        <v>44.486899999999999</v>
      </c>
      <c r="H100" s="55">
        <v>0.99207469999999998</v>
      </c>
      <c r="I100" s="55">
        <v>0.98738000000000004</v>
      </c>
      <c r="J100" s="55">
        <v>0.9892225</v>
      </c>
      <c r="K100" s="55">
        <v>160.42099999999999</v>
      </c>
      <c r="L100" s="55">
        <v>0.16</v>
      </c>
      <c r="M100" s="15" t="e">
        <f>#REF!</f>
        <v>#REF!</v>
      </c>
      <c r="N100" s="16">
        <f t="shared" si="76"/>
        <v>4.4561388888888886E-2</v>
      </c>
      <c r="P100" s="60">
        <v>1276.6199999999999</v>
      </c>
      <c r="Q100" s="60">
        <v>39.584299999999999</v>
      </c>
      <c r="R100" s="60">
        <v>43.548099999999998</v>
      </c>
      <c r="S100" s="60">
        <v>44.525100000000002</v>
      </c>
      <c r="T100" s="60">
        <v>0.99205460000000001</v>
      </c>
      <c r="U100" s="60">
        <v>0.98704999999999998</v>
      </c>
      <c r="V100" s="60">
        <v>0.98913030000000002</v>
      </c>
      <c r="W100" s="60">
        <v>543.94100000000003</v>
      </c>
      <c r="X100" s="60">
        <v>0.157</v>
      </c>
      <c r="Y100" s="15" t="e">
        <f>#REF!</f>
        <v>#REF!</v>
      </c>
      <c r="Z100" s="16">
        <f t="shared" si="77"/>
        <v>0.15109472222222223</v>
      </c>
      <c r="AA100" s="10">
        <f t="shared" si="78"/>
        <v>3.390709445770816</v>
      </c>
      <c r="AB100" s="15">
        <f t="shared" si="117"/>
        <v>0.98124999999999996</v>
      </c>
      <c r="AC100" s="15" t="e">
        <f t="shared" si="117"/>
        <v>#REF!</v>
      </c>
      <c r="AD100" s="16">
        <f t="shared" si="79"/>
        <v>6.7687424143404338E-3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>
        <f>V100/J100</f>
        <v>0.99990679548837602</v>
      </c>
      <c r="AY100" s="15">
        <f>X100/L100</f>
        <v>0.98124999999999996</v>
      </c>
      <c r="AZ100" s="15">
        <f t="shared" si="119"/>
        <v>3.390709445770816</v>
      </c>
      <c r="BA100" s="15">
        <f>V100/J100</f>
        <v>0.99990679548837602</v>
      </c>
      <c r="BB100" s="15">
        <f>X100/L100</f>
        <v>0.98124999999999996</v>
      </c>
      <c r="BC100" s="15">
        <f t="shared" si="116"/>
        <v>3.390709445770816</v>
      </c>
      <c r="BD100" s="1">
        <f t="shared" si="84"/>
        <v>0</v>
      </c>
    </row>
    <row r="101" spans="1:56" ht="15.75" thickBot="1" x14ac:dyDescent="0.25">
      <c r="A101" s="13"/>
      <c r="B101" s="13"/>
      <c r="C101" s="43">
        <v>37</v>
      </c>
      <c r="D101" s="55">
        <v>786.6</v>
      </c>
      <c r="E101" s="55">
        <v>36.534199999999998</v>
      </c>
      <c r="F101" s="55">
        <v>41.607500000000002</v>
      </c>
      <c r="G101" s="55">
        <v>42.946399999999997</v>
      </c>
      <c r="H101" s="55">
        <v>0.98525870000000004</v>
      </c>
      <c r="I101" s="55">
        <v>0.97912960000000004</v>
      </c>
      <c r="J101" s="55">
        <v>0.98361399999999999</v>
      </c>
      <c r="K101" s="55">
        <v>104.828</v>
      </c>
      <c r="L101" s="55">
        <v>0.14799999999999999</v>
      </c>
      <c r="M101" s="15" t="e">
        <f>#REF!</f>
        <v>#REF!</v>
      </c>
      <c r="N101" s="16">
        <f t="shared" si="76"/>
        <v>2.9118888888888889E-2</v>
      </c>
      <c r="P101" s="60">
        <v>783.84</v>
      </c>
      <c r="Q101" s="60">
        <v>36.523600000000002</v>
      </c>
      <c r="R101" s="60">
        <v>41.682699999999997</v>
      </c>
      <c r="S101" s="60">
        <v>42.956899999999997</v>
      </c>
      <c r="T101" s="60">
        <v>0.98534390000000005</v>
      </c>
      <c r="U101" s="60">
        <v>0.9794079</v>
      </c>
      <c r="V101" s="60">
        <v>0.98403839999999998</v>
      </c>
      <c r="W101" s="60">
        <v>398.92200000000003</v>
      </c>
      <c r="X101" s="60">
        <v>0.14000000000000001</v>
      </c>
      <c r="Y101" s="15" t="e">
        <f>#REF!</f>
        <v>#REF!</v>
      </c>
      <c r="Z101" s="16">
        <f t="shared" si="77"/>
        <v>0.11081166666666667</v>
      </c>
      <c r="AA101" s="10">
        <f t="shared" si="78"/>
        <v>3.8054908993780288</v>
      </c>
      <c r="AB101" s="15">
        <f t="shared" si="117"/>
        <v>0.94594594594594605</v>
      </c>
      <c r="AC101" s="15" t="e">
        <f t="shared" si="117"/>
        <v>#REF!</v>
      </c>
      <c r="AD101" s="16">
        <f t="shared" si="79"/>
        <v>3.5087719298245498E-3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>
        <f>V101/J101</f>
        <v>1.000431470068543</v>
      </c>
      <c r="AY101" s="15">
        <f>X101/L101</f>
        <v>0.94594594594594605</v>
      </c>
      <c r="AZ101" s="15">
        <f t="shared" si="119"/>
        <v>3.8054908993780288</v>
      </c>
      <c r="BA101" s="15">
        <f>V101/J101</f>
        <v>1.000431470068543</v>
      </c>
      <c r="BB101" s="15">
        <f>X101/L101</f>
        <v>0.94594594594594605</v>
      </c>
      <c r="BC101" s="15">
        <f t="shared" si="116"/>
        <v>3.8054908993780288</v>
      </c>
      <c r="BD101" s="1">
        <f t="shared" si="84"/>
        <v>0</v>
      </c>
    </row>
    <row r="102" spans="1:56" ht="15.75" thickBot="1" x14ac:dyDescent="0.25">
      <c r="A102" s="13"/>
      <c r="B102" s="17"/>
      <c r="C102" s="44">
        <v>42</v>
      </c>
      <c r="D102" s="55">
        <v>460.44</v>
      </c>
      <c r="E102" s="55">
        <v>33.287500000000001</v>
      </c>
      <c r="F102" s="55">
        <v>40.337899999999998</v>
      </c>
      <c r="G102" s="55">
        <v>41.402900000000002</v>
      </c>
      <c r="H102" s="55">
        <v>0.97023440000000005</v>
      </c>
      <c r="I102" s="55">
        <v>0.97151419999999999</v>
      </c>
      <c r="J102" s="55">
        <v>0.97649949999999996</v>
      </c>
      <c r="K102" s="55">
        <v>66.787000000000006</v>
      </c>
      <c r="L102" s="55">
        <v>0.13400000000000001</v>
      </c>
      <c r="M102" s="19" t="e">
        <f>#REF!</f>
        <v>#REF!</v>
      </c>
      <c r="N102" s="20">
        <f t="shared" si="76"/>
        <v>1.8551944444444447E-2</v>
      </c>
      <c r="P102" s="60">
        <v>451.44</v>
      </c>
      <c r="Q102" s="60">
        <v>33.188099999999999</v>
      </c>
      <c r="R102" s="60">
        <v>40.341000000000001</v>
      </c>
      <c r="S102" s="60">
        <v>41.371899999999997</v>
      </c>
      <c r="T102" s="60">
        <v>0.96943389999999996</v>
      </c>
      <c r="U102" s="60">
        <v>0.97116290000000005</v>
      </c>
      <c r="V102" s="60">
        <v>0.97677190000000003</v>
      </c>
      <c r="W102" s="60">
        <v>417.26</v>
      </c>
      <c r="X102" s="60">
        <v>0.13800000000000001</v>
      </c>
      <c r="Y102" s="19" t="e">
        <f>#REF!</f>
        <v>#REF!</v>
      </c>
      <c r="Z102" s="20">
        <f t="shared" si="77"/>
        <v>0.11590555555555555</v>
      </c>
      <c r="AA102" s="10">
        <f t="shared" si="78"/>
        <v>6.2476230404120559</v>
      </c>
      <c r="AB102" s="15">
        <f t="shared" si="117"/>
        <v>1.0298507462686568</v>
      </c>
      <c r="AC102" s="15" t="e">
        <f t="shared" si="117"/>
        <v>#REF!</v>
      </c>
      <c r="AD102" s="20">
        <f t="shared" si="79"/>
        <v>1.9546520719311962E-2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>
        <f>V102/J102</f>
        <v>1.0002789555959835</v>
      </c>
      <c r="AY102" s="15">
        <f>X102/L102</f>
        <v>1.0298507462686568</v>
      </c>
      <c r="AZ102" s="15">
        <f t="shared" si="119"/>
        <v>6.247623040412055</v>
      </c>
      <c r="BA102" s="15"/>
      <c r="BB102" s="15"/>
      <c r="BC102" s="15"/>
      <c r="BD102" s="1">
        <f t="shared" si="84"/>
        <v>0</v>
      </c>
    </row>
    <row r="103" spans="1:56" ht="15.75" thickBot="1" x14ac:dyDescent="0.25">
      <c r="A103" s="13"/>
      <c r="B103" s="8" t="s">
        <v>33</v>
      </c>
      <c r="C103" s="39">
        <v>22</v>
      </c>
      <c r="D103" s="55">
        <v>2290.56</v>
      </c>
      <c r="E103" s="55">
        <v>44.8446</v>
      </c>
      <c r="F103" s="55">
        <v>49.043300000000002</v>
      </c>
      <c r="G103" s="55">
        <v>49.591500000000003</v>
      </c>
      <c r="H103" s="55">
        <v>0.99577329999999997</v>
      </c>
      <c r="I103" s="55">
        <v>0.99726079999999995</v>
      </c>
      <c r="J103" s="55">
        <v>0.99759909999999996</v>
      </c>
      <c r="K103" s="55">
        <v>243.17099999999999</v>
      </c>
      <c r="L103" s="55">
        <v>0.16300000000000001</v>
      </c>
      <c r="M103" s="10" t="e">
        <f>#REF!</f>
        <v>#REF!</v>
      </c>
      <c r="N103" s="11">
        <f t="shared" si="76"/>
        <v>6.7547499999999996E-2</v>
      </c>
      <c r="P103" s="60">
        <v>2274.7800000000002</v>
      </c>
      <c r="Q103" s="60">
        <v>44.825699999999998</v>
      </c>
      <c r="R103" s="60">
        <v>48.994700000000002</v>
      </c>
      <c r="S103" s="60">
        <v>49.532899999999998</v>
      </c>
      <c r="T103" s="60">
        <v>0.99573929999999999</v>
      </c>
      <c r="U103" s="60">
        <v>0.99723580000000001</v>
      </c>
      <c r="V103" s="60">
        <v>0.99756270000000002</v>
      </c>
      <c r="W103" s="60">
        <v>992.45</v>
      </c>
      <c r="X103" s="60">
        <v>0.161</v>
      </c>
      <c r="Y103" s="10" t="e">
        <f>#REF!</f>
        <v>#REF!</v>
      </c>
      <c r="Z103" s="11">
        <f t="shared" si="77"/>
        <v>0.2756805555555556</v>
      </c>
      <c r="AA103" s="10">
        <f t="shared" si="78"/>
        <v>4.0812843636782352</v>
      </c>
      <c r="AB103" s="15">
        <f t="shared" si="117"/>
        <v>0.98773006134969321</v>
      </c>
      <c r="AC103" s="15" t="e">
        <f t="shared" si="117"/>
        <v>#REF!</v>
      </c>
      <c r="AD103" s="11">
        <f t="shared" si="79"/>
        <v>6.8891450125732334E-3</v>
      </c>
      <c r="AE103" s="12"/>
      <c r="AF103" s="25">
        <f t="shared" ref="AF103:AK103" si="120">bdRateExtend($D103:$D107,E103:E107,$P103:$P107,Q103:Q107)</f>
        <v>3.1952613917438644E-3</v>
      </c>
      <c r="AG103" s="30">
        <f t="shared" si="120"/>
        <v>-7.1289017417464073E-3</v>
      </c>
      <c r="AH103" s="31">
        <f t="shared" si="120"/>
        <v>4.8781992998139234E-3</v>
      </c>
      <c r="AI103" s="25">
        <f t="shared" si="120"/>
        <v>-9.2341281956465071E-4</v>
      </c>
      <c r="AJ103" s="30">
        <f t="shared" si="120"/>
        <v>2.6590713610408212E-3</v>
      </c>
      <c r="AK103" s="30">
        <f t="shared" si="120"/>
        <v>-1.5799366898157863E-2</v>
      </c>
      <c r="AL103" s="26"/>
      <c r="AM103" s="21"/>
      <c r="AN103" s="36"/>
      <c r="AO103" s="21"/>
      <c r="AP103" s="21"/>
      <c r="AQ103" s="36"/>
      <c r="AR103" s="30">
        <f t="shared" ref="AR103:AW103" si="121">bdrate($D103:$D106,E103:E106,$P103:$P106,Q103:Q106)</f>
        <v>2.5101365602422376E-3</v>
      </c>
      <c r="AS103" s="30">
        <f t="shared" si="121"/>
        <v>-1.3706689818332007E-2</v>
      </c>
      <c r="AT103" s="31">
        <f t="shared" si="121"/>
        <v>4.9687340708821637E-3</v>
      </c>
      <c r="AU103" s="25">
        <f t="shared" si="121"/>
        <v>2.8252118676383997E-3</v>
      </c>
      <c r="AV103" s="30">
        <f t="shared" si="121"/>
        <v>-1.5008103872386158E-2</v>
      </c>
      <c r="AW103" s="31">
        <f t="shared" si="121"/>
        <v>-1.1241948227137311E-2</v>
      </c>
      <c r="AX103" s="15"/>
      <c r="AY103" s="15"/>
      <c r="AZ103" s="15"/>
      <c r="BA103" s="15">
        <f>V103/J103</f>
        <v>0.99996351239691383</v>
      </c>
      <c r="BB103" s="15">
        <f>X103/L103</f>
        <v>0.98773006134969321</v>
      </c>
      <c r="BC103" s="15">
        <f t="shared" ref="BC103:BC106" si="122">Z103/N103</f>
        <v>4.0812843636782352</v>
      </c>
      <c r="BD103" s="1">
        <f t="shared" si="84"/>
        <v>0</v>
      </c>
    </row>
    <row r="104" spans="1:56" ht="15.75" thickBot="1" x14ac:dyDescent="0.25">
      <c r="A104" s="13"/>
      <c r="B104" s="13"/>
      <c r="C104" s="43">
        <v>27</v>
      </c>
      <c r="D104" s="55">
        <v>1217.4000000000001</v>
      </c>
      <c r="E104" s="55">
        <v>42.804000000000002</v>
      </c>
      <c r="F104" s="55">
        <v>47.090899999999998</v>
      </c>
      <c r="G104" s="55">
        <v>47.558900000000001</v>
      </c>
      <c r="H104" s="55">
        <v>0.99371480000000001</v>
      </c>
      <c r="I104" s="55">
        <v>0.99536000000000002</v>
      </c>
      <c r="J104" s="55">
        <v>0.99584720000000004</v>
      </c>
      <c r="K104" s="55">
        <v>141.613</v>
      </c>
      <c r="L104" s="55">
        <v>0.14399999999999999</v>
      </c>
      <c r="M104" s="15" t="e">
        <f>#REF!</f>
        <v>#REF!</v>
      </c>
      <c r="N104" s="16">
        <f t="shared" si="76"/>
        <v>3.9336944444444445E-2</v>
      </c>
      <c r="P104" s="60">
        <v>1222.5</v>
      </c>
      <c r="Q104" s="60">
        <v>42.807000000000002</v>
      </c>
      <c r="R104" s="60">
        <v>47.1738</v>
      </c>
      <c r="S104" s="60">
        <v>47.580599999999997</v>
      </c>
      <c r="T104" s="60">
        <v>0.99369059999999998</v>
      </c>
      <c r="U104" s="60">
        <v>0.99544469999999996</v>
      </c>
      <c r="V104" s="60">
        <v>0.99593609999999999</v>
      </c>
      <c r="W104" s="60">
        <v>709.68399999999997</v>
      </c>
      <c r="X104" s="60">
        <v>0.16300000000000001</v>
      </c>
      <c r="Y104" s="15" t="e">
        <f>#REF!</f>
        <v>#REF!</v>
      </c>
      <c r="Z104" s="16">
        <f t="shared" si="77"/>
        <v>0.19713444444444445</v>
      </c>
      <c r="AA104" s="10">
        <f t="shared" si="78"/>
        <v>5.0114325662192032</v>
      </c>
      <c r="AB104" s="15">
        <f t="shared" si="117"/>
        <v>1.1319444444444446</v>
      </c>
      <c r="AC104" s="15" t="e">
        <f t="shared" si="117"/>
        <v>#REF!</v>
      </c>
      <c r="AD104" s="16">
        <f t="shared" si="79"/>
        <v>4.1892557910299891E-3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3.4853656045346071E-3</v>
      </c>
      <c r="AM104" s="21">
        <f>bdrate($D104:$D107,F104:F107,$P104:$P107,R104:R107)</f>
        <v>-6.1005123875956802E-3</v>
      </c>
      <c r="AN104" s="36">
        <f t="shared" ref="AN104" si="123">bdrate($D104:$D107,G104:G107,$P104:$P107,S104:S107)</f>
        <v>6.0825717646915134E-3</v>
      </c>
      <c r="AO104" s="26">
        <f>bdrate($D104:$D107,H104:H107,$P104:$P107,T104:T107)</f>
        <v>-2.1274297977538215E-3</v>
      </c>
      <c r="AP104" s="21">
        <f>bdrate($D104:$D107,I104:I107,$P104:$P107,U104:U107)</f>
        <v>4.5219936022393714E-3</v>
      </c>
      <c r="AQ104" s="36">
        <f>bdrate($D104:$D107,J104:J107,$P104:$P107,V104:V107)</f>
        <v>-1.5590582201852277E-2</v>
      </c>
      <c r="AR104" s="21"/>
      <c r="AS104" s="21"/>
      <c r="AT104" s="36"/>
      <c r="AU104" s="26"/>
      <c r="AV104" s="21"/>
      <c r="AW104" s="36"/>
      <c r="AX104" s="15">
        <f>V104/J104</f>
        <v>1.0000892707234603</v>
      </c>
      <c r="AY104" s="15">
        <f>X104/L104</f>
        <v>1.1319444444444446</v>
      </c>
      <c r="AZ104" s="15">
        <f t="shared" ref="AZ104:AZ107" si="124">Z104/N104</f>
        <v>5.0114325662192032</v>
      </c>
      <c r="BA104" s="15">
        <f>V104/J104</f>
        <v>1.0000892707234603</v>
      </c>
      <c r="BB104" s="15">
        <f>X104/L104</f>
        <v>1.1319444444444446</v>
      </c>
      <c r="BC104" s="15">
        <f t="shared" si="122"/>
        <v>5.0114325662192032</v>
      </c>
      <c r="BD104" s="1">
        <f t="shared" si="84"/>
        <v>0</v>
      </c>
    </row>
    <row r="105" spans="1:56" ht="15.75" thickBot="1" x14ac:dyDescent="0.25">
      <c r="A105" s="13"/>
      <c r="B105" s="13"/>
      <c r="C105" s="43">
        <v>32</v>
      </c>
      <c r="D105" s="55">
        <v>681.54</v>
      </c>
      <c r="E105" s="55">
        <v>40.671599999999998</v>
      </c>
      <c r="F105" s="55">
        <v>45.2102</v>
      </c>
      <c r="G105" s="55">
        <v>45.449800000000003</v>
      </c>
      <c r="H105" s="55">
        <v>0.9904345</v>
      </c>
      <c r="I105" s="55">
        <v>0.99259399999999998</v>
      </c>
      <c r="J105" s="55">
        <v>0.99292570000000002</v>
      </c>
      <c r="K105" s="55">
        <v>94.966999999999999</v>
      </c>
      <c r="L105" s="55">
        <v>0.14299999999999999</v>
      </c>
      <c r="M105" s="15" t="e">
        <f>#REF!</f>
        <v>#REF!</v>
      </c>
      <c r="N105" s="16">
        <f t="shared" si="76"/>
        <v>2.6379722222222221E-2</v>
      </c>
      <c r="P105" s="60">
        <v>691.56</v>
      </c>
      <c r="Q105" s="60">
        <v>40.723100000000002</v>
      </c>
      <c r="R105" s="60">
        <v>45.336500000000001</v>
      </c>
      <c r="S105" s="60">
        <v>45.470599999999997</v>
      </c>
      <c r="T105" s="60">
        <v>0.99053139999999995</v>
      </c>
      <c r="U105" s="60">
        <v>0.99283949999999999</v>
      </c>
      <c r="V105" s="60">
        <v>0.99301539999999999</v>
      </c>
      <c r="W105" s="60">
        <v>383.50599999999997</v>
      </c>
      <c r="X105" s="60">
        <v>0.20300000000000001</v>
      </c>
      <c r="Y105" s="15" t="e">
        <f>#REF!</f>
        <v>#REF!</v>
      </c>
      <c r="Z105" s="16">
        <f t="shared" si="77"/>
        <v>0.10652944444444444</v>
      </c>
      <c r="AA105" s="10">
        <f t="shared" si="78"/>
        <v>4.0383080438468095</v>
      </c>
      <c r="AB105" s="15">
        <f t="shared" si="117"/>
        <v>1.4195804195804198</v>
      </c>
      <c r="AC105" s="15" t="e">
        <f t="shared" si="117"/>
        <v>#REF!</v>
      </c>
      <c r="AD105" s="16">
        <f t="shared" si="79"/>
        <v>1.4701998415353438E-2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>
        <f>V105/J105</f>
        <v>1.0000903390857947</v>
      </c>
      <c r="AY105" s="15">
        <f>X105/L105</f>
        <v>1.4195804195804198</v>
      </c>
      <c r="AZ105" s="15">
        <f t="shared" si="124"/>
        <v>4.0383080438468104</v>
      </c>
      <c r="BA105" s="15">
        <f>V105/J105</f>
        <v>1.0000903390857947</v>
      </c>
      <c r="BB105" s="15">
        <f>X105/L105</f>
        <v>1.4195804195804198</v>
      </c>
      <c r="BC105" s="15">
        <f t="shared" si="122"/>
        <v>4.0383080438468104</v>
      </c>
      <c r="BD105" s="1">
        <f t="shared" si="84"/>
        <v>0</v>
      </c>
    </row>
    <row r="106" spans="1:56" ht="15.75" thickBot="1" x14ac:dyDescent="0.25">
      <c r="A106" s="13"/>
      <c r="B106" s="13"/>
      <c r="C106" s="43">
        <v>37</v>
      </c>
      <c r="D106" s="55">
        <v>398.52</v>
      </c>
      <c r="E106" s="55">
        <v>38.295099999999998</v>
      </c>
      <c r="F106" s="55">
        <v>43.133899999999997</v>
      </c>
      <c r="G106" s="55">
        <v>43.976799999999997</v>
      </c>
      <c r="H106" s="55">
        <v>0.98446140000000004</v>
      </c>
      <c r="I106" s="55">
        <v>0.98737730000000001</v>
      </c>
      <c r="J106" s="55">
        <v>0.98958279999999998</v>
      </c>
      <c r="K106" s="55">
        <v>55.127000000000002</v>
      </c>
      <c r="L106" s="55">
        <v>0.14599999999999999</v>
      </c>
      <c r="M106" s="15" t="e">
        <f>#REF!</f>
        <v>#REF!</v>
      </c>
      <c r="N106" s="16">
        <f t="shared" si="76"/>
        <v>1.5313055555555555E-2</v>
      </c>
      <c r="P106" s="60">
        <v>402.06</v>
      </c>
      <c r="Q106" s="60">
        <v>38.311999999999998</v>
      </c>
      <c r="R106" s="60">
        <v>43.133800000000001</v>
      </c>
      <c r="S106" s="60">
        <v>43.963200000000001</v>
      </c>
      <c r="T106" s="60">
        <v>0.98464790000000002</v>
      </c>
      <c r="U106" s="60">
        <v>0.987371</v>
      </c>
      <c r="V106" s="60">
        <v>0.98988869999999995</v>
      </c>
      <c r="W106" s="60">
        <v>374.048</v>
      </c>
      <c r="X106" s="60">
        <v>0.14000000000000001</v>
      </c>
      <c r="Y106" s="15" t="e">
        <f>#REF!</f>
        <v>#REF!</v>
      </c>
      <c r="Z106" s="16">
        <f t="shared" si="77"/>
        <v>0.10390222222222223</v>
      </c>
      <c r="AA106" s="10">
        <f t="shared" si="78"/>
        <v>6.7852050719248282</v>
      </c>
      <c r="AB106" s="15">
        <f t="shared" si="117"/>
        <v>0.95890410958904126</v>
      </c>
      <c r="AC106" s="15" t="e">
        <f t="shared" si="117"/>
        <v>#REF!</v>
      </c>
      <c r="AD106" s="16">
        <f t="shared" si="79"/>
        <v>8.8828666064438948E-3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>
        <f>V106/J106</f>
        <v>1.0003091201665995</v>
      </c>
      <c r="AY106" s="15">
        <f>X106/L106</f>
        <v>0.95890410958904126</v>
      </c>
      <c r="AZ106" s="15">
        <f t="shared" si="124"/>
        <v>6.7852050719248282</v>
      </c>
      <c r="BA106" s="15">
        <f>V106/J106</f>
        <v>1.0003091201665995</v>
      </c>
      <c r="BB106" s="15">
        <f>X106/L106</f>
        <v>0.95890410958904126</v>
      </c>
      <c r="BC106" s="15">
        <f t="shared" si="122"/>
        <v>6.7852050719248282</v>
      </c>
      <c r="BD106" s="1">
        <f t="shared" si="84"/>
        <v>0</v>
      </c>
    </row>
    <row r="107" spans="1:56" ht="15.75" thickBot="1" x14ac:dyDescent="0.25">
      <c r="A107" s="13"/>
      <c r="B107" s="17"/>
      <c r="C107" s="44">
        <v>42</v>
      </c>
      <c r="D107" s="55">
        <v>234.96</v>
      </c>
      <c r="E107" s="55">
        <v>35.710500000000003</v>
      </c>
      <c r="F107" s="55">
        <v>41.799100000000003</v>
      </c>
      <c r="G107" s="55">
        <v>42.5214</v>
      </c>
      <c r="H107" s="55">
        <v>0.97419140000000004</v>
      </c>
      <c r="I107" s="55">
        <v>0.98263889999999998</v>
      </c>
      <c r="J107" s="55">
        <v>0.9858808</v>
      </c>
      <c r="K107" s="55">
        <v>33.137999999999998</v>
      </c>
      <c r="L107" s="55">
        <v>0.123</v>
      </c>
      <c r="M107" s="19" t="e">
        <f>#REF!</f>
        <v>#REF!</v>
      </c>
      <c r="N107" s="20">
        <f t="shared" si="76"/>
        <v>9.2049999999999996E-3</v>
      </c>
      <c r="P107" s="60">
        <v>233.46</v>
      </c>
      <c r="Q107" s="60">
        <v>35.664700000000003</v>
      </c>
      <c r="R107" s="60">
        <v>41.731699999999996</v>
      </c>
      <c r="S107" s="60">
        <v>42.539000000000001</v>
      </c>
      <c r="T107" s="60">
        <v>0.97403660000000003</v>
      </c>
      <c r="U107" s="60">
        <v>0.98198370000000001</v>
      </c>
      <c r="V107" s="60">
        <v>0.98569030000000002</v>
      </c>
      <c r="W107" s="60">
        <v>321.63799999999998</v>
      </c>
      <c r="X107" s="60">
        <v>0.122</v>
      </c>
      <c r="Y107" s="19" t="e">
        <f>#REF!</f>
        <v>#REF!</v>
      </c>
      <c r="Z107" s="20">
        <f t="shared" si="77"/>
        <v>8.9343888888888889E-2</v>
      </c>
      <c r="AA107" s="10">
        <f t="shared" si="78"/>
        <v>9.7060172611503415</v>
      </c>
      <c r="AB107" s="15">
        <f t="shared" si="117"/>
        <v>0.99186991869918695</v>
      </c>
      <c r="AC107" s="15" t="e">
        <f t="shared" si="117"/>
        <v>#REF!</v>
      </c>
      <c r="AD107" s="20">
        <f t="shared" si="79"/>
        <v>6.3840653728294179E-3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>
        <f>V107/J107</f>
        <v>0.99980677177200328</v>
      </c>
      <c r="AY107" s="15">
        <f>X107/L107</f>
        <v>0.99186991869918695</v>
      </c>
      <c r="AZ107" s="15">
        <f t="shared" si="124"/>
        <v>9.7060172611503415</v>
      </c>
      <c r="BA107" s="15"/>
      <c r="BB107" s="15"/>
      <c r="BC107" s="15"/>
      <c r="BD107" s="1">
        <f t="shared" si="84"/>
        <v>0</v>
      </c>
    </row>
    <row r="108" spans="1:56" ht="15.75" thickBot="1" x14ac:dyDescent="0.25">
      <c r="A108" s="13"/>
      <c r="B108" s="8" t="s">
        <v>34</v>
      </c>
      <c r="C108" s="39">
        <v>22</v>
      </c>
      <c r="D108" s="55">
        <v>2496.06</v>
      </c>
      <c r="E108" s="55">
        <v>45.2742</v>
      </c>
      <c r="F108" s="55">
        <v>48.440800000000003</v>
      </c>
      <c r="G108" s="55">
        <v>49.355200000000004</v>
      </c>
      <c r="H108" s="55">
        <v>0.99635969999999996</v>
      </c>
      <c r="I108" s="55">
        <v>0.99690210000000001</v>
      </c>
      <c r="J108" s="55">
        <v>0.99735450000000003</v>
      </c>
      <c r="K108" s="55">
        <v>241.46100000000001</v>
      </c>
      <c r="L108" s="55">
        <v>0.22500000000000001</v>
      </c>
      <c r="M108" s="10" t="e">
        <f>#REF!</f>
        <v>#REF!</v>
      </c>
      <c r="N108" s="11">
        <f t="shared" si="76"/>
        <v>6.7072500000000007E-2</v>
      </c>
      <c r="P108" s="60">
        <v>2491.6799999999998</v>
      </c>
      <c r="Q108" s="60">
        <v>45.278599999999997</v>
      </c>
      <c r="R108" s="60">
        <v>48.384099999999997</v>
      </c>
      <c r="S108" s="60">
        <v>49.2776</v>
      </c>
      <c r="T108" s="60">
        <v>0.99636130000000001</v>
      </c>
      <c r="U108" s="60">
        <v>0.99687809999999999</v>
      </c>
      <c r="V108" s="60">
        <v>0.99732240000000005</v>
      </c>
      <c r="W108" s="60">
        <v>717.31399999999996</v>
      </c>
      <c r="X108" s="60">
        <v>0.21199999999999999</v>
      </c>
      <c r="Y108" s="10" t="e">
        <f>#REF!</f>
        <v>#REF!</v>
      </c>
      <c r="Z108" s="11">
        <f t="shared" si="77"/>
        <v>0.19925388888888887</v>
      </c>
      <c r="AA108" s="10">
        <f t="shared" si="78"/>
        <v>2.9707240506748498</v>
      </c>
      <c r="AB108" s="15">
        <f t="shared" si="117"/>
        <v>0.94222222222222218</v>
      </c>
      <c r="AC108" s="15" t="e">
        <f t="shared" si="117"/>
        <v>#REF!</v>
      </c>
      <c r="AD108" s="11">
        <f t="shared" si="79"/>
        <v>1.7547655104445043E-3</v>
      </c>
      <c r="AE108" s="12"/>
      <c r="AF108" s="25">
        <f t="shared" ref="AF108:AK108" si="125">bdRateExtend($D108:$D112,E108:E112,$P108:$P112,Q108:Q112)</f>
        <v>-7.7198075283169132E-4</v>
      </c>
      <c r="AG108" s="30">
        <f t="shared" si="125"/>
        <v>5.5678938387573318E-3</v>
      </c>
      <c r="AH108" s="31">
        <f t="shared" si="125"/>
        <v>-3.504912009499872E-5</v>
      </c>
      <c r="AI108" s="25">
        <f t="shared" si="125"/>
        <v>-2.899147727816076E-3</v>
      </c>
      <c r="AJ108" s="30">
        <f t="shared" si="125"/>
        <v>5.1012594657877663E-3</v>
      </c>
      <c r="AK108" s="30">
        <f t="shared" si="125"/>
        <v>6.0696664569044323E-3</v>
      </c>
      <c r="AL108" s="45"/>
      <c r="AM108" s="46"/>
      <c r="AN108" s="47"/>
      <c r="AO108" s="46"/>
      <c r="AP108" s="46"/>
      <c r="AQ108" s="47"/>
      <c r="AR108" s="30">
        <f t="shared" ref="AR108:AW108" si="126">bdrate($D108:$D111,E108:E111,$P108:$P111,Q108:Q111)</f>
        <v>-1.1208315462720719E-3</v>
      </c>
      <c r="AS108" s="30">
        <f t="shared" si="126"/>
        <v>1.7901356808578406E-3</v>
      </c>
      <c r="AT108" s="31">
        <f t="shared" si="126"/>
        <v>2.6519573732088908E-3</v>
      </c>
      <c r="AU108" s="25">
        <f t="shared" si="126"/>
        <v>-3.9068654983331896E-3</v>
      </c>
      <c r="AV108" s="30">
        <f t="shared" si="126"/>
        <v>-8.2014070911921033E-3</v>
      </c>
      <c r="AW108" s="31">
        <f t="shared" si="126"/>
        <v>1.1778193877078458E-2</v>
      </c>
      <c r="AX108" s="15"/>
      <c r="AY108" s="15"/>
      <c r="AZ108" s="15"/>
      <c r="BA108" s="15">
        <f>V108/J108</f>
        <v>0.99996781485419683</v>
      </c>
      <c r="BB108" s="15">
        <f>X108/L108</f>
        <v>0.94222222222222218</v>
      </c>
      <c r="BC108" s="15">
        <f t="shared" ref="BC108:BC111" si="127">Z108/N108</f>
        <v>2.9707240506748498</v>
      </c>
      <c r="BD108" s="1">
        <f t="shared" si="84"/>
        <v>1</v>
      </c>
    </row>
    <row r="109" spans="1:56" ht="15.75" thickBot="1" x14ac:dyDescent="0.25">
      <c r="A109" s="13"/>
      <c r="B109" s="13"/>
      <c r="C109" s="43">
        <v>27</v>
      </c>
      <c r="D109" s="55">
        <v>1481.22</v>
      </c>
      <c r="E109" s="55">
        <v>43.173699999999997</v>
      </c>
      <c r="F109" s="55">
        <v>46.3294</v>
      </c>
      <c r="G109" s="55">
        <v>47.240600000000001</v>
      </c>
      <c r="H109" s="55">
        <v>0.99471069999999995</v>
      </c>
      <c r="I109" s="55">
        <v>0.99463449999999998</v>
      </c>
      <c r="J109" s="55">
        <v>0.99533850000000001</v>
      </c>
      <c r="K109" s="55">
        <v>146.16900000000001</v>
      </c>
      <c r="L109" s="55">
        <v>0.161</v>
      </c>
      <c r="M109" s="15" t="e">
        <f>#REF!</f>
        <v>#REF!</v>
      </c>
      <c r="N109" s="16">
        <f t="shared" si="76"/>
        <v>4.06025E-2</v>
      </c>
      <c r="P109" s="60">
        <v>1478.58</v>
      </c>
      <c r="Q109" s="60">
        <v>43.164299999999997</v>
      </c>
      <c r="R109" s="60">
        <v>46.296599999999998</v>
      </c>
      <c r="S109" s="60">
        <v>47.305599999999998</v>
      </c>
      <c r="T109" s="60">
        <v>0.99468959999999995</v>
      </c>
      <c r="U109" s="60">
        <v>0.9945891</v>
      </c>
      <c r="V109" s="60">
        <v>0.99539359999999999</v>
      </c>
      <c r="W109" s="60">
        <v>471.25200000000001</v>
      </c>
      <c r="X109" s="60">
        <v>0.156</v>
      </c>
      <c r="Y109" s="15" t="e">
        <f>#REF!</f>
        <v>#REF!</v>
      </c>
      <c r="Z109" s="16">
        <f t="shared" si="77"/>
        <v>0.13090333333333334</v>
      </c>
      <c r="AA109" s="10">
        <f t="shared" si="78"/>
        <v>3.2240215093487672</v>
      </c>
      <c r="AB109" s="15">
        <f t="shared" si="117"/>
        <v>0.96894409937888193</v>
      </c>
      <c r="AC109" s="15" t="e">
        <f t="shared" si="117"/>
        <v>#REF!</v>
      </c>
      <c r="AD109" s="16">
        <f t="shared" si="79"/>
        <v>1.7823145785231768E-3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-9.503053019237484E-4</v>
      </c>
      <c r="AM109" s="21">
        <f>bdrate($D109:$D112,F109:F112,$P109:$P112,R109:R112)</f>
        <v>1.5915657472282962E-3</v>
      </c>
      <c r="AN109" s="36">
        <f t="shared" ref="AN109" si="128">bdrate($D109:$D112,G109:G112,$P109:$P112,S109:S112)</f>
        <v>6.1974370996638051E-3</v>
      </c>
      <c r="AO109" s="26">
        <f>bdrate($D109:$D112,H109:H112,$P109:$P112,T109:T112)</f>
        <v>-3.4881539440874132E-3</v>
      </c>
      <c r="AP109" s="21">
        <f>bdrate($D109:$D112,I109:I112,$P109:$P112,U109:U112)</f>
        <v>3.3299356607803254E-3</v>
      </c>
      <c r="AQ109" s="36">
        <f>bdrate($D109:$D112,J109:J112,$P109:$P112,V109:V112)</f>
        <v>9.7958737112748828E-3</v>
      </c>
      <c r="AR109" s="21"/>
      <c r="AS109" s="21"/>
      <c r="AT109" s="36"/>
      <c r="AU109" s="26"/>
      <c r="AV109" s="21"/>
      <c r="AW109" s="36"/>
      <c r="AX109" s="15">
        <f>V109/J109</f>
        <v>1.0000553580515572</v>
      </c>
      <c r="AY109" s="15">
        <f>X109/L109</f>
        <v>0.96894409937888193</v>
      </c>
      <c r="AZ109" s="15">
        <f t="shared" ref="AZ109:AZ112" si="129">Z109/N109</f>
        <v>3.2240215093487676</v>
      </c>
      <c r="BA109" s="15">
        <f>V109/J109</f>
        <v>1.0000553580515572</v>
      </c>
      <c r="BB109" s="15">
        <f>X109/L109</f>
        <v>0.96894409937888193</v>
      </c>
      <c r="BC109" s="15">
        <f t="shared" si="127"/>
        <v>3.2240215093487676</v>
      </c>
      <c r="BD109" s="1">
        <f t="shared" si="84"/>
        <v>0</v>
      </c>
    </row>
    <row r="110" spans="1:56" ht="15.75" thickBot="1" x14ac:dyDescent="0.25">
      <c r="A110" s="13"/>
      <c r="B110" s="13"/>
      <c r="C110" s="43">
        <v>32</v>
      </c>
      <c r="D110" s="55">
        <v>892.56</v>
      </c>
      <c r="E110" s="55">
        <v>40.710500000000003</v>
      </c>
      <c r="F110" s="55">
        <v>44.283299999999997</v>
      </c>
      <c r="G110" s="55">
        <v>45.131900000000002</v>
      </c>
      <c r="H110" s="55">
        <v>0.99138440000000005</v>
      </c>
      <c r="I110" s="55">
        <v>0.99081339999999996</v>
      </c>
      <c r="J110" s="55">
        <v>0.99189190000000005</v>
      </c>
      <c r="K110" s="55">
        <v>101.536</v>
      </c>
      <c r="L110" s="55">
        <v>0.14699999999999999</v>
      </c>
      <c r="M110" s="15" t="e">
        <f>#REF!</f>
        <v>#REF!</v>
      </c>
      <c r="N110" s="16">
        <f t="shared" si="76"/>
        <v>2.8204444444444445E-2</v>
      </c>
      <c r="P110" s="60">
        <v>892.38</v>
      </c>
      <c r="Q110" s="60">
        <v>40.724400000000003</v>
      </c>
      <c r="R110" s="60">
        <v>44.351100000000002</v>
      </c>
      <c r="S110" s="60">
        <v>45.0441</v>
      </c>
      <c r="T110" s="60">
        <v>0.99145810000000001</v>
      </c>
      <c r="U110" s="60">
        <v>0.99108430000000003</v>
      </c>
      <c r="V110" s="60">
        <v>0.99165519999999996</v>
      </c>
      <c r="W110" s="60">
        <v>636.649</v>
      </c>
      <c r="X110" s="60">
        <v>0.15</v>
      </c>
      <c r="Y110" s="15" t="e">
        <f>#REF!</f>
        <v>#REF!</v>
      </c>
      <c r="Z110" s="16">
        <f t="shared" si="77"/>
        <v>0.17684694444444443</v>
      </c>
      <c r="AA110" s="10">
        <f t="shared" si="78"/>
        <v>6.270180034667507</v>
      </c>
      <c r="AB110" s="15">
        <f t="shared" si="117"/>
        <v>1.0204081632653061</v>
      </c>
      <c r="AC110" s="15" t="e">
        <f t="shared" si="117"/>
        <v>#REF!</v>
      </c>
      <c r="AD110" s="16">
        <f t="shared" si="79"/>
        <v>2.0166711481575466E-4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>
        <f>V110/J110</f>
        <v>0.99976136512456637</v>
      </c>
      <c r="AY110" s="15">
        <f>X110/L110</f>
        <v>1.0204081632653061</v>
      </c>
      <c r="AZ110" s="15">
        <f t="shared" si="129"/>
        <v>6.2701800346675061</v>
      </c>
      <c r="BA110" s="15">
        <f>V110/J110</f>
        <v>0.99976136512456637</v>
      </c>
      <c r="BB110" s="15">
        <f>X110/L110</f>
        <v>1.0204081632653061</v>
      </c>
      <c r="BC110" s="15">
        <f t="shared" si="127"/>
        <v>6.2701800346675061</v>
      </c>
      <c r="BD110" s="1">
        <f t="shared" si="84"/>
        <v>0</v>
      </c>
    </row>
    <row r="111" spans="1:56" ht="15.75" thickBot="1" x14ac:dyDescent="0.25">
      <c r="A111" s="13"/>
      <c r="B111" s="13"/>
      <c r="C111" s="43">
        <v>37</v>
      </c>
      <c r="D111" s="55">
        <v>544.38</v>
      </c>
      <c r="E111" s="55">
        <v>37.991900000000001</v>
      </c>
      <c r="F111" s="55">
        <v>42.526800000000001</v>
      </c>
      <c r="G111" s="55">
        <v>43.553100000000001</v>
      </c>
      <c r="H111" s="55">
        <v>0.98513200000000001</v>
      </c>
      <c r="I111" s="55">
        <v>0.98602339999999999</v>
      </c>
      <c r="J111" s="55">
        <v>0.98793399999999998</v>
      </c>
      <c r="K111" s="55">
        <v>67.066000000000003</v>
      </c>
      <c r="L111" s="55">
        <v>0.16300000000000001</v>
      </c>
      <c r="M111" s="15" t="e">
        <f>#REF!</f>
        <v>#REF!</v>
      </c>
      <c r="N111" s="16">
        <f t="shared" si="76"/>
        <v>1.8629444444444445E-2</v>
      </c>
      <c r="P111" s="60">
        <v>545.52</v>
      </c>
      <c r="Q111" s="60">
        <v>37.993000000000002</v>
      </c>
      <c r="R111" s="60">
        <v>42.395000000000003</v>
      </c>
      <c r="S111" s="60">
        <v>43.575800000000001</v>
      </c>
      <c r="T111" s="60">
        <v>0.98510750000000002</v>
      </c>
      <c r="U111" s="60">
        <v>0.98559980000000003</v>
      </c>
      <c r="V111" s="60">
        <v>0.98794059999999995</v>
      </c>
      <c r="W111" s="60">
        <v>264.57299999999998</v>
      </c>
      <c r="X111" s="60">
        <v>0.13100000000000001</v>
      </c>
      <c r="Y111" s="15" t="e">
        <f>#REF!</f>
        <v>#REF!</v>
      </c>
      <c r="Z111" s="16">
        <f t="shared" si="77"/>
        <v>7.3492499999999988E-2</v>
      </c>
      <c r="AA111" s="10">
        <f t="shared" si="78"/>
        <v>3.9449646616765568</v>
      </c>
      <c r="AB111" s="15">
        <f t="shared" si="117"/>
        <v>0.80368098159509205</v>
      </c>
      <c r="AC111" s="15" t="e">
        <f t="shared" si="117"/>
        <v>#REF!</v>
      </c>
      <c r="AD111" s="16">
        <f t="shared" si="79"/>
        <v>2.094125427091345E-3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>
        <f>V111/J111</f>
        <v>1.0000066806082188</v>
      </c>
      <c r="AY111" s="15">
        <f>X111/L111</f>
        <v>0.80368098159509205</v>
      </c>
      <c r="AZ111" s="15">
        <f t="shared" si="129"/>
        <v>3.9449646616765568</v>
      </c>
      <c r="BA111" s="15">
        <f>V111/J111</f>
        <v>1.0000066806082188</v>
      </c>
      <c r="BB111" s="15">
        <f>X111/L111</f>
        <v>0.80368098159509205</v>
      </c>
      <c r="BC111" s="15">
        <f t="shared" si="127"/>
        <v>3.9449646616765568</v>
      </c>
      <c r="BD111" s="1">
        <f t="shared" si="84"/>
        <v>0</v>
      </c>
    </row>
    <row r="112" spans="1:56" ht="15.75" thickBot="1" x14ac:dyDescent="0.25">
      <c r="A112" s="17"/>
      <c r="B112" s="17"/>
      <c r="C112" s="44">
        <v>42</v>
      </c>
      <c r="D112" s="55">
        <v>330.36</v>
      </c>
      <c r="E112" s="55">
        <v>35.096200000000003</v>
      </c>
      <c r="F112" s="55">
        <v>41.045400000000001</v>
      </c>
      <c r="G112" s="55">
        <v>41.97</v>
      </c>
      <c r="H112" s="55">
        <v>0.97322540000000002</v>
      </c>
      <c r="I112" s="55">
        <v>0.98004530000000001</v>
      </c>
      <c r="J112" s="55">
        <v>0.98187029999999997</v>
      </c>
      <c r="K112" s="55">
        <v>43.497</v>
      </c>
      <c r="L112" s="55">
        <v>0.13300000000000001</v>
      </c>
      <c r="M112" s="19" t="e">
        <f>#REF!</f>
        <v>#REF!</v>
      </c>
      <c r="N112" s="20">
        <f t="shared" si="76"/>
        <v>1.2082499999999999E-2</v>
      </c>
      <c r="P112" s="60">
        <v>327.12</v>
      </c>
      <c r="Q112" s="60">
        <v>35.070399999999999</v>
      </c>
      <c r="R112" s="60">
        <v>41.192</v>
      </c>
      <c r="S112" s="60">
        <v>41.948700000000002</v>
      </c>
      <c r="T112" s="60">
        <v>0.97355860000000005</v>
      </c>
      <c r="U112" s="60">
        <v>0.98037649999999998</v>
      </c>
      <c r="V112" s="60">
        <v>0.98155490000000001</v>
      </c>
      <c r="W112" s="60">
        <v>220.44900000000001</v>
      </c>
      <c r="X112" s="60">
        <v>0.13100000000000001</v>
      </c>
      <c r="Y112" s="19" t="e">
        <f>#REF!</f>
        <v>#REF!</v>
      </c>
      <c r="Z112" s="20">
        <f t="shared" si="77"/>
        <v>6.1235833333333337E-2</v>
      </c>
      <c r="AA112" s="10">
        <f t="shared" si="78"/>
        <v>5.0681426305262436</v>
      </c>
      <c r="AB112" s="15">
        <f t="shared" si="117"/>
        <v>0.98496240601503759</v>
      </c>
      <c r="AC112" s="15" t="e">
        <f t="shared" si="117"/>
        <v>#REF!</v>
      </c>
      <c r="AD112" s="20">
        <f t="shared" si="79"/>
        <v>9.8074827460951954E-3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>
        <f>V112/J112</f>
        <v>0.99967877631088342</v>
      </c>
      <c r="AY112" s="19">
        <f>X112/L112</f>
        <v>0.98496240601503759</v>
      </c>
      <c r="AZ112" s="19">
        <f t="shared" si="129"/>
        <v>5.0681426305262436</v>
      </c>
      <c r="BA112" s="19"/>
      <c r="BB112" s="19"/>
      <c r="BC112" s="19"/>
      <c r="BD112" s="1">
        <f t="shared" si="84"/>
        <v>0</v>
      </c>
    </row>
    <row r="113" spans="1:56" ht="15.75" thickBot="1" x14ac:dyDescent="0.25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45.136899999999997</v>
      </c>
      <c r="F113" s="55">
        <v>45.8872</v>
      </c>
      <c r="G113" s="55">
        <v>46.416699999999999</v>
      </c>
      <c r="H113" s="55">
        <v>0.99725490000000006</v>
      </c>
      <c r="I113" s="55">
        <v>0.99586549999999996</v>
      </c>
      <c r="J113" s="55">
        <v>0.99654909999999997</v>
      </c>
      <c r="K113" s="55">
        <v>1016.052</v>
      </c>
      <c r="L113" s="55">
        <v>0.47</v>
      </c>
      <c r="M113" s="10" t="e">
        <f>#REF!</f>
        <v>#REF!</v>
      </c>
      <c r="N113" s="11">
        <f t="shared" si="76"/>
        <v>0.28223666666666669</v>
      </c>
      <c r="P113" s="60">
        <v>12888.54</v>
      </c>
      <c r="Q113" s="60">
        <v>45.139400000000002</v>
      </c>
      <c r="R113" s="60">
        <v>45.872399999999999</v>
      </c>
      <c r="S113" s="60">
        <v>46.397199999999998</v>
      </c>
      <c r="T113" s="60">
        <v>0.99725280000000005</v>
      </c>
      <c r="U113" s="60">
        <v>0.99585599999999996</v>
      </c>
      <c r="V113" s="60">
        <v>0.99654589999999998</v>
      </c>
      <c r="W113" s="60">
        <v>1966.098</v>
      </c>
      <c r="X113" s="60">
        <v>0.46800000000000003</v>
      </c>
      <c r="Y113" s="10" t="e">
        <f>#REF!</f>
        <v>#REF!</v>
      </c>
      <c r="Z113" s="11">
        <f t="shared" si="77"/>
        <v>0.54613833333333328</v>
      </c>
      <c r="AA113" s="10">
        <f t="shared" si="78"/>
        <v>1.9350367894556577</v>
      </c>
      <c r="AB113" s="10">
        <f>X113/L113</f>
        <v>0.99574468085106393</v>
      </c>
      <c r="AC113" s="10" t="e">
        <f>Y113/M113</f>
        <v>#REF!</v>
      </c>
      <c r="AD113" s="11">
        <f t="shared" si="79"/>
        <v>6.7456292974302321E-4</v>
      </c>
      <c r="AE113" s="40"/>
      <c r="AF113" s="25">
        <f t="shared" ref="AF113:AK113" si="130">bdRateExtend($D113:$D117,E113:E117,$P113:$P117,Q113:Q117)</f>
        <v>4.9192594784086552E-5</v>
      </c>
      <c r="AG113" s="30">
        <f t="shared" si="130"/>
        <v>2.9590360497004919E-3</v>
      </c>
      <c r="AH113" s="31">
        <f t="shared" si="130"/>
        <v>5.563775497476886E-4</v>
      </c>
      <c r="AI113" s="25">
        <f t="shared" si="130"/>
        <v>3.2810947479540165E-3</v>
      </c>
      <c r="AJ113" s="30">
        <f t="shared" si="130"/>
        <v>1.2113570963207421E-2</v>
      </c>
      <c r="AK113" s="30">
        <f t="shared" si="130"/>
        <v>-9.3490705131249463E-3</v>
      </c>
      <c r="AL113" s="26"/>
      <c r="AM113" s="21"/>
      <c r="AN113" s="36"/>
      <c r="AO113" s="21"/>
      <c r="AP113" s="21"/>
      <c r="AQ113" s="36"/>
      <c r="AR113" s="30">
        <f t="shared" ref="AR113:AW113" si="131">bdrate($D113:$D116,E113:E116,$P113:$P116,Q113:Q116)</f>
        <v>7.8206304846384356E-4</v>
      </c>
      <c r="AS113" s="30">
        <f t="shared" si="131"/>
        <v>2.380125633094643E-5</v>
      </c>
      <c r="AT113" s="31">
        <f t="shared" si="131"/>
        <v>2.1140859012243052E-3</v>
      </c>
      <c r="AU113" s="25">
        <f t="shared" si="131"/>
        <v>2.7517629048894321E-3</v>
      </c>
      <c r="AV113" s="30">
        <f t="shared" si="131"/>
        <v>9.2724463589748396E-3</v>
      </c>
      <c r="AW113" s="31">
        <f t="shared" si="131"/>
        <v>-3.1393938628143658E-3</v>
      </c>
      <c r="AX113" s="10"/>
      <c r="AY113" s="10"/>
      <c r="AZ113" s="10"/>
      <c r="BA113" s="10">
        <f>V113/J113</f>
        <v>0.99999678891888022</v>
      </c>
      <c r="BB113" s="10">
        <f t="shared" ref="BB113:BB116" si="132">X113/L113</f>
        <v>0.99574468085106393</v>
      </c>
      <c r="BC113" s="10">
        <f t="shared" ref="BC113:BC151" si="133">Z113/N113</f>
        <v>1.9350367894556575</v>
      </c>
      <c r="BD113" s="1">
        <f t="shared" si="84"/>
        <v>0</v>
      </c>
    </row>
    <row r="114" spans="1:56" ht="15.75" thickBot="1" x14ac:dyDescent="0.25">
      <c r="A114" s="13"/>
      <c r="C114" s="43">
        <v>27</v>
      </c>
      <c r="D114" s="55">
        <v>7534.32</v>
      </c>
      <c r="E114" s="55">
        <v>41.636400000000002</v>
      </c>
      <c r="F114" s="55">
        <v>42.677700000000002</v>
      </c>
      <c r="G114" s="55">
        <v>42.948099999999997</v>
      </c>
      <c r="H114" s="55">
        <v>0.99340700000000004</v>
      </c>
      <c r="I114" s="55">
        <v>0.99040150000000005</v>
      </c>
      <c r="J114" s="55">
        <v>0.99211260000000001</v>
      </c>
      <c r="K114" s="55">
        <v>640.76800000000003</v>
      </c>
      <c r="L114" s="55">
        <v>0.39500000000000002</v>
      </c>
      <c r="M114" s="15" t="e">
        <f>#REF!</f>
        <v>#REF!</v>
      </c>
      <c r="N114" s="16">
        <f t="shared" si="76"/>
        <v>0.17799111111111113</v>
      </c>
      <c r="P114" s="60">
        <v>7539.3</v>
      </c>
      <c r="Q114" s="60">
        <v>41.639000000000003</v>
      </c>
      <c r="R114" s="60">
        <v>42.712400000000002</v>
      </c>
      <c r="S114" s="60">
        <v>42.924999999999997</v>
      </c>
      <c r="T114" s="60">
        <v>0.99343519999999996</v>
      </c>
      <c r="U114" s="60">
        <v>0.99032600000000004</v>
      </c>
      <c r="V114" s="60">
        <v>0.9921818</v>
      </c>
      <c r="W114" s="60">
        <v>1534.1669999999999</v>
      </c>
      <c r="X114" s="60">
        <v>0.39200000000000002</v>
      </c>
      <c r="Y114" s="15" t="e">
        <f>#REF!</f>
        <v>#REF!</v>
      </c>
      <c r="Z114" s="16">
        <f t="shared" si="77"/>
        <v>0.42615749999999997</v>
      </c>
      <c r="AA114" s="10">
        <f t="shared" si="78"/>
        <v>2.3942628221134634</v>
      </c>
      <c r="AB114" s="15">
        <f t="shared" ref="AB114:AC132" si="134">X114/L114</f>
        <v>0.9924050632911392</v>
      </c>
      <c r="AC114" s="15" t="e">
        <f t="shared" si="134"/>
        <v>#REF!</v>
      </c>
      <c r="AD114" s="16">
        <f t="shared" si="79"/>
        <v>6.6097537667639196E-4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3.2329669880981626E-4</v>
      </c>
      <c r="AM114" s="21">
        <f>bdrate($D114:$D117,F114:F117,$P114:$P117,R114:R117)</f>
        <v>7.0048877664250497E-3</v>
      </c>
      <c r="AN114" s="36">
        <f t="shared" ref="AN114" si="135">bdrate($D114:$D117,G114:G117,$P114:$P117,S114:S117)</f>
        <v>-1.9174487398421203E-4</v>
      </c>
      <c r="AO114" s="26">
        <f>bdrate($D114:$D117,H114:H117,$P114:$P117,T114:T117)</f>
        <v>3.7303732015721014E-3</v>
      </c>
      <c r="AP114" s="21">
        <f>bdrate($D114:$D117,I114:I117,$P114:$P117,U114:U117)</f>
        <v>1.3508589752312394E-2</v>
      </c>
      <c r="AQ114" s="36">
        <f>bdrate($D114:$D117,J114:J117,$P114:$P117,V114:V117)</f>
        <v>-9.3798737787792463E-3</v>
      </c>
      <c r="AR114" s="21"/>
      <c r="AS114" s="21"/>
      <c r="AT114" s="36"/>
      <c r="AU114" s="26"/>
      <c r="AV114" s="21"/>
      <c r="AW114" s="36"/>
      <c r="AX114" s="15">
        <f>V114/J114</f>
        <v>1.0000697501473119</v>
      </c>
      <c r="AY114" s="15">
        <f t="shared" ref="AY114:AY117" si="136">X114/L114</f>
        <v>0.9924050632911392</v>
      </c>
      <c r="AZ114" s="15">
        <f t="shared" ref="AZ114:AZ152" si="137">Z114/N114</f>
        <v>2.3942628221134634</v>
      </c>
      <c r="BA114" s="15">
        <f>V114/J114</f>
        <v>1.0000697501473119</v>
      </c>
      <c r="BB114" s="15">
        <f t="shared" si="132"/>
        <v>0.9924050632911392</v>
      </c>
      <c r="BC114" s="15">
        <f t="shared" si="133"/>
        <v>2.3942628221134634</v>
      </c>
      <c r="BD114" s="1">
        <f t="shared" si="84"/>
        <v>0</v>
      </c>
    </row>
    <row r="115" spans="1:56" ht="15.75" thickBot="1" x14ac:dyDescent="0.25">
      <c r="A115" s="13"/>
      <c r="B115" s="13"/>
      <c r="C115" s="43">
        <v>32</v>
      </c>
      <c r="D115" s="55">
        <v>4293.3599999999997</v>
      </c>
      <c r="E115" s="55">
        <v>38.362000000000002</v>
      </c>
      <c r="F115" s="55">
        <v>40.078000000000003</v>
      </c>
      <c r="G115" s="55">
        <v>39.909700000000001</v>
      </c>
      <c r="H115" s="55">
        <v>0.9856528</v>
      </c>
      <c r="I115" s="55">
        <v>0.98156279999999996</v>
      </c>
      <c r="J115" s="55">
        <v>0.98463800000000001</v>
      </c>
      <c r="K115" s="55">
        <v>464.60899999999998</v>
      </c>
      <c r="L115" s="55">
        <v>0.34499999999999997</v>
      </c>
      <c r="M115" s="15" t="e">
        <f>#REF!</f>
        <v>#REF!</v>
      </c>
      <c r="N115" s="16">
        <f t="shared" si="76"/>
        <v>0.12905805555555555</v>
      </c>
      <c r="P115" s="60">
        <v>4304.82</v>
      </c>
      <c r="Q115" s="60">
        <v>38.364100000000001</v>
      </c>
      <c r="R115" s="60">
        <v>40.071399999999997</v>
      </c>
      <c r="S115" s="60">
        <v>39.903199999999998</v>
      </c>
      <c r="T115" s="60">
        <v>0.98564799999999997</v>
      </c>
      <c r="U115" s="60">
        <v>0.98143800000000003</v>
      </c>
      <c r="V115" s="60">
        <v>0.98459010000000002</v>
      </c>
      <c r="W115" s="60">
        <v>1302.577</v>
      </c>
      <c r="X115" s="60">
        <v>0.439</v>
      </c>
      <c r="Y115" s="15" t="e">
        <f>#REF!</f>
        <v>#REF!</v>
      </c>
      <c r="Z115" s="16">
        <f t="shared" si="77"/>
        <v>0.36182694444444446</v>
      </c>
      <c r="AA115" s="10">
        <f t="shared" si="78"/>
        <v>2.8035982944798747</v>
      </c>
      <c r="AB115" s="15">
        <f t="shared" si="134"/>
        <v>1.2724637681159421</v>
      </c>
      <c r="AC115" s="15" t="e">
        <f t="shared" si="134"/>
        <v>#REF!</v>
      </c>
      <c r="AD115" s="16">
        <f t="shared" si="79"/>
        <v>2.6692380792665972E-3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>
        <f>V115/J115</f>
        <v>0.99995135267986812</v>
      </c>
      <c r="AY115" s="15">
        <f t="shared" si="136"/>
        <v>1.2724637681159421</v>
      </c>
      <c r="AZ115" s="15">
        <f t="shared" si="137"/>
        <v>2.8035982944798747</v>
      </c>
      <c r="BA115" s="15">
        <f>V115/J115</f>
        <v>0.99995135267986812</v>
      </c>
      <c r="BB115" s="15">
        <f t="shared" si="132"/>
        <v>1.2724637681159421</v>
      </c>
      <c r="BC115" s="15">
        <f t="shared" si="133"/>
        <v>2.8035982944798747</v>
      </c>
      <c r="BD115" s="1">
        <f t="shared" si="84"/>
        <v>0</v>
      </c>
    </row>
    <row r="116" spans="1:56" ht="15.75" thickBot="1" x14ac:dyDescent="0.25">
      <c r="A116" s="13"/>
      <c r="B116" s="13"/>
      <c r="C116" s="43">
        <v>37</v>
      </c>
      <c r="D116" s="55">
        <v>2448.96</v>
      </c>
      <c r="E116" s="55">
        <v>35.2363</v>
      </c>
      <c r="F116" s="55">
        <v>38.418500000000002</v>
      </c>
      <c r="G116" s="55">
        <v>38.004600000000003</v>
      </c>
      <c r="H116" s="55">
        <v>0.97073050000000005</v>
      </c>
      <c r="I116" s="55">
        <v>0.97243760000000001</v>
      </c>
      <c r="J116" s="55">
        <v>0.97633230000000004</v>
      </c>
      <c r="K116" s="55">
        <v>265.315</v>
      </c>
      <c r="L116" s="55">
        <v>0.27600000000000002</v>
      </c>
      <c r="M116" s="15" t="e">
        <f>#REF!</f>
        <v>#REF!</v>
      </c>
      <c r="N116" s="16">
        <f t="shared" si="76"/>
        <v>7.3698611111111104E-2</v>
      </c>
      <c r="P116" s="60">
        <v>2454.3000000000002</v>
      </c>
      <c r="Q116" s="60">
        <v>35.247700000000002</v>
      </c>
      <c r="R116" s="60">
        <v>38.380099999999999</v>
      </c>
      <c r="S116" s="60">
        <v>38.072000000000003</v>
      </c>
      <c r="T116" s="60">
        <v>0.97052450000000001</v>
      </c>
      <c r="U116" s="60">
        <v>0.97219489999999997</v>
      </c>
      <c r="V116" s="60">
        <v>0.97679419999999995</v>
      </c>
      <c r="W116" s="60">
        <v>1048.0329999999999</v>
      </c>
      <c r="X116" s="60">
        <v>0.30399999999999999</v>
      </c>
      <c r="Y116" s="15" t="e">
        <f>#REF!</f>
        <v>#REF!</v>
      </c>
      <c r="Z116" s="16">
        <f t="shared" si="77"/>
        <v>0.29112027777777777</v>
      </c>
      <c r="AA116" s="10">
        <f t="shared" si="78"/>
        <v>3.950146052805156</v>
      </c>
      <c r="AB116" s="15">
        <f t="shared" si="134"/>
        <v>1.1014492753623186</v>
      </c>
      <c r="AC116" s="15" t="e">
        <f t="shared" si="134"/>
        <v>#REF!</v>
      </c>
      <c r="AD116" s="16">
        <f t="shared" si="79"/>
        <v>2.1805174441396125E-3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>
        <f>V116/J116</f>
        <v>1.0004730971207241</v>
      </c>
      <c r="AY116" s="15">
        <f t="shared" si="136"/>
        <v>1.1014492753623186</v>
      </c>
      <c r="AZ116" s="15">
        <f t="shared" si="137"/>
        <v>3.9501460528051564</v>
      </c>
      <c r="BA116" s="15">
        <f>V116/J116</f>
        <v>1.0004730971207241</v>
      </c>
      <c r="BB116" s="15">
        <f t="shared" si="132"/>
        <v>1.1014492753623186</v>
      </c>
      <c r="BC116" s="15">
        <f t="shared" si="133"/>
        <v>3.9501460528051564</v>
      </c>
      <c r="BD116" s="1">
        <f t="shared" si="84"/>
        <v>0</v>
      </c>
    </row>
    <row r="117" spans="1:56" ht="15.75" thickBot="1" x14ac:dyDescent="0.25">
      <c r="A117" s="13"/>
      <c r="B117" s="17"/>
      <c r="C117" s="44">
        <v>42</v>
      </c>
      <c r="D117" s="55">
        <v>1360.26</v>
      </c>
      <c r="E117" s="55">
        <v>32.244999999999997</v>
      </c>
      <c r="F117" s="55">
        <v>36.755400000000002</v>
      </c>
      <c r="G117" s="55">
        <v>36.187600000000003</v>
      </c>
      <c r="H117" s="55">
        <v>0.94172829999999996</v>
      </c>
      <c r="I117" s="55">
        <v>0.95984619999999998</v>
      </c>
      <c r="J117" s="55">
        <v>0.96536730000000004</v>
      </c>
      <c r="K117" s="55">
        <v>161.02099999999999</v>
      </c>
      <c r="L117" s="55">
        <v>0.224</v>
      </c>
      <c r="M117" s="19" t="e">
        <f>#REF!</f>
        <v>#REF!</v>
      </c>
      <c r="N117" s="20">
        <f t="shared" si="76"/>
        <v>4.4728055555555549E-2</v>
      </c>
      <c r="P117" s="60">
        <v>1360.92</v>
      </c>
      <c r="Q117" s="60">
        <v>32.272799999999997</v>
      </c>
      <c r="R117" s="60">
        <v>36.718699999999998</v>
      </c>
      <c r="S117" s="60">
        <v>36.113199999999999</v>
      </c>
      <c r="T117" s="60">
        <v>0.94225150000000002</v>
      </c>
      <c r="U117" s="60">
        <v>0.95937289999999997</v>
      </c>
      <c r="V117" s="60">
        <v>0.96527510000000005</v>
      </c>
      <c r="W117" s="60">
        <v>730.31600000000003</v>
      </c>
      <c r="X117" s="60">
        <v>0.28699999999999998</v>
      </c>
      <c r="Y117" s="19" t="e">
        <f>#REF!</f>
        <v>#REF!</v>
      </c>
      <c r="Z117" s="20">
        <f t="shared" si="77"/>
        <v>0.20286555555555558</v>
      </c>
      <c r="AA117" s="10">
        <f t="shared" si="78"/>
        <v>4.5355326323895646</v>
      </c>
      <c r="AB117" s="15">
        <f t="shared" si="134"/>
        <v>1.2812499999999998</v>
      </c>
      <c r="AC117" s="15" t="e">
        <f t="shared" si="134"/>
        <v>#REF!</v>
      </c>
      <c r="AD117" s="20">
        <f t="shared" si="79"/>
        <v>4.8520135856386414E-4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>
        <f>V117/J117</f>
        <v>0.9999044923108541</v>
      </c>
      <c r="AY117" s="15">
        <f t="shared" si="136"/>
        <v>1.2812499999999998</v>
      </c>
      <c r="AZ117" s="15">
        <f t="shared" si="137"/>
        <v>4.5355326323895655</v>
      </c>
      <c r="BA117" s="15"/>
      <c r="BB117" s="15"/>
      <c r="BC117" s="15"/>
      <c r="BD117" s="1">
        <f t="shared" si="84"/>
        <v>0</v>
      </c>
    </row>
    <row r="118" spans="1:56" ht="15.75" thickBot="1" x14ac:dyDescent="0.25">
      <c r="A118" s="13"/>
      <c r="B118" s="8" t="s">
        <v>35</v>
      </c>
      <c r="C118" s="39">
        <v>22</v>
      </c>
      <c r="D118" s="55">
        <v>2025.35</v>
      </c>
      <c r="E118" s="55">
        <v>42.6081</v>
      </c>
      <c r="F118" s="55">
        <v>44.563800000000001</v>
      </c>
      <c r="G118" s="55">
        <v>45.7455</v>
      </c>
      <c r="H118" s="55">
        <v>0.99617489999999997</v>
      </c>
      <c r="I118" s="55">
        <v>0.99600900000000003</v>
      </c>
      <c r="J118" s="55">
        <v>0.99699459999999995</v>
      </c>
      <c r="K118" s="55">
        <v>163.12200000000001</v>
      </c>
      <c r="L118" s="55">
        <v>0.19</v>
      </c>
      <c r="M118" s="10" t="e">
        <f>#REF!</f>
        <v>#REF!</v>
      </c>
      <c r="N118" s="11">
        <f t="shared" si="76"/>
        <v>4.5311666666666674E-2</v>
      </c>
      <c r="P118" s="60">
        <v>2046.75</v>
      </c>
      <c r="Q118" s="60">
        <v>42.641500000000001</v>
      </c>
      <c r="R118" s="60">
        <v>44.564700000000002</v>
      </c>
      <c r="S118" s="60">
        <v>45.774900000000002</v>
      </c>
      <c r="T118" s="60">
        <v>0.99622619999999995</v>
      </c>
      <c r="U118" s="60">
        <v>0.99608339999999995</v>
      </c>
      <c r="V118" s="60">
        <v>0.99707780000000001</v>
      </c>
      <c r="W118" s="60">
        <v>326.733</v>
      </c>
      <c r="X118" s="60">
        <v>0.19400000000000001</v>
      </c>
      <c r="Y118" s="10" t="e">
        <f>#REF!</f>
        <v>#REF!</v>
      </c>
      <c r="Z118" s="11">
        <f t="shared" si="77"/>
        <v>9.0759166666666669E-2</v>
      </c>
      <c r="AA118" s="10">
        <f t="shared" si="78"/>
        <v>2.0029977562805752</v>
      </c>
      <c r="AB118" s="15">
        <f t="shared" si="134"/>
        <v>1.0210526315789474</v>
      </c>
      <c r="AC118" s="15" t="e">
        <f t="shared" si="134"/>
        <v>#REF!</v>
      </c>
      <c r="AD118" s="11">
        <f t="shared" si="79"/>
        <v>1.0566074999382868E-2</v>
      </c>
      <c r="AE118" s="12"/>
      <c r="AF118" s="25">
        <f t="shared" ref="AF118:AK118" si="138">bdRateExtend($D118:$D122,E118:E122,$P118:$P122,Q118:Q122)</f>
        <v>-2.9336282890679577E-3</v>
      </c>
      <c r="AG118" s="30">
        <f t="shared" si="138"/>
        <v>2.6456476857696476E-2</v>
      </c>
      <c r="AH118" s="31">
        <f t="shared" si="138"/>
        <v>6.7524222992945138E-3</v>
      </c>
      <c r="AI118" s="25">
        <f t="shared" si="138"/>
        <v>-2.7538236098247904E-3</v>
      </c>
      <c r="AJ118" s="30">
        <f t="shared" si="138"/>
        <v>2.9889636240505446E-2</v>
      </c>
      <c r="AK118" s="30">
        <f t="shared" si="138"/>
        <v>1.1808678994418065E-2</v>
      </c>
      <c r="AL118" s="45"/>
      <c r="AM118" s="46"/>
      <c r="AN118" s="47"/>
      <c r="AO118" s="46"/>
      <c r="AP118" s="46"/>
      <c r="AQ118" s="47"/>
      <c r="AR118" s="30">
        <f t="shared" ref="AR118:AW118" si="139">bdrate($D118:$D121,E118:E121,$P118:$P121,Q118:Q121)</f>
        <v>7.2622693835633356E-4</v>
      </c>
      <c r="AS118" s="30">
        <f t="shared" si="139"/>
        <v>2.6805881204686077E-2</v>
      </c>
      <c r="AT118" s="31">
        <f t="shared" si="139"/>
        <v>-1.1207193918164604E-3</v>
      </c>
      <c r="AU118" s="25">
        <f t="shared" si="139"/>
        <v>-2.7740788731688282E-3</v>
      </c>
      <c r="AV118" s="30">
        <f t="shared" si="139"/>
        <v>3.2704082608178808E-2</v>
      </c>
      <c r="AW118" s="31">
        <f t="shared" si="139"/>
        <v>-5.039773445429252E-2</v>
      </c>
      <c r="AX118" s="15"/>
      <c r="AY118" s="15"/>
      <c r="AZ118" s="15"/>
      <c r="BA118" s="15">
        <f>V118/J118</f>
        <v>1.0000834508030436</v>
      </c>
      <c r="BB118" s="15">
        <f t="shared" ref="BB118:BB121" si="140">X118/L118</f>
        <v>1.0210526315789474</v>
      </c>
      <c r="BC118" s="15">
        <f t="shared" si="133"/>
        <v>2.0029977562805752</v>
      </c>
      <c r="BD118" s="1">
        <f t="shared" si="84"/>
        <v>0</v>
      </c>
    </row>
    <row r="119" spans="1:56" ht="15.75" thickBot="1" x14ac:dyDescent="0.25">
      <c r="A119" s="13"/>
      <c r="B119" s="13"/>
      <c r="C119" s="43">
        <v>27</v>
      </c>
      <c r="D119" s="55">
        <v>1106.8499999999999</v>
      </c>
      <c r="E119" s="55">
        <v>39.372199999999999</v>
      </c>
      <c r="F119" s="55">
        <v>41.816099999999999</v>
      </c>
      <c r="G119" s="55">
        <v>42.840200000000003</v>
      </c>
      <c r="H119" s="55">
        <v>0.99081980000000003</v>
      </c>
      <c r="I119" s="55">
        <v>0.99245399999999995</v>
      </c>
      <c r="J119" s="55">
        <v>0.99405949999999998</v>
      </c>
      <c r="K119" s="55">
        <v>112.285</v>
      </c>
      <c r="L119" s="55">
        <v>0.14599999999999999</v>
      </c>
      <c r="M119" s="15" t="e">
        <f>#REF!</f>
        <v>#REF!</v>
      </c>
      <c r="N119" s="16">
        <f t="shared" si="76"/>
        <v>3.1190277777777775E-2</v>
      </c>
      <c r="P119" s="60">
        <v>1107.3</v>
      </c>
      <c r="Q119" s="60">
        <v>39.352400000000003</v>
      </c>
      <c r="R119" s="60">
        <v>41.800600000000003</v>
      </c>
      <c r="S119" s="60">
        <v>42.865200000000002</v>
      </c>
      <c r="T119" s="60">
        <v>0.99084620000000001</v>
      </c>
      <c r="U119" s="60">
        <v>0.99233910000000003</v>
      </c>
      <c r="V119" s="60">
        <v>0.99425490000000005</v>
      </c>
      <c r="W119" s="60">
        <v>311.68</v>
      </c>
      <c r="X119" s="60">
        <v>0.248</v>
      </c>
      <c r="Y119" s="15" t="e">
        <f>#REF!</f>
        <v>#REF!</v>
      </c>
      <c r="Z119" s="16">
        <f t="shared" si="77"/>
        <v>8.6577777777777781E-2</v>
      </c>
      <c r="AA119" s="10">
        <f t="shared" si="78"/>
        <v>2.7757937391459233</v>
      </c>
      <c r="AB119" s="15">
        <f t="shared" si="134"/>
        <v>1.6986301369863015</v>
      </c>
      <c r="AC119" s="15" t="e">
        <f t="shared" si="134"/>
        <v>#REF!</v>
      </c>
      <c r="AD119" s="16">
        <f t="shared" si="79"/>
        <v>4.0655915435700008E-4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-5.9401350696656197E-3</v>
      </c>
      <c r="AM119" s="21">
        <f>bdrate($D119:$D122,F119:F122,$P119:$P122,R119:R122)</f>
        <v>4.2821789368756358E-2</v>
      </c>
      <c r="AN119" s="36">
        <f t="shared" ref="AN119" si="141">bdrate($D119:$D122,G119:G122,$P119:$P122,S119:S122)</f>
        <v>8.5025773305824615E-3</v>
      </c>
      <c r="AO119" s="26">
        <f>bdrate($D119:$D122,H119:H122,$P119:$P122,T119:T122)</f>
        <v>-2.9409668159801061E-3</v>
      </c>
      <c r="AP119" s="21">
        <f>bdrate($D119:$D122,I119:I122,$P119:$P122,U119:U122)</f>
        <v>3.4774628884372216E-2</v>
      </c>
      <c r="AQ119" s="36">
        <f>bdrate($D119:$D122,J119:J122,$P119:$P122,V119:V122)</f>
        <v>1.1713427674697297E-2</v>
      </c>
      <c r="AR119" s="21"/>
      <c r="AS119" s="21"/>
      <c r="AT119" s="36"/>
      <c r="AU119" s="26"/>
      <c r="AV119" s="21"/>
      <c r="AW119" s="36"/>
      <c r="AX119" s="15">
        <f>V119/J119</f>
        <v>1.0001965677104843</v>
      </c>
      <c r="AY119" s="15">
        <f t="shared" ref="AY119:AY122" si="142">X119/L119</f>
        <v>1.6986301369863015</v>
      </c>
      <c r="AZ119" s="15">
        <f t="shared" si="137"/>
        <v>2.7757937391459238</v>
      </c>
      <c r="BA119" s="15">
        <f>V119/J119</f>
        <v>1.0001965677104843</v>
      </c>
      <c r="BB119" s="15">
        <f t="shared" si="140"/>
        <v>1.6986301369863015</v>
      </c>
      <c r="BC119" s="15">
        <f t="shared" si="133"/>
        <v>2.7757937391459238</v>
      </c>
      <c r="BD119" s="1">
        <f t="shared" si="84"/>
        <v>0</v>
      </c>
    </row>
    <row r="120" spans="1:56" ht="15.75" thickBot="1" x14ac:dyDescent="0.25">
      <c r="A120" s="13"/>
      <c r="B120" s="13"/>
      <c r="C120" s="43">
        <v>32</v>
      </c>
      <c r="D120" s="55">
        <v>608.95000000000005</v>
      </c>
      <c r="E120" s="55">
        <v>36.406199999999998</v>
      </c>
      <c r="F120" s="55">
        <v>39.645299999999999</v>
      </c>
      <c r="G120" s="55">
        <v>40.228000000000002</v>
      </c>
      <c r="H120" s="55">
        <v>0.98012129999999997</v>
      </c>
      <c r="I120" s="55">
        <v>0.98676609999999998</v>
      </c>
      <c r="J120" s="55">
        <v>0.98758400000000002</v>
      </c>
      <c r="K120" s="55">
        <v>71.325999999999993</v>
      </c>
      <c r="L120" s="55">
        <v>0.122</v>
      </c>
      <c r="M120" s="15" t="e">
        <f>#REF!</f>
        <v>#REF!</v>
      </c>
      <c r="N120" s="16">
        <f t="shared" si="76"/>
        <v>1.9812777777777776E-2</v>
      </c>
      <c r="P120" s="60">
        <v>606</v>
      </c>
      <c r="Q120" s="60">
        <v>36.389299999999999</v>
      </c>
      <c r="R120" s="60">
        <v>39.404899999999998</v>
      </c>
      <c r="S120" s="60">
        <v>40.251600000000003</v>
      </c>
      <c r="T120" s="60">
        <v>0.98007140000000004</v>
      </c>
      <c r="U120" s="60">
        <v>0.98608700000000005</v>
      </c>
      <c r="V120" s="60">
        <v>0.9887283</v>
      </c>
      <c r="W120" s="60">
        <v>296.75</v>
      </c>
      <c r="X120" s="60">
        <v>0.14599999999999999</v>
      </c>
      <c r="Y120" s="15" t="e">
        <f>#REF!</f>
        <v>#REF!</v>
      </c>
      <c r="Z120" s="16">
        <f t="shared" si="77"/>
        <v>8.2430555555555562E-2</v>
      </c>
      <c r="AA120" s="10">
        <f t="shared" si="78"/>
        <v>4.1604744412977039</v>
      </c>
      <c r="AB120" s="15">
        <f t="shared" si="134"/>
        <v>1.1967213114754098</v>
      </c>
      <c r="AC120" s="15" t="e">
        <f t="shared" si="134"/>
        <v>#REF!</v>
      </c>
      <c r="AD120" s="16">
        <f t="shared" si="79"/>
        <v>4.8444043024879636E-3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>
        <f>V120/J120</f>
        <v>1.0011586862484609</v>
      </c>
      <c r="AY120" s="15">
        <f t="shared" si="142"/>
        <v>1.1967213114754098</v>
      </c>
      <c r="AZ120" s="15">
        <f t="shared" si="137"/>
        <v>4.1604744412977039</v>
      </c>
      <c r="BA120" s="15">
        <f>V120/J120</f>
        <v>1.0011586862484609</v>
      </c>
      <c r="BB120" s="15">
        <f t="shared" si="140"/>
        <v>1.1967213114754098</v>
      </c>
      <c r="BC120" s="15">
        <f t="shared" si="133"/>
        <v>4.1604744412977039</v>
      </c>
      <c r="BD120" s="1">
        <f t="shared" si="84"/>
        <v>0</v>
      </c>
    </row>
    <row r="121" spans="1:56" ht="15.75" thickBot="1" x14ac:dyDescent="0.25">
      <c r="A121" s="13"/>
      <c r="B121" s="13"/>
      <c r="C121" s="43">
        <v>37</v>
      </c>
      <c r="D121" s="55">
        <v>352.45</v>
      </c>
      <c r="E121" s="55">
        <v>33.764699999999998</v>
      </c>
      <c r="F121" s="55">
        <v>37.900799999999997</v>
      </c>
      <c r="G121" s="55">
        <v>38.3431</v>
      </c>
      <c r="H121" s="55">
        <v>0.96252890000000002</v>
      </c>
      <c r="I121" s="55">
        <v>0.9792071</v>
      </c>
      <c r="J121" s="55">
        <v>0.98224630000000002</v>
      </c>
      <c r="K121" s="55">
        <v>40.923999999999999</v>
      </c>
      <c r="L121" s="55">
        <v>0.11700000000000001</v>
      </c>
      <c r="M121" s="15" t="e">
        <f>#REF!</f>
        <v>#REF!</v>
      </c>
      <c r="N121" s="16">
        <f t="shared" si="76"/>
        <v>1.1367777777777777E-2</v>
      </c>
      <c r="P121" s="60">
        <v>349.15</v>
      </c>
      <c r="Q121" s="60">
        <v>33.771700000000003</v>
      </c>
      <c r="R121" s="60">
        <v>37.7791</v>
      </c>
      <c r="S121" s="60">
        <v>38.1524</v>
      </c>
      <c r="T121" s="60">
        <v>0.96231560000000005</v>
      </c>
      <c r="U121" s="60">
        <v>0.97885869999999997</v>
      </c>
      <c r="V121" s="60">
        <v>0.98088540000000002</v>
      </c>
      <c r="W121" s="60">
        <v>182.12799999999999</v>
      </c>
      <c r="X121" s="60">
        <v>0.121</v>
      </c>
      <c r="Y121" s="15" t="e">
        <f>#REF!</f>
        <v>#REF!</v>
      </c>
      <c r="Z121" s="16">
        <f t="shared" si="77"/>
        <v>5.0591111111111108E-2</v>
      </c>
      <c r="AA121" s="10">
        <f t="shared" si="78"/>
        <v>4.4503958557325776</v>
      </c>
      <c r="AB121" s="15">
        <f t="shared" si="134"/>
        <v>1.0341880341880341</v>
      </c>
      <c r="AC121" s="15" t="e">
        <f t="shared" si="134"/>
        <v>#REF!</v>
      </c>
      <c r="AD121" s="16">
        <f t="shared" si="79"/>
        <v>9.3630302170520964E-3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>
        <f>V121/J121</f>
        <v>0.99861450228929338</v>
      </c>
      <c r="AY121" s="15">
        <f t="shared" si="142"/>
        <v>1.0341880341880341</v>
      </c>
      <c r="AZ121" s="15">
        <f t="shared" si="137"/>
        <v>4.4503958557325776</v>
      </c>
      <c r="BA121" s="15">
        <f>V121/J121</f>
        <v>0.99861450228929338</v>
      </c>
      <c r="BB121" s="15">
        <f t="shared" si="140"/>
        <v>1.0341880341880341</v>
      </c>
      <c r="BC121" s="15">
        <f t="shared" si="133"/>
        <v>4.4503958557325776</v>
      </c>
      <c r="BD121" s="1">
        <f t="shared" si="84"/>
        <v>0</v>
      </c>
    </row>
    <row r="122" spans="1:56" ht="15.75" thickBot="1" x14ac:dyDescent="0.25">
      <c r="A122" s="13"/>
      <c r="B122" s="17"/>
      <c r="C122" s="44">
        <v>42</v>
      </c>
      <c r="D122" s="55">
        <v>200</v>
      </c>
      <c r="E122" s="55">
        <v>30.876999999999999</v>
      </c>
      <c r="F122" s="55">
        <v>36.096699999999998</v>
      </c>
      <c r="G122" s="55">
        <v>36.253599999999999</v>
      </c>
      <c r="H122" s="55">
        <v>0.93129340000000005</v>
      </c>
      <c r="I122" s="55">
        <v>0.96917889999999995</v>
      </c>
      <c r="J122" s="55">
        <v>0.96975500000000003</v>
      </c>
      <c r="K122" s="55">
        <v>22.529</v>
      </c>
      <c r="L122" s="55">
        <v>0.112</v>
      </c>
      <c r="M122" s="19" t="e">
        <f>#REF!</f>
        <v>#REF!</v>
      </c>
      <c r="N122" s="20">
        <f t="shared" si="76"/>
        <v>6.2580555555555558E-3</v>
      </c>
      <c r="P122" s="60">
        <v>197.95</v>
      </c>
      <c r="Q122" s="60">
        <v>30.908100000000001</v>
      </c>
      <c r="R122" s="60">
        <v>35.9375</v>
      </c>
      <c r="S122" s="60">
        <v>36.234400000000001</v>
      </c>
      <c r="T122" s="60">
        <v>0.93047729999999995</v>
      </c>
      <c r="U122" s="60">
        <v>0.96710220000000002</v>
      </c>
      <c r="V122" s="60">
        <v>0.9695994</v>
      </c>
      <c r="W122" s="60">
        <v>268.32900000000001</v>
      </c>
      <c r="X122" s="60">
        <v>0.113</v>
      </c>
      <c r="Y122" s="19" t="e">
        <f>#REF!</f>
        <v>#REF!</v>
      </c>
      <c r="Z122" s="20">
        <f t="shared" si="77"/>
        <v>7.4535833333333329E-2</v>
      </c>
      <c r="AA122" s="10">
        <f t="shared" si="78"/>
        <v>11.910382174086733</v>
      </c>
      <c r="AB122" s="15">
        <f t="shared" si="134"/>
        <v>1.0089285714285714</v>
      </c>
      <c r="AC122" s="15" t="e">
        <f t="shared" si="134"/>
        <v>#REF!</v>
      </c>
      <c r="AD122" s="20">
        <f t="shared" si="79"/>
        <v>1.0250000000000058E-2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>
        <f>V122/J122</f>
        <v>0.9998395471021031</v>
      </c>
      <c r="AY122" s="15">
        <f t="shared" si="142"/>
        <v>1.0089285714285714</v>
      </c>
      <c r="AZ122" s="15">
        <f t="shared" si="137"/>
        <v>11.910382174086731</v>
      </c>
      <c r="BA122" s="15"/>
      <c r="BB122" s="15"/>
      <c r="BC122" s="15"/>
      <c r="BD122" s="1">
        <f t="shared" si="84"/>
        <v>0</v>
      </c>
    </row>
    <row r="123" spans="1:56" ht="15.75" thickBot="1" x14ac:dyDescent="0.25">
      <c r="A123" s="13"/>
      <c r="B123" s="8" t="s">
        <v>36</v>
      </c>
      <c r="C123" s="39">
        <v>22</v>
      </c>
      <c r="D123" s="55">
        <v>3163.41</v>
      </c>
      <c r="E123" s="55">
        <v>48.1145</v>
      </c>
      <c r="F123" s="55">
        <v>46.468200000000003</v>
      </c>
      <c r="G123" s="55">
        <v>47.260100000000001</v>
      </c>
      <c r="H123" s="55">
        <v>0.99968869999999999</v>
      </c>
      <c r="I123" s="55">
        <v>0.99663919999999995</v>
      </c>
      <c r="J123" s="55">
        <v>0.99756400000000001</v>
      </c>
      <c r="K123" s="55">
        <v>210.18899999999999</v>
      </c>
      <c r="L123" s="55">
        <v>0.214</v>
      </c>
      <c r="M123" s="10" t="e">
        <f>#REF!</f>
        <v>#REF!</v>
      </c>
      <c r="N123" s="11">
        <f t="shared" si="76"/>
        <v>5.8385833333333331E-2</v>
      </c>
      <c r="P123" s="60">
        <v>3153.21</v>
      </c>
      <c r="Q123" s="60">
        <v>48.1355</v>
      </c>
      <c r="R123" s="60">
        <v>46.4163</v>
      </c>
      <c r="S123" s="60">
        <v>47.249699999999997</v>
      </c>
      <c r="T123" s="60">
        <v>0.99968250000000003</v>
      </c>
      <c r="U123" s="60">
        <v>0.99659529999999996</v>
      </c>
      <c r="V123" s="60">
        <v>0.99754240000000005</v>
      </c>
      <c r="W123" s="60">
        <v>532.31799999999998</v>
      </c>
      <c r="X123" s="60">
        <v>0.26100000000000001</v>
      </c>
      <c r="Y123" s="10" t="e">
        <f>#REF!</f>
        <v>#REF!</v>
      </c>
      <c r="Z123" s="11">
        <f t="shared" si="77"/>
        <v>0.14786611111111111</v>
      </c>
      <c r="AA123" s="10">
        <f t="shared" si="78"/>
        <v>2.5325683075708052</v>
      </c>
      <c r="AB123" s="15">
        <f t="shared" si="134"/>
        <v>1.219626168224299</v>
      </c>
      <c r="AC123" s="15" t="e">
        <f t="shared" si="134"/>
        <v>#REF!</v>
      </c>
      <c r="AD123" s="11">
        <f t="shared" si="79"/>
        <v>3.2243686401698859E-3</v>
      </c>
      <c r="AE123" s="12"/>
      <c r="AF123" s="25">
        <f t="shared" ref="AF123:AK123" si="143">bdRateExtend($D123:$D127,E123:E127,$P123:$P127,Q123:Q127)</f>
        <v>-9.5072149686303842E-4</v>
      </c>
      <c r="AG123" s="30">
        <f t="shared" si="143"/>
        <v>-3.0963720021777164E-3</v>
      </c>
      <c r="AH123" s="31">
        <f t="shared" si="143"/>
        <v>-2.5129681282294314E-3</v>
      </c>
      <c r="AI123" s="25">
        <f t="shared" si="143"/>
        <v>3.9812054734427171E-3</v>
      </c>
      <c r="AJ123" s="30">
        <f t="shared" si="143"/>
        <v>7.6189453699604393E-4</v>
      </c>
      <c r="AK123" s="30">
        <f t="shared" si="143"/>
        <v>-1.0880831135203772E-2</v>
      </c>
      <c r="AL123" s="26"/>
      <c r="AM123" s="21"/>
      <c r="AN123" s="36"/>
      <c r="AO123" s="21"/>
      <c r="AP123" s="21"/>
      <c r="AQ123" s="36"/>
      <c r="AR123" s="30">
        <f t="shared" ref="AR123:AW123" si="144">bdrate($D123:$D126,E123:E126,$P123:$P126,Q123:Q126)</f>
        <v>-5.0124112263649767E-4</v>
      </c>
      <c r="AS123" s="30">
        <f t="shared" si="144"/>
        <v>-4.1533284289143602E-3</v>
      </c>
      <c r="AT123" s="31">
        <f t="shared" si="144"/>
        <v>2.4494883535615131E-3</v>
      </c>
      <c r="AU123" s="25">
        <f t="shared" si="144"/>
        <v>5.8643575578409823E-3</v>
      </c>
      <c r="AV123" s="30">
        <f t="shared" si="144"/>
        <v>-5.8690326591928077E-3</v>
      </c>
      <c r="AW123" s="31">
        <f t="shared" si="144"/>
        <v>-4.5719120477538677E-4</v>
      </c>
      <c r="AX123" s="15"/>
      <c r="AY123" s="15"/>
      <c r="AZ123" s="15"/>
      <c r="BA123" s="15">
        <f>V123/J123</f>
        <v>0.99997834725391055</v>
      </c>
      <c r="BB123" s="15">
        <f t="shared" ref="BB123:BB126" si="145">X123/L123</f>
        <v>1.219626168224299</v>
      </c>
      <c r="BC123" s="15">
        <f t="shared" si="133"/>
        <v>2.5325683075708056</v>
      </c>
      <c r="BD123" s="1">
        <f t="shared" si="84"/>
        <v>0</v>
      </c>
    </row>
    <row r="124" spans="1:56" ht="15.75" thickBot="1" x14ac:dyDescent="0.25">
      <c r="A124" s="13"/>
      <c r="B124" s="13"/>
      <c r="C124" s="43">
        <v>27</v>
      </c>
      <c r="D124" s="55">
        <v>2318.61</v>
      </c>
      <c r="E124" s="55">
        <v>44.007800000000003</v>
      </c>
      <c r="F124" s="55">
        <v>42.647500000000001</v>
      </c>
      <c r="G124" s="55">
        <v>44.015700000000002</v>
      </c>
      <c r="H124" s="55">
        <v>0.99934040000000002</v>
      </c>
      <c r="I124" s="55">
        <v>0.99181269999999999</v>
      </c>
      <c r="J124" s="55">
        <v>0.99457969999999996</v>
      </c>
      <c r="K124" s="55">
        <v>168.88</v>
      </c>
      <c r="L124" s="55">
        <v>0.19700000000000001</v>
      </c>
      <c r="M124" s="15" t="e">
        <f>#REF!</f>
        <v>#REF!</v>
      </c>
      <c r="N124" s="16">
        <f t="shared" si="76"/>
        <v>4.6911111111111112E-2</v>
      </c>
      <c r="P124" s="60">
        <v>2312.88</v>
      </c>
      <c r="Q124" s="60">
        <v>44.007199999999997</v>
      </c>
      <c r="R124" s="60">
        <v>42.652099999999997</v>
      </c>
      <c r="S124" s="60">
        <v>44.015099999999997</v>
      </c>
      <c r="T124" s="60">
        <v>0.99933159999999999</v>
      </c>
      <c r="U124" s="60">
        <v>0.99177009999999999</v>
      </c>
      <c r="V124" s="60">
        <v>0.99464889999999995</v>
      </c>
      <c r="W124" s="60">
        <v>479.35199999999998</v>
      </c>
      <c r="X124" s="60">
        <v>0.23799999999999999</v>
      </c>
      <c r="Y124" s="15" t="e">
        <f>#REF!</f>
        <v>#REF!</v>
      </c>
      <c r="Z124" s="16">
        <f t="shared" si="77"/>
        <v>0.13315333333333332</v>
      </c>
      <c r="AA124" s="10">
        <f t="shared" si="78"/>
        <v>2.8384178114637613</v>
      </c>
      <c r="AB124" s="15">
        <f t="shared" si="134"/>
        <v>1.2081218274111674</v>
      </c>
      <c r="AC124" s="15" t="e">
        <f t="shared" si="134"/>
        <v>#REF!</v>
      </c>
      <c r="AD124" s="16">
        <f t="shared" si="79"/>
        <v>2.4713082407131935E-3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7.1381652133162277E-5</v>
      </c>
      <c r="AM124" s="21">
        <f>bdrate($D124:$D127,F124:F127,$P124:$P127,R124:R127)</f>
        <v>-4.3133356814945012E-3</v>
      </c>
      <c r="AN124" s="36">
        <f t="shared" ref="AN124" si="146">bdrate($D124:$D127,G124:G127,$P124:$P127,S124:S127)</f>
        <v>-1.2911742503385337E-4</v>
      </c>
      <c r="AO124" s="26">
        <f>bdrate($D124:$D127,H124:H127,$P124:$P127,T124:T127)</f>
        <v>4.0575383037242396E-3</v>
      </c>
      <c r="AP124" s="21">
        <f>bdrate($D124:$D127,I124:I127,$P124:$P127,U124:U127)</f>
        <v>-9.3540562492555601E-5</v>
      </c>
      <c r="AQ124" s="36">
        <f>bdrate($D124:$D127,J124:J127,$P124:$P127,V124:V127)</f>
        <v>-1.0796413610106081E-2</v>
      </c>
      <c r="AR124" s="21"/>
      <c r="AS124" s="21"/>
      <c r="AT124" s="36"/>
      <c r="AU124" s="26"/>
      <c r="AV124" s="21"/>
      <c r="AW124" s="36"/>
      <c r="AX124" s="15">
        <f>V124/J124</f>
        <v>1.0000695771289119</v>
      </c>
      <c r="AY124" s="15">
        <f t="shared" ref="AY124:AY127" si="147">X124/L124</f>
        <v>1.2081218274111674</v>
      </c>
      <c r="AZ124" s="15">
        <f t="shared" si="137"/>
        <v>2.8384178114637608</v>
      </c>
      <c r="BA124" s="15">
        <f>V124/J124</f>
        <v>1.0000695771289119</v>
      </c>
      <c r="BB124" s="15">
        <f t="shared" si="145"/>
        <v>1.2081218274111674</v>
      </c>
      <c r="BC124" s="15">
        <f t="shared" si="133"/>
        <v>2.8384178114637608</v>
      </c>
      <c r="BD124" s="1">
        <f t="shared" si="84"/>
        <v>0</v>
      </c>
    </row>
    <row r="125" spans="1:56" ht="15.75" thickBot="1" x14ac:dyDescent="0.25">
      <c r="A125" s="13"/>
      <c r="B125" s="13"/>
      <c r="C125" s="43">
        <v>32</v>
      </c>
      <c r="D125" s="55">
        <v>1738.71</v>
      </c>
      <c r="E125" s="55">
        <v>40.036099999999998</v>
      </c>
      <c r="F125" s="55">
        <v>41.477800000000002</v>
      </c>
      <c r="G125" s="55">
        <v>42.627899999999997</v>
      </c>
      <c r="H125" s="55">
        <v>0.99850280000000002</v>
      </c>
      <c r="I125" s="55">
        <v>0.98815960000000003</v>
      </c>
      <c r="J125" s="55">
        <v>0.99222750000000004</v>
      </c>
      <c r="K125" s="55">
        <v>129.71</v>
      </c>
      <c r="L125" s="55">
        <v>0.2</v>
      </c>
      <c r="M125" s="15" t="e">
        <f>#REF!</f>
        <v>#REF!</v>
      </c>
      <c r="N125" s="16">
        <f t="shared" si="76"/>
        <v>3.6030555555555559E-2</v>
      </c>
      <c r="P125" s="60">
        <v>1742.97</v>
      </c>
      <c r="Q125" s="60">
        <v>40.032899999999998</v>
      </c>
      <c r="R125" s="60">
        <v>41.558900000000001</v>
      </c>
      <c r="S125" s="60">
        <v>42.549100000000003</v>
      </c>
      <c r="T125" s="60">
        <v>0.99846780000000002</v>
      </c>
      <c r="U125" s="60">
        <v>0.98861080000000001</v>
      </c>
      <c r="V125" s="60">
        <v>0.99199380000000004</v>
      </c>
      <c r="W125" s="60">
        <v>440.31400000000002</v>
      </c>
      <c r="X125" s="60">
        <v>0.20200000000000001</v>
      </c>
      <c r="Y125" s="15" t="e">
        <f>#REF!</f>
        <v>#REF!</v>
      </c>
      <c r="Z125" s="16">
        <f t="shared" si="77"/>
        <v>0.12230944444444446</v>
      </c>
      <c r="AA125" s="10">
        <f t="shared" si="78"/>
        <v>3.394603345925526</v>
      </c>
      <c r="AB125" s="15">
        <f t="shared" si="134"/>
        <v>1.01</v>
      </c>
      <c r="AC125" s="15" t="e">
        <f t="shared" si="134"/>
        <v>#REF!</v>
      </c>
      <c r="AD125" s="16">
        <f t="shared" si="79"/>
        <v>2.4500923098158926E-3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>
        <f>V125/J125</f>
        <v>0.99976446933792906</v>
      </c>
      <c r="AY125" s="15">
        <f t="shared" si="147"/>
        <v>1.01</v>
      </c>
      <c r="AZ125" s="15">
        <f t="shared" si="137"/>
        <v>3.394603345925526</v>
      </c>
      <c r="BA125" s="15">
        <f>V125/J125</f>
        <v>0.99976446933792906</v>
      </c>
      <c r="BB125" s="15">
        <f t="shared" si="145"/>
        <v>1.01</v>
      </c>
      <c r="BC125" s="15">
        <f t="shared" si="133"/>
        <v>3.394603345925526</v>
      </c>
      <c r="BD125" s="1">
        <f t="shared" si="84"/>
        <v>0</v>
      </c>
    </row>
    <row r="126" spans="1:56" ht="15.75" thickBot="1" x14ac:dyDescent="0.25">
      <c r="A126" s="13"/>
      <c r="B126" s="13"/>
      <c r="C126" s="43">
        <v>37</v>
      </c>
      <c r="D126" s="55">
        <v>1309.1400000000001</v>
      </c>
      <c r="E126" s="55">
        <v>35.3596</v>
      </c>
      <c r="F126" s="55">
        <v>38.0002</v>
      </c>
      <c r="G126" s="55">
        <v>39.411499999999997</v>
      </c>
      <c r="H126" s="55">
        <v>0.99601899999999999</v>
      </c>
      <c r="I126" s="55">
        <v>0.97571419999999998</v>
      </c>
      <c r="J126" s="55">
        <v>0.9844193</v>
      </c>
      <c r="K126" s="55">
        <v>126.825</v>
      </c>
      <c r="L126" s="55">
        <v>0.16</v>
      </c>
      <c r="M126" s="15" t="e">
        <f>#REF!</f>
        <v>#REF!</v>
      </c>
      <c r="N126" s="16">
        <f t="shared" si="76"/>
        <v>3.5229166666666666E-2</v>
      </c>
      <c r="P126" s="60">
        <v>1307.55</v>
      </c>
      <c r="Q126" s="60">
        <v>35.351399999999998</v>
      </c>
      <c r="R126" s="60">
        <v>38.011800000000001</v>
      </c>
      <c r="S126" s="60">
        <v>39.495100000000001</v>
      </c>
      <c r="T126" s="60">
        <v>0.99596209999999996</v>
      </c>
      <c r="U126" s="60">
        <v>0.97548420000000002</v>
      </c>
      <c r="V126" s="60">
        <v>0.98510540000000002</v>
      </c>
      <c r="W126" s="60">
        <v>394.99400000000003</v>
      </c>
      <c r="X126" s="60">
        <v>0.17499999999999999</v>
      </c>
      <c r="Y126" s="15" t="e">
        <f>#REF!</f>
        <v>#REF!</v>
      </c>
      <c r="Z126" s="16">
        <f t="shared" si="77"/>
        <v>0.10972055555555556</v>
      </c>
      <c r="AA126" s="10">
        <f t="shared" si="78"/>
        <v>3.1144805834811748</v>
      </c>
      <c r="AB126" s="15">
        <f t="shared" si="134"/>
        <v>1.09375</v>
      </c>
      <c r="AC126" s="15" t="e">
        <f t="shared" si="134"/>
        <v>#REF!</v>
      </c>
      <c r="AD126" s="16">
        <f t="shared" si="79"/>
        <v>1.2145377881663882E-3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>
        <f>V126/J126</f>
        <v>1.0006969591108179</v>
      </c>
      <c r="AY126" s="15">
        <f t="shared" si="147"/>
        <v>1.09375</v>
      </c>
      <c r="AZ126" s="15">
        <f t="shared" si="137"/>
        <v>3.1144805834811748</v>
      </c>
      <c r="BA126" s="15">
        <f>V126/J126</f>
        <v>1.0006969591108179</v>
      </c>
      <c r="BB126" s="15">
        <f t="shared" si="145"/>
        <v>1.09375</v>
      </c>
      <c r="BC126" s="15">
        <f t="shared" si="133"/>
        <v>3.1144805834811748</v>
      </c>
      <c r="BD126" s="1">
        <f t="shared" si="84"/>
        <v>0</v>
      </c>
    </row>
    <row r="127" spans="1:56" ht="15.75" thickBot="1" x14ac:dyDescent="0.25">
      <c r="A127" s="13"/>
      <c r="B127" s="17"/>
      <c r="C127" s="44">
        <v>42</v>
      </c>
      <c r="D127" s="55">
        <v>952.92</v>
      </c>
      <c r="E127" s="55">
        <v>30.5686</v>
      </c>
      <c r="F127" s="55">
        <v>37.146500000000003</v>
      </c>
      <c r="G127" s="55">
        <v>38.102899999999998</v>
      </c>
      <c r="H127" s="55">
        <v>0.9885275</v>
      </c>
      <c r="I127" s="55">
        <v>0.96999820000000003</v>
      </c>
      <c r="J127" s="55">
        <v>0.97883149999999997</v>
      </c>
      <c r="K127" s="55">
        <v>105.218</v>
      </c>
      <c r="L127" s="55">
        <v>0.156</v>
      </c>
      <c r="M127" s="19" t="e">
        <f>#REF!</f>
        <v>#REF!</v>
      </c>
      <c r="N127" s="20">
        <f t="shared" si="76"/>
        <v>2.9227222222222224E-2</v>
      </c>
      <c r="P127" s="60">
        <v>953.88</v>
      </c>
      <c r="Q127" s="60">
        <v>30.617899999999999</v>
      </c>
      <c r="R127" s="60">
        <v>37.113100000000003</v>
      </c>
      <c r="S127" s="60">
        <v>38.107100000000003</v>
      </c>
      <c r="T127" s="60">
        <v>0.98842839999999998</v>
      </c>
      <c r="U127" s="60">
        <v>0.96943769999999996</v>
      </c>
      <c r="V127" s="60">
        <v>0.97895310000000002</v>
      </c>
      <c r="W127" s="60">
        <v>406.40199999999999</v>
      </c>
      <c r="X127" s="60">
        <v>0.17399999999999999</v>
      </c>
      <c r="Y127" s="19" t="e">
        <f>#REF!</f>
        <v>#REF!</v>
      </c>
      <c r="Z127" s="20">
        <f t="shared" si="77"/>
        <v>0.11288944444444445</v>
      </c>
      <c r="AA127" s="10">
        <f t="shared" si="78"/>
        <v>3.8624760022049456</v>
      </c>
      <c r="AB127" s="15">
        <f t="shared" si="134"/>
        <v>1.1153846153846154</v>
      </c>
      <c r="AC127" s="15" t="e">
        <f t="shared" si="134"/>
        <v>#REF!</v>
      </c>
      <c r="AD127" s="20">
        <f t="shared" si="79"/>
        <v>1.0074297947362176E-3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>
        <f>V127/J127</f>
        <v>1.0001242297576243</v>
      </c>
      <c r="AY127" s="15">
        <f t="shared" si="147"/>
        <v>1.1153846153846154</v>
      </c>
      <c r="AZ127" s="15">
        <f t="shared" si="137"/>
        <v>3.8624760022049456</v>
      </c>
      <c r="BA127" s="15"/>
      <c r="BB127" s="15"/>
      <c r="BC127" s="15"/>
      <c r="BD127" s="1">
        <f t="shared" si="84"/>
        <v>0</v>
      </c>
    </row>
    <row r="128" spans="1:56" ht="15.75" thickBot="1" x14ac:dyDescent="0.25">
      <c r="A128" s="13"/>
      <c r="B128" s="8" t="s">
        <v>37</v>
      </c>
      <c r="C128" s="39">
        <v>22</v>
      </c>
      <c r="D128" s="55">
        <v>830.86</v>
      </c>
      <c r="E128" s="55">
        <v>48.371899999999997</v>
      </c>
      <c r="F128" s="55">
        <v>50.153500000000001</v>
      </c>
      <c r="G128" s="55">
        <v>51.168599999999998</v>
      </c>
      <c r="H128" s="55">
        <v>0.99875860000000005</v>
      </c>
      <c r="I128" s="55">
        <v>0.99879390000000001</v>
      </c>
      <c r="J128" s="55">
        <v>0.99891039999999998</v>
      </c>
      <c r="K128" s="55">
        <v>127.925</v>
      </c>
      <c r="L128" s="55">
        <v>0.16900000000000001</v>
      </c>
      <c r="M128" s="10" t="e">
        <f>#REF!</f>
        <v>#REF!</v>
      </c>
      <c r="N128" s="11">
        <f t="shared" si="76"/>
        <v>3.5534722222222224E-2</v>
      </c>
      <c r="P128" s="60">
        <v>834.46</v>
      </c>
      <c r="Q128" s="60">
        <v>48.403700000000001</v>
      </c>
      <c r="R128" s="60">
        <v>50.143999999999998</v>
      </c>
      <c r="S128" s="60">
        <v>51.408299999999997</v>
      </c>
      <c r="T128" s="60">
        <v>0.99876319999999996</v>
      </c>
      <c r="U128" s="60">
        <v>0.9988532</v>
      </c>
      <c r="V128" s="60">
        <v>0.99899269999999996</v>
      </c>
      <c r="W128" s="60">
        <v>392.19400000000002</v>
      </c>
      <c r="X128" s="60">
        <v>0.20699999999999999</v>
      </c>
      <c r="Y128" s="10" t="e">
        <f>#REF!</f>
        <v>#REF!</v>
      </c>
      <c r="Z128" s="11">
        <f t="shared" si="77"/>
        <v>0.10894277777777778</v>
      </c>
      <c r="AA128" s="10">
        <f t="shared" si="78"/>
        <v>3.0658119992182922</v>
      </c>
      <c r="AB128" s="15">
        <f t="shared" si="134"/>
        <v>1.224852071005917</v>
      </c>
      <c r="AC128" s="15" t="e">
        <f t="shared" si="134"/>
        <v>#REF!</v>
      </c>
      <c r="AD128" s="11">
        <f t="shared" si="79"/>
        <v>4.3328599282671243E-3</v>
      </c>
      <c r="AE128" s="12"/>
      <c r="AF128" s="25">
        <f t="shared" ref="AF128:AK128" si="148">bdRateExtend($D128:$D132,E128:E132,$P128:$P132,Q128:Q132)</f>
        <v>3.7038772087947258E-3</v>
      </c>
      <c r="AG128" s="30">
        <f t="shared" si="148"/>
        <v>-4.6847145576403015E-3</v>
      </c>
      <c r="AH128" s="31">
        <f t="shared" si="148"/>
        <v>4.3979409914181034E-3</v>
      </c>
      <c r="AI128" s="25">
        <f t="shared" si="148"/>
        <v>9.342083339359597E-3</v>
      </c>
      <c r="AJ128" s="30">
        <f t="shared" si="148"/>
        <v>-8.2693328891237927E-3</v>
      </c>
      <c r="AK128" s="30">
        <f t="shared" si="148"/>
        <v>-1.6139773706978389E-2</v>
      </c>
      <c r="AL128" s="45"/>
      <c r="AM128" s="46"/>
      <c r="AN128" s="47"/>
      <c r="AO128" s="46"/>
      <c r="AP128" s="46"/>
      <c r="AQ128" s="47"/>
      <c r="AR128" s="30">
        <f t="shared" ref="AR128:AW128" si="149">bdrate($D128:$D131,E128:E131,$P128:$P131,Q128:Q131)</f>
        <v>5.2709271252124879E-3</v>
      </c>
      <c r="AS128" s="30">
        <f t="shared" si="149"/>
        <v>-1.4634343693322727E-3</v>
      </c>
      <c r="AT128" s="31">
        <f t="shared" si="149"/>
        <v>-1.4266908125659672E-3</v>
      </c>
      <c r="AU128" s="25">
        <f t="shared" si="149"/>
        <v>1.1375141022037738E-2</v>
      </c>
      <c r="AV128" s="30">
        <f t="shared" si="149"/>
        <v>1.2819308800018137E-2</v>
      </c>
      <c r="AW128" s="31">
        <f t="shared" si="149"/>
        <v>-1.771719282513029E-2</v>
      </c>
      <c r="AX128" s="15"/>
      <c r="AY128" s="15"/>
      <c r="AZ128" s="15"/>
      <c r="BA128" s="15">
        <f>V128/J128</f>
        <v>1.0000823897718953</v>
      </c>
      <c r="BB128" s="15">
        <f t="shared" ref="BB128:BB131" si="150">X128/L128</f>
        <v>1.224852071005917</v>
      </c>
      <c r="BC128" s="15">
        <f t="shared" si="133"/>
        <v>3.0658119992182917</v>
      </c>
      <c r="BD128" s="1">
        <f t="shared" si="84"/>
        <v>0</v>
      </c>
    </row>
    <row r="129" spans="1:56" ht="15.75" thickBot="1" x14ac:dyDescent="0.25">
      <c r="A129" s="13"/>
      <c r="B129" s="13"/>
      <c r="C129" s="43">
        <v>27</v>
      </c>
      <c r="D129" s="55">
        <v>588.34</v>
      </c>
      <c r="E129" s="55">
        <v>45.082700000000003</v>
      </c>
      <c r="F129" s="55">
        <v>46.841099999999997</v>
      </c>
      <c r="G129" s="55">
        <v>48.142600000000002</v>
      </c>
      <c r="H129" s="55">
        <v>0.99735339999999995</v>
      </c>
      <c r="I129" s="55">
        <v>0.99746250000000003</v>
      </c>
      <c r="J129" s="55">
        <v>0.99792449999999999</v>
      </c>
      <c r="K129" s="55">
        <v>95.745999999999995</v>
      </c>
      <c r="L129" s="55">
        <v>0.16</v>
      </c>
      <c r="M129" s="15" t="e">
        <f>#REF!</f>
        <v>#REF!</v>
      </c>
      <c r="N129" s="16">
        <f t="shared" si="76"/>
        <v>2.6596111111111109E-2</v>
      </c>
      <c r="P129" s="60">
        <v>589.36</v>
      </c>
      <c r="Q129" s="60">
        <v>45.076799999999999</v>
      </c>
      <c r="R129" s="60">
        <v>46.84</v>
      </c>
      <c r="S129" s="60">
        <v>48.014499999999998</v>
      </c>
      <c r="T129" s="60">
        <v>0.99733870000000002</v>
      </c>
      <c r="U129" s="60">
        <v>0.99753360000000002</v>
      </c>
      <c r="V129" s="60">
        <v>0.99788980000000005</v>
      </c>
      <c r="W129" s="60">
        <v>327.39699999999999</v>
      </c>
      <c r="X129" s="60">
        <v>0.2</v>
      </c>
      <c r="Y129" s="15" t="e">
        <f>#REF!</f>
        <v>#REF!</v>
      </c>
      <c r="Z129" s="16">
        <f t="shared" si="77"/>
        <v>9.0943611111111114E-2</v>
      </c>
      <c r="AA129" s="10">
        <f t="shared" si="78"/>
        <v>3.4194326655943854</v>
      </c>
      <c r="AB129" s="15">
        <f t="shared" si="134"/>
        <v>1.25</v>
      </c>
      <c r="AC129" s="15" t="e">
        <f t="shared" si="134"/>
        <v>#REF!</v>
      </c>
      <c r="AD129" s="16">
        <f t="shared" si="79"/>
        <v>1.7336914029302474E-3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4.821547485337474E-3</v>
      </c>
      <c r="AM129" s="21">
        <f>bdrate($D129:$D132,F129:F132,$P129:$P132,R129:R132)</f>
        <v>-9.2005951107162476E-3</v>
      </c>
      <c r="AN129" s="36">
        <f t="shared" ref="AN129" si="151">bdrate($D129:$D132,G129:G132,$P129:$P132,S129:S132)</f>
        <v>-1.3944159410309576E-3</v>
      </c>
      <c r="AO129" s="26">
        <f>bdrate($D129:$D132,H129:H132,$P129:$P132,T129:T132)</f>
        <v>1.0161787813438128E-2</v>
      </c>
      <c r="AP129" s="21">
        <f>bdrate($D129:$D132,I129:I132,$P129:$P132,U129:U132)</f>
        <v>-5.6321589093843993E-3</v>
      </c>
      <c r="AQ129" s="36">
        <f>bdrate($D129:$D132,J129:J132,$P129:$P132,V129:V132)</f>
        <v>-2.0779335216884909E-2</v>
      </c>
      <c r="AR129" s="21"/>
      <c r="AS129" s="21"/>
      <c r="AT129" s="36"/>
      <c r="AU129" s="26"/>
      <c r="AV129" s="21"/>
      <c r="AW129" s="36"/>
      <c r="AX129" s="15">
        <f>V129/J129</f>
        <v>0.99996522783036201</v>
      </c>
      <c r="AY129" s="15">
        <f t="shared" ref="AY129:AY132" si="152">X129/L129</f>
        <v>1.25</v>
      </c>
      <c r="AZ129" s="15">
        <f t="shared" si="137"/>
        <v>3.4194326655943854</v>
      </c>
      <c r="BA129" s="15">
        <f>V129/J129</f>
        <v>0.99996522783036201</v>
      </c>
      <c r="BB129" s="15">
        <f t="shared" si="150"/>
        <v>1.25</v>
      </c>
      <c r="BC129" s="15">
        <f t="shared" si="133"/>
        <v>3.4194326655943854</v>
      </c>
      <c r="BD129" s="1">
        <f t="shared" si="84"/>
        <v>0</v>
      </c>
    </row>
    <row r="130" spans="1:56" ht="15.75" thickBot="1" x14ac:dyDescent="0.25">
      <c r="A130" s="13"/>
      <c r="B130" s="13"/>
      <c r="C130" s="43">
        <v>32</v>
      </c>
      <c r="D130" s="55">
        <v>432.76</v>
      </c>
      <c r="E130" s="55">
        <v>41.683500000000002</v>
      </c>
      <c r="F130" s="55">
        <v>44.2622</v>
      </c>
      <c r="G130" s="55">
        <v>45.218899999999998</v>
      </c>
      <c r="H130" s="55">
        <v>0.99539920000000004</v>
      </c>
      <c r="I130" s="55">
        <v>0.99608669999999999</v>
      </c>
      <c r="J130" s="55">
        <v>0.99627469999999996</v>
      </c>
      <c r="K130" s="55">
        <v>83.462999999999994</v>
      </c>
      <c r="L130" s="55">
        <v>0.158</v>
      </c>
      <c r="M130" s="15" t="e">
        <f>#REF!</f>
        <v>#REF!</v>
      </c>
      <c r="N130" s="16">
        <f t="shared" si="76"/>
        <v>2.3184166666666665E-2</v>
      </c>
      <c r="P130" s="60">
        <v>435.58</v>
      </c>
      <c r="Q130" s="60">
        <v>41.626899999999999</v>
      </c>
      <c r="R130" s="60">
        <v>44.360700000000001</v>
      </c>
      <c r="S130" s="60">
        <v>45.444899999999997</v>
      </c>
      <c r="T130" s="60">
        <v>0.995313</v>
      </c>
      <c r="U130" s="60">
        <v>0.99586479999999999</v>
      </c>
      <c r="V130" s="60">
        <v>0.99646310000000005</v>
      </c>
      <c r="W130" s="60">
        <v>294.76799999999997</v>
      </c>
      <c r="X130" s="60">
        <v>0.20200000000000001</v>
      </c>
      <c r="Y130" s="15" t="e">
        <f>#REF!</f>
        <v>#REF!</v>
      </c>
      <c r="Z130" s="16">
        <f t="shared" si="77"/>
        <v>8.1879999999999994E-2</v>
      </c>
      <c r="AA130" s="10">
        <f t="shared" si="78"/>
        <v>3.5317206426799896</v>
      </c>
      <c r="AB130" s="15">
        <f t="shared" si="134"/>
        <v>1.278481012658228</v>
      </c>
      <c r="AC130" s="15" t="e">
        <f t="shared" si="134"/>
        <v>#REF!</v>
      </c>
      <c r="AD130" s="16">
        <f t="shared" si="79"/>
        <v>6.5163138922266226E-3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>
        <f>V130/J130</f>
        <v>1.0001891044708855</v>
      </c>
      <c r="AY130" s="15">
        <f t="shared" si="152"/>
        <v>1.278481012658228</v>
      </c>
      <c r="AZ130" s="15">
        <f t="shared" si="137"/>
        <v>3.5317206426799901</v>
      </c>
      <c r="BA130" s="15">
        <f>V130/J130</f>
        <v>1.0001891044708855</v>
      </c>
      <c r="BB130" s="15">
        <f t="shared" si="150"/>
        <v>1.278481012658228</v>
      </c>
      <c r="BC130" s="15">
        <f t="shared" si="133"/>
        <v>3.5317206426799901</v>
      </c>
      <c r="BD130" s="1">
        <f t="shared" si="84"/>
        <v>0</v>
      </c>
    </row>
    <row r="131" spans="1:56" ht="15.75" thickBot="1" x14ac:dyDescent="0.25">
      <c r="A131" s="13"/>
      <c r="B131" s="13"/>
      <c r="C131" s="43">
        <v>37</v>
      </c>
      <c r="D131" s="55">
        <v>318.45999999999998</v>
      </c>
      <c r="E131" s="55">
        <v>37.570599999999999</v>
      </c>
      <c r="F131" s="55">
        <v>42.1678</v>
      </c>
      <c r="G131" s="55">
        <v>43.664400000000001</v>
      </c>
      <c r="H131" s="55">
        <v>0.99175849999999999</v>
      </c>
      <c r="I131" s="55">
        <v>0.99302619999999997</v>
      </c>
      <c r="J131" s="55">
        <v>0.99492290000000005</v>
      </c>
      <c r="K131" s="55">
        <v>63.789000000000001</v>
      </c>
      <c r="L131" s="55">
        <v>0.152</v>
      </c>
      <c r="M131" s="15" t="e">
        <f>#REF!</f>
        <v>#REF!</v>
      </c>
      <c r="N131" s="16">
        <f t="shared" ref="N131:N152" si="153">K131/3600</f>
        <v>1.7719166666666668E-2</v>
      </c>
      <c r="P131" s="60">
        <v>317.44</v>
      </c>
      <c r="Q131" s="60">
        <v>37.538200000000003</v>
      </c>
      <c r="R131" s="60">
        <v>42.223300000000002</v>
      </c>
      <c r="S131" s="60">
        <v>43.519300000000001</v>
      </c>
      <c r="T131" s="60">
        <v>0.99158449999999998</v>
      </c>
      <c r="U131" s="60">
        <v>0.9932976</v>
      </c>
      <c r="V131" s="60">
        <v>0.9951023</v>
      </c>
      <c r="W131" s="60">
        <v>256.45299999999997</v>
      </c>
      <c r="X131" s="60">
        <v>0.13900000000000001</v>
      </c>
      <c r="Y131" s="15" t="e">
        <f>#REF!</f>
        <v>#REF!</v>
      </c>
      <c r="Z131" s="16">
        <f t="shared" si="77"/>
        <v>7.1236944444444436E-2</v>
      </c>
      <c r="AA131" s="10">
        <f t="shared" si="78"/>
        <v>4.0203326592359181</v>
      </c>
      <c r="AB131" s="15">
        <f t="shared" si="134"/>
        <v>0.91447368421052644</v>
      </c>
      <c r="AC131" s="15" t="e">
        <f t="shared" si="134"/>
        <v>#REF!</v>
      </c>
      <c r="AD131" s="16">
        <f t="shared" si="79"/>
        <v>3.2029140237391884E-3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>
        <f>V131/J131</f>
        <v>1.000180315479722</v>
      </c>
      <c r="AY131" s="15">
        <f t="shared" si="152"/>
        <v>0.91447368421052644</v>
      </c>
      <c r="AZ131" s="15">
        <f t="shared" si="137"/>
        <v>4.0203326592359181</v>
      </c>
      <c r="BA131" s="15">
        <f>V131/J131</f>
        <v>1.000180315479722</v>
      </c>
      <c r="BB131" s="15">
        <f t="shared" si="150"/>
        <v>0.91447368421052644</v>
      </c>
      <c r="BC131" s="15">
        <f t="shared" si="133"/>
        <v>4.0203326592359181</v>
      </c>
      <c r="BD131" s="1">
        <f t="shared" si="84"/>
        <v>0</v>
      </c>
    </row>
    <row r="132" spans="1:56" ht="15.75" thickBot="1" x14ac:dyDescent="0.25">
      <c r="A132" s="17"/>
      <c r="B132" s="17"/>
      <c r="C132" s="44">
        <v>42</v>
      </c>
      <c r="D132" s="55">
        <v>228.22</v>
      </c>
      <c r="E132" s="55">
        <v>33.734499999999997</v>
      </c>
      <c r="F132" s="55">
        <v>39.915999999999997</v>
      </c>
      <c r="G132" s="55">
        <v>41.558799999999998</v>
      </c>
      <c r="H132" s="55">
        <v>0.98437010000000003</v>
      </c>
      <c r="I132" s="55">
        <v>0.9896431</v>
      </c>
      <c r="J132" s="55">
        <v>0.99251029999999996</v>
      </c>
      <c r="K132" s="55">
        <v>53.734999999999999</v>
      </c>
      <c r="L132" s="55">
        <v>0.14199999999999999</v>
      </c>
      <c r="M132" s="19" t="e">
        <f>#REF!</f>
        <v>#REF!</v>
      </c>
      <c r="N132" s="20">
        <f t="shared" si="153"/>
        <v>1.4926388888888888E-2</v>
      </c>
      <c r="P132" s="60">
        <v>230</v>
      </c>
      <c r="Q132" s="60">
        <v>33.754899999999999</v>
      </c>
      <c r="R132" s="60">
        <v>40.136499999999998</v>
      </c>
      <c r="S132" s="60">
        <v>41.531599999999997</v>
      </c>
      <c r="T132" s="60">
        <v>0.98425660000000004</v>
      </c>
      <c r="U132" s="60">
        <v>0.98975429999999998</v>
      </c>
      <c r="V132" s="60">
        <v>0.99235640000000003</v>
      </c>
      <c r="W132" s="60">
        <v>248.464</v>
      </c>
      <c r="X132" s="60">
        <v>0.28100000000000003</v>
      </c>
      <c r="Y132" s="19" t="e">
        <f>#REF!</f>
        <v>#REF!</v>
      </c>
      <c r="Z132" s="20">
        <f t="shared" ref="Z132:Z152" si="154">W132/3600</f>
        <v>6.9017777777777775E-2</v>
      </c>
      <c r="AA132" s="10">
        <f t="shared" ref="AA132" si="155">W132/K132</f>
        <v>4.6238764306318041</v>
      </c>
      <c r="AB132" s="19">
        <f t="shared" si="134"/>
        <v>1.9788732394366202</v>
      </c>
      <c r="AC132" s="19" t="e">
        <f t="shared" si="134"/>
        <v>#REF!</v>
      </c>
      <c r="AD132" s="20">
        <f t="shared" ref="AD132:AD152" si="156">ABS(P132-D132)/D132</f>
        <v>7.7994917185172253E-3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>
        <f>V132/J132</f>
        <v>0.99984493863690893</v>
      </c>
      <c r="AY132" s="19">
        <f t="shared" si="152"/>
        <v>1.9788732394366202</v>
      </c>
      <c r="AZ132" s="19">
        <f t="shared" si="137"/>
        <v>4.6238764306318041</v>
      </c>
      <c r="BA132" s="19"/>
      <c r="BB132" s="19"/>
      <c r="BC132" s="19"/>
      <c r="BD132" s="1">
        <f t="shared" ref="BD132:BD152" si="157">IF((((AF132&lt;0)*AND(AL133&lt;0)*AND(AR132&lt;0))),1,0)</f>
        <v>0</v>
      </c>
    </row>
    <row r="133" spans="1:56" x14ac:dyDescent="0.2">
      <c r="A133" s="8" t="s">
        <v>64</v>
      </c>
      <c r="B133" s="8" t="s">
        <v>65</v>
      </c>
      <c r="C133" s="39">
        <v>22</v>
      </c>
      <c r="D133" s="9" t="e">
        <f>#REF!</f>
        <v>#REF!</v>
      </c>
      <c r="E133" s="10" t="e">
        <f>#REF!</f>
        <v>#REF!</v>
      </c>
      <c r="F133" s="10" t="e">
        <f>#REF!</f>
        <v>#REF!</v>
      </c>
      <c r="G133" s="10" t="e">
        <f>#REF!</f>
        <v>#REF!</v>
      </c>
      <c r="H133" s="10" t="e">
        <f>#REF!</f>
        <v>#REF!</v>
      </c>
      <c r="I133" s="10" t="e">
        <f>#REF!</f>
        <v>#REF!</v>
      </c>
      <c r="J133" s="10" t="e">
        <f>#REF!</f>
        <v>#REF!</v>
      </c>
      <c r="K133" s="10" t="e">
        <f>#REF!</f>
        <v>#REF!</v>
      </c>
      <c r="L133" s="10" t="e">
        <f>#REF!</f>
        <v>#REF!</v>
      </c>
      <c r="M133" s="10" t="e">
        <f>#REF!</f>
        <v>#REF!</v>
      </c>
      <c r="N133" s="11" t="e">
        <f t="shared" si="153"/>
        <v>#REF!</v>
      </c>
      <c r="P133" s="9" t="e">
        <f>#REF!</f>
        <v>#REF!</v>
      </c>
      <c r="Q133" s="10" t="e">
        <f>#REF!</f>
        <v>#REF!</v>
      </c>
      <c r="R133" s="10" t="e">
        <f>#REF!</f>
        <v>#REF!</v>
      </c>
      <c r="S133" s="10" t="e">
        <f>#REF!</f>
        <v>#REF!</v>
      </c>
      <c r="T133" s="10" t="e">
        <f>#REF!</f>
        <v>#REF!</v>
      </c>
      <c r="U133" s="50" t="e">
        <f>#REF!</f>
        <v>#REF!</v>
      </c>
      <c r="V133" s="10" t="e">
        <f>#REF!</f>
        <v>#REF!</v>
      </c>
      <c r="W133" s="10" t="e">
        <f>#REF!</f>
        <v>#REF!</v>
      </c>
      <c r="X133" s="10" t="e">
        <f>#REF!</f>
        <v>#REF!</v>
      </c>
      <c r="Y133" s="10" t="e">
        <f>#REF!</f>
        <v>#REF!</v>
      </c>
      <c r="Z133" s="11" t="e">
        <f t="shared" si="154"/>
        <v>#REF!</v>
      </c>
      <c r="AA133" s="10" t="e">
        <f t="shared" ref="AA133:AA152" si="158">V133/J133</f>
        <v>#REF!</v>
      </c>
      <c r="AB133" s="10" t="e">
        <f>X133/L133</f>
        <v>#REF!</v>
      </c>
      <c r="AC133" s="10" t="e">
        <f>Y133/M133</f>
        <v>#REF!</v>
      </c>
      <c r="AD133" s="11" t="e">
        <f t="shared" si="156"/>
        <v>#REF!</v>
      </c>
      <c r="AE133" s="40"/>
      <c r="AF133" s="25" t="e">
        <f t="shared" ref="AF133:AH133" si="159">bdRateExtend($D133:$D137,E133:E137,$P133:$P137,Q133:Q137)</f>
        <v>#VALUE!</v>
      </c>
      <c r="AG133" s="30" t="e">
        <f t="shared" si="159"/>
        <v>#VALUE!</v>
      </c>
      <c r="AH133" s="31" t="e">
        <f t="shared" si="159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60">bdrate($D133:$D136,F133:F136,$P133:$P136,R133:R136)</f>
        <v>#VALUE!</v>
      </c>
      <c r="AT133" s="31" t="e">
        <f t="shared" si="160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#REF!</v>
      </c>
      <c r="BB133" s="10" t="e">
        <f t="shared" ref="BB133:BB136" si="161">X133/L133</f>
        <v>#REF!</v>
      </c>
      <c r="BC133" s="10" t="e">
        <f t="shared" si="133"/>
        <v>#REF!</v>
      </c>
      <c r="BD133" s="1" t="e">
        <f t="shared" si="157"/>
        <v>#VALUE!</v>
      </c>
    </row>
    <row r="134" spans="1:56" x14ac:dyDescent="0.2">
      <c r="A134" s="13"/>
      <c r="B134" s="13"/>
      <c r="C134" s="43">
        <v>27</v>
      </c>
      <c r="D134" s="14" t="e">
        <f>#REF!</f>
        <v>#REF!</v>
      </c>
      <c r="E134" s="15" t="e">
        <f>#REF!</f>
        <v>#REF!</v>
      </c>
      <c r="F134" s="15" t="e">
        <f>#REF!</f>
        <v>#REF!</v>
      </c>
      <c r="G134" s="15" t="e">
        <f>#REF!</f>
        <v>#REF!</v>
      </c>
      <c r="H134" s="15" t="e">
        <f>#REF!</f>
        <v>#REF!</v>
      </c>
      <c r="I134" s="15" t="e">
        <f>#REF!</f>
        <v>#REF!</v>
      </c>
      <c r="J134" s="15" t="e">
        <f>#REF!</f>
        <v>#REF!</v>
      </c>
      <c r="K134" s="15" t="e">
        <f>#REF!</f>
        <v>#REF!</v>
      </c>
      <c r="L134" s="15" t="e">
        <f>#REF!</f>
        <v>#REF!</v>
      </c>
      <c r="M134" s="15" t="e">
        <f>#REF!</f>
        <v>#REF!</v>
      </c>
      <c r="N134" s="16" t="e">
        <f t="shared" si="153"/>
        <v>#REF!</v>
      </c>
      <c r="P134" s="14" t="e">
        <f>#REF!</f>
        <v>#REF!</v>
      </c>
      <c r="Q134" s="15" t="e">
        <f>#REF!</f>
        <v>#REF!</v>
      </c>
      <c r="R134" s="15" t="e">
        <f>#REF!</f>
        <v>#REF!</v>
      </c>
      <c r="S134" s="15" t="e">
        <f>#REF!</f>
        <v>#REF!</v>
      </c>
      <c r="T134" s="15" t="e">
        <f>#REF!</f>
        <v>#REF!</v>
      </c>
      <c r="U134" s="51" t="e">
        <f>#REF!</f>
        <v>#REF!</v>
      </c>
      <c r="V134" s="15" t="e">
        <f>#REF!</f>
        <v>#REF!</v>
      </c>
      <c r="W134" s="15" t="e">
        <f>#REF!</f>
        <v>#REF!</v>
      </c>
      <c r="X134" s="15" t="e">
        <f>#REF!</f>
        <v>#REF!</v>
      </c>
      <c r="Y134" s="15" t="e">
        <f>#REF!</f>
        <v>#REF!</v>
      </c>
      <c r="Z134" s="16" t="e">
        <f t="shared" si="154"/>
        <v>#REF!</v>
      </c>
      <c r="AA134" s="15" t="e">
        <f t="shared" si="158"/>
        <v>#REF!</v>
      </c>
      <c r="AB134" s="15" t="e">
        <f t="shared" ref="AB134:AC152" si="162">X134/L134</f>
        <v>#REF!</v>
      </c>
      <c r="AC134" s="15" t="e">
        <f t="shared" si="162"/>
        <v>#REF!</v>
      </c>
      <c r="AD134" s="16" t="e">
        <f t="shared" si="156"/>
        <v>#REF!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63">bdrate($D134:$D137,E134:E137,$P134:$P137,Q134:Q137)</f>
        <v>#VALUE!</v>
      </c>
      <c r="AM134" s="21" t="e">
        <f t="shared" si="163"/>
        <v>#VALUE!</v>
      </c>
      <c r="AN134" s="36" t="e">
        <f t="shared" si="163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#REF!</v>
      </c>
      <c r="AY134" s="15" t="e">
        <f t="shared" ref="AY134:AY137" si="164">X134/L134</f>
        <v>#REF!</v>
      </c>
      <c r="AZ134" s="15" t="e">
        <f t="shared" si="137"/>
        <v>#REF!</v>
      </c>
      <c r="BA134" s="15" t="e">
        <f>V134/J134</f>
        <v>#REF!</v>
      </c>
      <c r="BB134" s="15" t="e">
        <f t="shared" si="161"/>
        <v>#REF!</v>
      </c>
      <c r="BC134" s="15" t="e">
        <f t="shared" si="133"/>
        <v>#REF!</v>
      </c>
      <c r="BD134" s="1">
        <f t="shared" si="157"/>
        <v>0</v>
      </c>
    </row>
    <row r="135" spans="1:56" x14ac:dyDescent="0.2">
      <c r="A135" s="13"/>
      <c r="B135" s="13"/>
      <c r="C135" s="43">
        <v>32</v>
      </c>
      <c r="D135" s="14" t="e">
        <f>#REF!</f>
        <v>#REF!</v>
      </c>
      <c r="E135" s="15" t="e">
        <f>#REF!</f>
        <v>#REF!</v>
      </c>
      <c r="F135" s="15" t="e">
        <f>#REF!</f>
        <v>#REF!</v>
      </c>
      <c r="G135" s="15" t="e">
        <f>#REF!</f>
        <v>#REF!</v>
      </c>
      <c r="H135" s="15" t="e">
        <f>#REF!</f>
        <v>#REF!</v>
      </c>
      <c r="I135" s="15" t="e">
        <f>#REF!</f>
        <v>#REF!</v>
      </c>
      <c r="J135" s="15" t="e">
        <f>#REF!</f>
        <v>#REF!</v>
      </c>
      <c r="K135" s="15" t="e">
        <f>#REF!</f>
        <v>#REF!</v>
      </c>
      <c r="L135" s="15" t="e">
        <f>#REF!</f>
        <v>#REF!</v>
      </c>
      <c r="M135" s="15" t="e">
        <f>#REF!</f>
        <v>#REF!</v>
      </c>
      <c r="N135" s="16" t="e">
        <f t="shared" si="153"/>
        <v>#REF!</v>
      </c>
      <c r="P135" s="14" t="e">
        <f>#REF!</f>
        <v>#REF!</v>
      </c>
      <c r="Q135" s="15" t="e">
        <f>#REF!</f>
        <v>#REF!</v>
      </c>
      <c r="R135" s="15" t="e">
        <f>#REF!</f>
        <v>#REF!</v>
      </c>
      <c r="S135" s="15" t="e">
        <f>#REF!</f>
        <v>#REF!</v>
      </c>
      <c r="T135" s="15" t="e">
        <f>#REF!</f>
        <v>#REF!</v>
      </c>
      <c r="U135" s="51" t="e">
        <f>#REF!</f>
        <v>#REF!</v>
      </c>
      <c r="V135" s="15" t="e">
        <f>#REF!</f>
        <v>#REF!</v>
      </c>
      <c r="W135" s="15" t="e">
        <f>#REF!</f>
        <v>#REF!</v>
      </c>
      <c r="X135" s="15" t="e">
        <f>#REF!</f>
        <v>#REF!</v>
      </c>
      <c r="Y135" s="15" t="e">
        <f>#REF!</f>
        <v>#REF!</v>
      </c>
      <c r="Z135" s="16" t="e">
        <f t="shared" si="154"/>
        <v>#REF!</v>
      </c>
      <c r="AA135" s="15" t="e">
        <f t="shared" si="158"/>
        <v>#REF!</v>
      </c>
      <c r="AB135" s="15" t="e">
        <f t="shared" si="162"/>
        <v>#REF!</v>
      </c>
      <c r="AC135" s="15" t="e">
        <f t="shared" si="162"/>
        <v>#REF!</v>
      </c>
      <c r="AD135" s="16" t="e">
        <f t="shared" si="156"/>
        <v>#REF!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#REF!</v>
      </c>
      <c r="AY135" s="15" t="e">
        <f t="shared" si="164"/>
        <v>#REF!</v>
      </c>
      <c r="AZ135" s="15" t="e">
        <f t="shared" si="137"/>
        <v>#REF!</v>
      </c>
      <c r="BA135" s="15" t="e">
        <f>V135/J135</f>
        <v>#REF!</v>
      </c>
      <c r="BB135" s="15" t="e">
        <f t="shared" si="161"/>
        <v>#REF!</v>
      </c>
      <c r="BC135" s="15" t="e">
        <f t="shared" si="133"/>
        <v>#REF!</v>
      </c>
      <c r="BD135" s="1">
        <f t="shared" si="157"/>
        <v>0</v>
      </c>
    </row>
    <row r="136" spans="1:56" x14ac:dyDescent="0.2">
      <c r="A136" s="13"/>
      <c r="B136" s="13"/>
      <c r="C136" s="43">
        <v>37</v>
      </c>
      <c r="D136" s="14" t="e">
        <f>#REF!</f>
        <v>#REF!</v>
      </c>
      <c r="E136" s="15" t="e">
        <f>#REF!</f>
        <v>#REF!</v>
      </c>
      <c r="F136" s="15" t="e">
        <f>#REF!</f>
        <v>#REF!</v>
      </c>
      <c r="G136" s="15" t="e">
        <f>#REF!</f>
        <v>#REF!</v>
      </c>
      <c r="H136" s="15" t="e">
        <f>#REF!</f>
        <v>#REF!</v>
      </c>
      <c r="I136" s="15" t="e">
        <f>#REF!</f>
        <v>#REF!</v>
      </c>
      <c r="J136" s="15" t="e">
        <f>#REF!</f>
        <v>#REF!</v>
      </c>
      <c r="K136" s="15" t="e">
        <f>#REF!</f>
        <v>#REF!</v>
      </c>
      <c r="L136" s="15" t="e">
        <f>#REF!</f>
        <v>#REF!</v>
      </c>
      <c r="M136" s="15" t="e">
        <f>#REF!</f>
        <v>#REF!</v>
      </c>
      <c r="N136" s="16" t="e">
        <f t="shared" si="153"/>
        <v>#REF!</v>
      </c>
      <c r="P136" s="14" t="e">
        <f>#REF!</f>
        <v>#REF!</v>
      </c>
      <c r="Q136" s="15" t="e">
        <f>#REF!</f>
        <v>#REF!</v>
      </c>
      <c r="R136" s="15" t="e">
        <f>#REF!</f>
        <v>#REF!</v>
      </c>
      <c r="S136" s="15" t="e">
        <f>#REF!</f>
        <v>#REF!</v>
      </c>
      <c r="T136" s="15" t="e">
        <f>#REF!</f>
        <v>#REF!</v>
      </c>
      <c r="U136" s="51" t="e">
        <f>#REF!</f>
        <v>#REF!</v>
      </c>
      <c r="V136" s="15" t="e">
        <f>#REF!</f>
        <v>#REF!</v>
      </c>
      <c r="W136" s="15" t="e">
        <f>#REF!</f>
        <v>#REF!</v>
      </c>
      <c r="X136" s="15" t="e">
        <f>#REF!</f>
        <v>#REF!</v>
      </c>
      <c r="Y136" s="15" t="e">
        <f>#REF!</f>
        <v>#REF!</v>
      </c>
      <c r="Z136" s="16" t="e">
        <f t="shared" si="154"/>
        <v>#REF!</v>
      </c>
      <c r="AA136" s="15" t="e">
        <f t="shared" si="158"/>
        <v>#REF!</v>
      </c>
      <c r="AB136" s="15" t="e">
        <f t="shared" si="162"/>
        <v>#REF!</v>
      </c>
      <c r="AC136" s="15" t="e">
        <f t="shared" si="162"/>
        <v>#REF!</v>
      </c>
      <c r="AD136" s="16" t="e">
        <f t="shared" si="156"/>
        <v>#REF!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#REF!</v>
      </c>
      <c r="AY136" s="15" t="e">
        <f t="shared" si="164"/>
        <v>#REF!</v>
      </c>
      <c r="AZ136" s="15" t="e">
        <f t="shared" si="137"/>
        <v>#REF!</v>
      </c>
      <c r="BA136" s="15" t="e">
        <f>V136/J136</f>
        <v>#REF!</v>
      </c>
      <c r="BB136" s="15" t="e">
        <f t="shared" si="161"/>
        <v>#REF!</v>
      </c>
      <c r="BC136" s="15" t="e">
        <f t="shared" si="133"/>
        <v>#REF!</v>
      </c>
      <c r="BD136" s="1">
        <f t="shared" si="157"/>
        <v>0</v>
      </c>
    </row>
    <row r="137" spans="1:56" ht="12.75" thickBot="1" x14ac:dyDescent="0.25">
      <c r="A137" s="13"/>
      <c r="B137" s="17"/>
      <c r="C137" s="44">
        <v>42</v>
      </c>
      <c r="D137" s="18" t="e">
        <f>#REF!</f>
        <v>#REF!</v>
      </c>
      <c r="E137" s="19" t="e">
        <f>#REF!</f>
        <v>#REF!</v>
      </c>
      <c r="F137" s="19" t="e">
        <f>#REF!</f>
        <v>#REF!</v>
      </c>
      <c r="G137" s="19" t="e">
        <f>#REF!</f>
        <v>#REF!</v>
      </c>
      <c r="H137" s="19" t="e">
        <f>#REF!</f>
        <v>#REF!</v>
      </c>
      <c r="I137" s="19" t="e">
        <f>#REF!</f>
        <v>#REF!</v>
      </c>
      <c r="J137" s="19" t="e">
        <f>#REF!</f>
        <v>#REF!</v>
      </c>
      <c r="K137" s="19" t="e">
        <f>#REF!</f>
        <v>#REF!</v>
      </c>
      <c r="L137" s="19" t="e">
        <f>#REF!</f>
        <v>#REF!</v>
      </c>
      <c r="M137" s="19" t="e">
        <f>#REF!</f>
        <v>#REF!</v>
      </c>
      <c r="N137" s="20" t="e">
        <f t="shared" si="153"/>
        <v>#REF!</v>
      </c>
      <c r="P137" s="18" t="e">
        <f>#REF!</f>
        <v>#REF!</v>
      </c>
      <c r="Q137" s="19" t="e">
        <f>#REF!</f>
        <v>#REF!</v>
      </c>
      <c r="R137" s="19" t="e">
        <f>#REF!</f>
        <v>#REF!</v>
      </c>
      <c r="S137" s="19" t="e">
        <f>#REF!</f>
        <v>#REF!</v>
      </c>
      <c r="T137" s="19" t="e">
        <f>#REF!</f>
        <v>#REF!</v>
      </c>
      <c r="U137" s="52" t="e">
        <f>#REF!</f>
        <v>#REF!</v>
      </c>
      <c r="V137" s="19" t="e">
        <f>#REF!</f>
        <v>#REF!</v>
      </c>
      <c r="W137" s="19" t="e">
        <f>#REF!</f>
        <v>#REF!</v>
      </c>
      <c r="X137" s="19" t="e">
        <f>#REF!</f>
        <v>#REF!</v>
      </c>
      <c r="Y137" s="19" t="e">
        <f>#REF!</f>
        <v>#REF!</v>
      </c>
      <c r="Z137" s="20" t="e">
        <f t="shared" si="154"/>
        <v>#REF!</v>
      </c>
      <c r="AA137" s="15" t="e">
        <f t="shared" si="158"/>
        <v>#REF!</v>
      </c>
      <c r="AB137" s="15" t="e">
        <f t="shared" si="162"/>
        <v>#REF!</v>
      </c>
      <c r="AC137" s="15" t="e">
        <f t="shared" si="162"/>
        <v>#REF!</v>
      </c>
      <c r="AD137" s="20" t="e">
        <f t="shared" si="156"/>
        <v>#REF!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#REF!</v>
      </c>
      <c r="AY137" s="15" t="e">
        <f t="shared" si="164"/>
        <v>#REF!</v>
      </c>
      <c r="AZ137" s="15" t="e">
        <f t="shared" si="137"/>
        <v>#REF!</v>
      </c>
      <c r="BA137" s="15"/>
      <c r="BB137" s="15"/>
      <c r="BC137" s="15"/>
      <c r="BD137" s="1">
        <f t="shared" si="157"/>
        <v>0</v>
      </c>
    </row>
    <row r="138" spans="1:56" x14ac:dyDescent="0.2">
      <c r="A138" s="13"/>
      <c r="B138" s="8" t="s">
        <v>66</v>
      </c>
      <c r="C138" s="39">
        <v>22</v>
      </c>
      <c r="D138" s="9" t="e">
        <f>#REF!</f>
        <v>#REF!</v>
      </c>
      <c r="E138" s="10" t="e">
        <f>#REF!</f>
        <v>#REF!</v>
      </c>
      <c r="F138" s="10" t="e">
        <f>#REF!</f>
        <v>#REF!</v>
      </c>
      <c r="G138" s="10" t="e">
        <f>#REF!</f>
        <v>#REF!</v>
      </c>
      <c r="H138" s="10" t="e">
        <f>#REF!</f>
        <v>#REF!</v>
      </c>
      <c r="I138" s="10" t="e">
        <f>#REF!</f>
        <v>#REF!</v>
      </c>
      <c r="J138" s="10" t="e">
        <f>#REF!</f>
        <v>#REF!</v>
      </c>
      <c r="K138" s="10" t="e">
        <f>#REF!</f>
        <v>#REF!</v>
      </c>
      <c r="L138" s="10" t="e">
        <f>#REF!</f>
        <v>#REF!</v>
      </c>
      <c r="M138" s="10" t="e">
        <f>#REF!</f>
        <v>#REF!</v>
      </c>
      <c r="N138" s="11" t="e">
        <f t="shared" si="153"/>
        <v>#REF!</v>
      </c>
      <c r="P138" s="9" t="e">
        <f>#REF!</f>
        <v>#REF!</v>
      </c>
      <c r="Q138" s="10" t="e">
        <f>#REF!</f>
        <v>#REF!</v>
      </c>
      <c r="R138" s="10" t="e">
        <f>#REF!</f>
        <v>#REF!</v>
      </c>
      <c r="S138" s="10" t="e">
        <f>#REF!</f>
        <v>#REF!</v>
      </c>
      <c r="T138" s="10" t="e">
        <f>#REF!</f>
        <v>#REF!</v>
      </c>
      <c r="U138" s="50" t="e">
        <f>#REF!</f>
        <v>#REF!</v>
      </c>
      <c r="V138" s="10" t="e">
        <f>#REF!</f>
        <v>#REF!</v>
      </c>
      <c r="W138" s="10" t="e">
        <f>#REF!</f>
        <v>#REF!</v>
      </c>
      <c r="X138" s="10" t="e">
        <f>#REF!</f>
        <v>#REF!</v>
      </c>
      <c r="Y138" s="10" t="e">
        <f>#REF!</f>
        <v>#REF!</v>
      </c>
      <c r="Z138" s="11" t="e">
        <f t="shared" si="154"/>
        <v>#REF!</v>
      </c>
      <c r="AA138" s="15" t="e">
        <f t="shared" si="158"/>
        <v>#REF!</v>
      </c>
      <c r="AB138" s="15" t="e">
        <f t="shared" si="162"/>
        <v>#REF!</v>
      </c>
      <c r="AC138" s="15" t="e">
        <f t="shared" si="162"/>
        <v>#REF!</v>
      </c>
      <c r="AD138" s="11" t="e">
        <f t="shared" si="156"/>
        <v>#REF!</v>
      </c>
      <c r="AE138" s="12"/>
      <c r="AF138" s="25" t="e">
        <f t="shared" ref="AF138:AH138" si="165">bdRateExtend($D138:$D142,E138:E142,$P138:$P142,Q138:Q142)</f>
        <v>#VALUE!</v>
      </c>
      <c r="AG138" s="30" t="e">
        <f t="shared" si="165"/>
        <v>#VALUE!</v>
      </c>
      <c r="AH138" s="31" t="e">
        <f t="shared" si="165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66">bdrate($D138:$D141,E138:E141,$P138:$P141,Q138:Q141)</f>
        <v>#VALUE!</v>
      </c>
      <c r="AS138" s="30" t="e">
        <f t="shared" si="166"/>
        <v>#VALUE!</v>
      </c>
      <c r="AT138" s="31" t="e">
        <f t="shared" si="166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#REF!</v>
      </c>
      <c r="BB138" s="15" t="e">
        <f t="shared" ref="BB138:BB141" si="167">X138/L138</f>
        <v>#REF!</v>
      </c>
      <c r="BC138" s="15" t="e">
        <f t="shared" si="133"/>
        <v>#REF!</v>
      </c>
      <c r="BD138" s="1" t="e">
        <f t="shared" si="157"/>
        <v>#VALUE!</v>
      </c>
    </row>
    <row r="139" spans="1:56" x14ac:dyDescent="0.2">
      <c r="A139" s="13"/>
      <c r="B139" s="13"/>
      <c r="C139" s="43">
        <v>27</v>
      </c>
      <c r="D139" s="14" t="e">
        <f>#REF!</f>
        <v>#REF!</v>
      </c>
      <c r="E139" s="15" t="e">
        <f>#REF!</f>
        <v>#REF!</v>
      </c>
      <c r="F139" s="15" t="e">
        <f>#REF!</f>
        <v>#REF!</v>
      </c>
      <c r="G139" s="15" t="e">
        <f>#REF!</f>
        <v>#REF!</v>
      </c>
      <c r="H139" s="15" t="e">
        <f>#REF!</f>
        <v>#REF!</v>
      </c>
      <c r="I139" s="15" t="e">
        <f>#REF!</f>
        <v>#REF!</v>
      </c>
      <c r="J139" s="15" t="e">
        <f>#REF!</f>
        <v>#REF!</v>
      </c>
      <c r="K139" s="15" t="e">
        <f>#REF!</f>
        <v>#REF!</v>
      </c>
      <c r="L139" s="15" t="e">
        <f>#REF!</f>
        <v>#REF!</v>
      </c>
      <c r="M139" s="15" t="e">
        <f>#REF!</f>
        <v>#REF!</v>
      </c>
      <c r="N139" s="16" t="e">
        <f t="shared" si="153"/>
        <v>#REF!</v>
      </c>
      <c r="P139" s="14" t="e">
        <f>#REF!</f>
        <v>#REF!</v>
      </c>
      <c r="Q139" s="15" t="e">
        <f>#REF!</f>
        <v>#REF!</v>
      </c>
      <c r="R139" s="15" t="e">
        <f>#REF!</f>
        <v>#REF!</v>
      </c>
      <c r="S139" s="15" t="e">
        <f>#REF!</f>
        <v>#REF!</v>
      </c>
      <c r="T139" s="15" t="e">
        <f>#REF!</f>
        <v>#REF!</v>
      </c>
      <c r="U139" s="51" t="e">
        <f>#REF!</f>
        <v>#REF!</v>
      </c>
      <c r="V139" s="15" t="e">
        <f>#REF!</f>
        <v>#REF!</v>
      </c>
      <c r="W139" s="15" t="e">
        <f>#REF!</f>
        <v>#REF!</v>
      </c>
      <c r="X139" s="15" t="e">
        <f>#REF!</f>
        <v>#REF!</v>
      </c>
      <c r="Y139" s="15" t="e">
        <f>#REF!</f>
        <v>#REF!</v>
      </c>
      <c r="Z139" s="16" t="e">
        <f t="shared" si="154"/>
        <v>#REF!</v>
      </c>
      <c r="AA139" s="15" t="e">
        <f t="shared" si="158"/>
        <v>#REF!</v>
      </c>
      <c r="AB139" s="15" t="e">
        <f t="shared" si="162"/>
        <v>#REF!</v>
      </c>
      <c r="AC139" s="15" t="e">
        <f t="shared" si="162"/>
        <v>#REF!</v>
      </c>
      <c r="AD139" s="16" t="e">
        <f t="shared" si="156"/>
        <v>#REF!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68">bdrate($D139:$D142,E139:E142,$P139:$P142,Q139:Q142)</f>
        <v>#VALUE!</v>
      </c>
      <c r="AM139" s="21" t="e">
        <f t="shared" si="168"/>
        <v>#VALUE!</v>
      </c>
      <c r="AN139" s="36" t="e">
        <f t="shared" si="168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#REF!</v>
      </c>
      <c r="AY139" s="15" t="e">
        <f t="shared" ref="AY139:AY142" si="169">X139/L139</f>
        <v>#REF!</v>
      </c>
      <c r="AZ139" s="15" t="e">
        <f t="shared" si="137"/>
        <v>#REF!</v>
      </c>
      <c r="BA139" s="15" t="e">
        <f>V139/J139</f>
        <v>#REF!</v>
      </c>
      <c r="BB139" s="15" t="e">
        <f t="shared" si="167"/>
        <v>#REF!</v>
      </c>
      <c r="BC139" s="15" t="e">
        <f t="shared" si="133"/>
        <v>#REF!</v>
      </c>
      <c r="BD139" s="1">
        <f t="shared" si="157"/>
        <v>0</v>
      </c>
    </row>
    <row r="140" spans="1:56" x14ac:dyDescent="0.2">
      <c r="A140" s="13"/>
      <c r="B140" s="13"/>
      <c r="C140" s="43">
        <v>32</v>
      </c>
      <c r="D140" s="14" t="e">
        <f>#REF!</f>
        <v>#REF!</v>
      </c>
      <c r="E140" s="15" t="e">
        <f>#REF!</f>
        <v>#REF!</v>
      </c>
      <c r="F140" s="15" t="e">
        <f>#REF!</f>
        <v>#REF!</v>
      </c>
      <c r="G140" s="15" t="e">
        <f>#REF!</f>
        <v>#REF!</v>
      </c>
      <c r="H140" s="15" t="e">
        <f>#REF!</f>
        <v>#REF!</v>
      </c>
      <c r="I140" s="15" t="e">
        <f>#REF!</f>
        <v>#REF!</v>
      </c>
      <c r="J140" s="15" t="e">
        <f>#REF!</f>
        <v>#REF!</v>
      </c>
      <c r="K140" s="15" t="e">
        <f>#REF!</f>
        <v>#REF!</v>
      </c>
      <c r="L140" s="15" t="e">
        <f>#REF!</f>
        <v>#REF!</v>
      </c>
      <c r="M140" s="15" t="e">
        <f>#REF!</f>
        <v>#REF!</v>
      </c>
      <c r="N140" s="16" t="e">
        <f t="shared" si="153"/>
        <v>#REF!</v>
      </c>
      <c r="P140" s="14" t="e">
        <f>#REF!</f>
        <v>#REF!</v>
      </c>
      <c r="Q140" s="15" t="e">
        <f>#REF!</f>
        <v>#REF!</v>
      </c>
      <c r="R140" s="15" t="e">
        <f>#REF!</f>
        <v>#REF!</v>
      </c>
      <c r="S140" s="15" t="e">
        <f>#REF!</f>
        <v>#REF!</v>
      </c>
      <c r="T140" s="15" t="e">
        <f>#REF!</f>
        <v>#REF!</v>
      </c>
      <c r="U140" s="51" t="e">
        <f>#REF!</f>
        <v>#REF!</v>
      </c>
      <c r="V140" s="15" t="e">
        <f>#REF!</f>
        <v>#REF!</v>
      </c>
      <c r="W140" s="15" t="e">
        <f>#REF!</f>
        <v>#REF!</v>
      </c>
      <c r="X140" s="15" t="e">
        <f>#REF!</f>
        <v>#REF!</v>
      </c>
      <c r="Y140" s="15" t="e">
        <f>#REF!</f>
        <v>#REF!</v>
      </c>
      <c r="Z140" s="16" t="e">
        <f t="shared" si="154"/>
        <v>#REF!</v>
      </c>
      <c r="AA140" s="15" t="e">
        <f t="shared" si="158"/>
        <v>#REF!</v>
      </c>
      <c r="AB140" s="15" t="e">
        <f t="shared" si="162"/>
        <v>#REF!</v>
      </c>
      <c r="AC140" s="15" t="e">
        <f t="shared" si="162"/>
        <v>#REF!</v>
      </c>
      <c r="AD140" s="16" t="e">
        <f t="shared" si="156"/>
        <v>#REF!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#REF!</v>
      </c>
      <c r="AY140" s="15" t="e">
        <f t="shared" si="169"/>
        <v>#REF!</v>
      </c>
      <c r="AZ140" s="15" t="e">
        <f t="shared" si="137"/>
        <v>#REF!</v>
      </c>
      <c r="BA140" s="15" t="e">
        <f>V140/J140</f>
        <v>#REF!</v>
      </c>
      <c r="BB140" s="15" t="e">
        <f t="shared" si="167"/>
        <v>#REF!</v>
      </c>
      <c r="BC140" s="15" t="e">
        <f t="shared" si="133"/>
        <v>#REF!</v>
      </c>
      <c r="BD140" s="1">
        <f t="shared" si="157"/>
        <v>0</v>
      </c>
    </row>
    <row r="141" spans="1:56" x14ac:dyDescent="0.2">
      <c r="A141" s="13"/>
      <c r="B141" s="13"/>
      <c r="C141" s="43">
        <v>37</v>
      </c>
      <c r="D141" s="14" t="e">
        <f>#REF!</f>
        <v>#REF!</v>
      </c>
      <c r="E141" s="15" t="e">
        <f>#REF!</f>
        <v>#REF!</v>
      </c>
      <c r="F141" s="15" t="e">
        <f>#REF!</f>
        <v>#REF!</v>
      </c>
      <c r="G141" s="15" t="e">
        <f>#REF!</f>
        <v>#REF!</v>
      </c>
      <c r="H141" s="15" t="e">
        <f>#REF!</f>
        <v>#REF!</v>
      </c>
      <c r="I141" s="15" t="e">
        <f>#REF!</f>
        <v>#REF!</v>
      </c>
      <c r="J141" s="15" t="e">
        <f>#REF!</f>
        <v>#REF!</v>
      </c>
      <c r="K141" s="15" t="e">
        <f>#REF!</f>
        <v>#REF!</v>
      </c>
      <c r="L141" s="15" t="e">
        <f>#REF!</f>
        <v>#REF!</v>
      </c>
      <c r="M141" s="15" t="e">
        <f>#REF!</f>
        <v>#REF!</v>
      </c>
      <c r="N141" s="16" t="e">
        <f t="shared" si="153"/>
        <v>#REF!</v>
      </c>
      <c r="P141" s="14" t="e">
        <f>#REF!</f>
        <v>#REF!</v>
      </c>
      <c r="Q141" s="15" t="e">
        <f>#REF!</f>
        <v>#REF!</v>
      </c>
      <c r="R141" s="15" t="e">
        <f>#REF!</f>
        <v>#REF!</v>
      </c>
      <c r="S141" s="15" t="e">
        <f>#REF!</f>
        <v>#REF!</v>
      </c>
      <c r="T141" s="15" t="e">
        <f>#REF!</f>
        <v>#REF!</v>
      </c>
      <c r="U141" s="51" t="e">
        <f>#REF!</f>
        <v>#REF!</v>
      </c>
      <c r="V141" s="15" t="e">
        <f>#REF!</f>
        <v>#REF!</v>
      </c>
      <c r="W141" s="15" t="e">
        <f>#REF!</f>
        <v>#REF!</v>
      </c>
      <c r="X141" s="15" t="e">
        <f>#REF!</f>
        <v>#REF!</v>
      </c>
      <c r="Y141" s="15" t="e">
        <f>#REF!</f>
        <v>#REF!</v>
      </c>
      <c r="Z141" s="16" t="e">
        <f t="shared" si="154"/>
        <v>#REF!</v>
      </c>
      <c r="AA141" s="15" t="e">
        <f t="shared" si="158"/>
        <v>#REF!</v>
      </c>
      <c r="AB141" s="15" t="e">
        <f t="shared" si="162"/>
        <v>#REF!</v>
      </c>
      <c r="AC141" s="15" t="e">
        <f t="shared" si="162"/>
        <v>#REF!</v>
      </c>
      <c r="AD141" s="16" t="e">
        <f t="shared" si="156"/>
        <v>#REF!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#REF!</v>
      </c>
      <c r="AY141" s="15" t="e">
        <f t="shared" si="169"/>
        <v>#REF!</v>
      </c>
      <c r="AZ141" s="15" t="e">
        <f t="shared" si="137"/>
        <v>#REF!</v>
      </c>
      <c r="BA141" s="15" t="e">
        <f>V141/J141</f>
        <v>#REF!</v>
      </c>
      <c r="BB141" s="15" t="e">
        <f t="shared" si="167"/>
        <v>#REF!</v>
      </c>
      <c r="BC141" s="15" t="e">
        <f t="shared" si="133"/>
        <v>#REF!</v>
      </c>
      <c r="BD141" s="1">
        <f t="shared" si="157"/>
        <v>0</v>
      </c>
    </row>
    <row r="142" spans="1:56" ht="12.75" thickBot="1" x14ac:dyDescent="0.25">
      <c r="A142" s="13"/>
      <c r="B142" s="17"/>
      <c r="C142" s="44">
        <v>42</v>
      </c>
      <c r="D142" s="18" t="e">
        <f>#REF!</f>
        <v>#REF!</v>
      </c>
      <c r="E142" s="19" t="e">
        <f>#REF!</f>
        <v>#REF!</v>
      </c>
      <c r="F142" s="19" t="e">
        <f>#REF!</f>
        <v>#REF!</v>
      </c>
      <c r="G142" s="19" t="e">
        <f>#REF!</f>
        <v>#REF!</v>
      </c>
      <c r="H142" s="19" t="e">
        <f>#REF!</f>
        <v>#REF!</v>
      </c>
      <c r="I142" s="19" t="e">
        <f>#REF!</f>
        <v>#REF!</v>
      </c>
      <c r="J142" s="19" t="e">
        <f>#REF!</f>
        <v>#REF!</v>
      </c>
      <c r="K142" s="19" t="e">
        <f>#REF!</f>
        <v>#REF!</v>
      </c>
      <c r="L142" s="19" t="e">
        <f>#REF!</f>
        <v>#REF!</v>
      </c>
      <c r="M142" s="19" t="e">
        <f>#REF!</f>
        <v>#REF!</v>
      </c>
      <c r="N142" s="20" t="e">
        <f t="shared" si="153"/>
        <v>#REF!</v>
      </c>
      <c r="P142" s="18" t="e">
        <f>#REF!</f>
        <v>#REF!</v>
      </c>
      <c r="Q142" s="19" t="e">
        <f>#REF!</f>
        <v>#REF!</v>
      </c>
      <c r="R142" s="19" t="e">
        <f>#REF!</f>
        <v>#REF!</v>
      </c>
      <c r="S142" s="19" t="e">
        <f>#REF!</f>
        <v>#REF!</v>
      </c>
      <c r="T142" s="19" t="e">
        <f>#REF!</f>
        <v>#REF!</v>
      </c>
      <c r="U142" s="52" t="e">
        <f>#REF!</f>
        <v>#REF!</v>
      </c>
      <c r="V142" s="19" t="e">
        <f>#REF!</f>
        <v>#REF!</v>
      </c>
      <c r="W142" s="19" t="e">
        <f>#REF!</f>
        <v>#REF!</v>
      </c>
      <c r="X142" s="19" t="e">
        <f>#REF!</f>
        <v>#REF!</v>
      </c>
      <c r="Y142" s="19" t="e">
        <f>#REF!</f>
        <v>#REF!</v>
      </c>
      <c r="Z142" s="20" t="e">
        <f t="shared" si="154"/>
        <v>#REF!</v>
      </c>
      <c r="AA142" s="15" t="e">
        <f t="shared" si="158"/>
        <v>#REF!</v>
      </c>
      <c r="AB142" s="15" t="e">
        <f t="shared" si="162"/>
        <v>#REF!</v>
      </c>
      <c r="AC142" s="15" t="e">
        <f t="shared" si="162"/>
        <v>#REF!</v>
      </c>
      <c r="AD142" s="20" t="e">
        <f t="shared" si="156"/>
        <v>#REF!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#REF!</v>
      </c>
      <c r="AY142" s="15" t="e">
        <f t="shared" si="169"/>
        <v>#REF!</v>
      </c>
      <c r="AZ142" s="15" t="e">
        <f t="shared" si="137"/>
        <v>#REF!</v>
      </c>
      <c r="BA142" s="15"/>
      <c r="BB142" s="15"/>
      <c r="BC142" s="15"/>
      <c r="BD142" s="1">
        <f t="shared" si="157"/>
        <v>0</v>
      </c>
    </row>
    <row r="143" spans="1:56" x14ac:dyDescent="0.2">
      <c r="A143" s="13"/>
      <c r="B143" s="8" t="s">
        <v>67</v>
      </c>
      <c r="C143" s="39">
        <v>22</v>
      </c>
      <c r="D143" s="9" t="e">
        <f>#REF!</f>
        <v>#REF!</v>
      </c>
      <c r="E143" s="10" t="e">
        <f>#REF!</f>
        <v>#REF!</v>
      </c>
      <c r="F143" s="10" t="e">
        <f>#REF!</f>
        <v>#REF!</v>
      </c>
      <c r="G143" s="10" t="e">
        <f>#REF!</f>
        <v>#REF!</v>
      </c>
      <c r="H143" s="10" t="e">
        <f>#REF!</f>
        <v>#REF!</v>
      </c>
      <c r="I143" s="10" t="e">
        <f>#REF!</f>
        <v>#REF!</v>
      </c>
      <c r="J143" s="10" t="e">
        <f>#REF!</f>
        <v>#REF!</v>
      </c>
      <c r="K143" s="10" t="e">
        <f>#REF!</f>
        <v>#REF!</v>
      </c>
      <c r="L143" s="10" t="e">
        <f>#REF!</f>
        <v>#REF!</v>
      </c>
      <c r="M143" s="10" t="e">
        <f>#REF!</f>
        <v>#REF!</v>
      </c>
      <c r="N143" s="11" t="e">
        <f t="shared" si="153"/>
        <v>#REF!</v>
      </c>
      <c r="P143" s="9" t="e">
        <f>#REF!</f>
        <v>#REF!</v>
      </c>
      <c r="Q143" s="10" t="e">
        <f>#REF!</f>
        <v>#REF!</v>
      </c>
      <c r="R143" s="10" t="e">
        <f>#REF!</f>
        <v>#REF!</v>
      </c>
      <c r="S143" s="10" t="e">
        <f>#REF!</f>
        <v>#REF!</v>
      </c>
      <c r="T143" s="10" t="e">
        <f>#REF!</f>
        <v>#REF!</v>
      </c>
      <c r="U143" s="50" t="e">
        <f>#REF!</f>
        <v>#REF!</v>
      </c>
      <c r="V143" s="10" t="e">
        <f>#REF!</f>
        <v>#REF!</v>
      </c>
      <c r="W143" s="10" t="e">
        <f>#REF!</f>
        <v>#REF!</v>
      </c>
      <c r="X143" s="10" t="e">
        <f>#REF!</f>
        <v>#REF!</v>
      </c>
      <c r="Y143" s="10" t="e">
        <f>#REF!</f>
        <v>#REF!</v>
      </c>
      <c r="Z143" s="11" t="e">
        <f t="shared" si="154"/>
        <v>#REF!</v>
      </c>
      <c r="AA143" s="15" t="e">
        <f t="shared" si="158"/>
        <v>#REF!</v>
      </c>
      <c r="AB143" s="15" t="e">
        <f t="shared" si="162"/>
        <v>#REF!</v>
      </c>
      <c r="AC143" s="15" t="e">
        <f t="shared" si="162"/>
        <v>#REF!</v>
      </c>
      <c r="AD143" s="11" t="e">
        <f t="shared" si="156"/>
        <v>#REF!</v>
      </c>
      <c r="AE143" s="12"/>
      <c r="AF143" s="25" t="e">
        <f t="shared" ref="AF143:AH143" si="170">bdRateExtend($D143:$D147,E143:E147,$P143:$P147,Q143:Q147)</f>
        <v>#VALUE!</v>
      </c>
      <c r="AG143" s="30" t="e">
        <f t="shared" si="170"/>
        <v>#VALUE!</v>
      </c>
      <c r="AH143" s="31" t="e">
        <f t="shared" si="170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71">bdrate($D143:$D146,E143:E146,$P143:$P146,Q143:Q146)</f>
        <v>#VALUE!</v>
      </c>
      <c r="AS143" s="30" t="e">
        <f t="shared" si="171"/>
        <v>#VALUE!</v>
      </c>
      <c r="AT143" s="31" t="e">
        <f t="shared" si="171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#REF!</v>
      </c>
      <c r="BB143" s="15" t="e">
        <f t="shared" ref="BB143:BB146" si="172">X143/L143</f>
        <v>#REF!</v>
      </c>
      <c r="BC143" s="15" t="e">
        <f t="shared" si="133"/>
        <v>#REF!</v>
      </c>
      <c r="BD143" s="1" t="e">
        <f t="shared" si="157"/>
        <v>#VALUE!</v>
      </c>
    </row>
    <row r="144" spans="1:56" x14ac:dyDescent="0.2">
      <c r="A144" s="13"/>
      <c r="B144" s="13"/>
      <c r="C144" s="43">
        <v>27</v>
      </c>
      <c r="D144" s="14" t="e">
        <f>#REF!</f>
        <v>#REF!</v>
      </c>
      <c r="E144" s="15" t="e">
        <f>#REF!</f>
        <v>#REF!</v>
      </c>
      <c r="F144" s="15" t="e">
        <f>#REF!</f>
        <v>#REF!</v>
      </c>
      <c r="G144" s="15" t="e">
        <f>#REF!</f>
        <v>#REF!</v>
      </c>
      <c r="H144" s="15" t="e">
        <f>#REF!</f>
        <v>#REF!</v>
      </c>
      <c r="I144" s="15" t="e">
        <f>#REF!</f>
        <v>#REF!</v>
      </c>
      <c r="J144" s="15" t="e">
        <f>#REF!</f>
        <v>#REF!</v>
      </c>
      <c r="K144" s="15" t="e">
        <f>#REF!</f>
        <v>#REF!</v>
      </c>
      <c r="L144" s="15" t="e">
        <f>#REF!</f>
        <v>#REF!</v>
      </c>
      <c r="M144" s="15" t="e">
        <f>#REF!</f>
        <v>#REF!</v>
      </c>
      <c r="N144" s="16" t="e">
        <f t="shared" si="153"/>
        <v>#REF!</v>
      </c>
      <c r="P144" s="14" t="e">
        <f>#REF!</f>
        <v>#REF!</v>
      </c>
      <c r="Q144" s="15" t="e">
        <f>#REF!</f>
        <v>#REF!</v>
      </c>
      <c r="R144" s="15" t="e">
        <f>#REF!</f>
        <v>#REF!</v>
      </c>
      <c r="S144" s="15" t="e">
        <f>#REF!</f>
        <v>#REF!</v>
      </c>
      <c r="T144" s="15" t="e">
        <f>#REF!</f>
        <v>#REF!</v>
      </c>
      <c r="U144" s="51" t="e">
        <f>#REF!</f>
        <v>#REF!</v>
      </c>
      <c r="V144" s="15" t="e">
        <f>#REF!</f>
        <v>#REF!</v>
      </c>
      <c r="W144" s="15" t="e">
        <f>#REF!</f>
        <v>#REF!</v>
      </c>
      <c r="X144" s="15" t="e">
        <f>#REF!</f>
        <v>#REF!</v>
      </c>
      <c r="Y144" s="15" t="e">
        <f>#REF!</f>
        <v>#REF!</v>
      </c>
      <c r="Z144" s="16" t="e">
        <f t="shared" si="154"/>
        <v>#REF!</v>
      </c>
      <c r="AA144" s="15" t="e">
        <f t="shared" si="158"/>
        <v>#REF!</v>
      </c>
      <c r="AB144" s="15" t="e">
        <f t="shared" si="162"/>
        <v>#REF!</v>
      </c>
      <c r="AC144" s="15" t="e">
        <f t="shared" si="162"/>
        <v>#REF!</v>
      </c>
      <c r="AD144" s="16" t="e">
        <f t="shared" si="156"/>
        <v>#REF!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73">bdrate($D144:$D147,E144:E147,$P144:$P147,Q144:Q147)</f>
        <v>#VALUE!</v>
      </c>
      <c r="AM144" s="21" t="e">
        <f t="shared" si="173"/>
        <v>#VALUE!</v>
      </c>
      <c r="AN144" s="36" t="e">
        <f t="shared" si="173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#REF!</v>
      </c>
      <c r="AY144" s="15" t="e">
        <f t="shared" ref="AY144:AY147" si="174">X144/L144</f>
        <v>#REF!</v>
      </c>
      <c r="AZ144" s="15" t="e">
        <f t="shared" si="137"/>
        <v>#REF!</v>
      </c>
      <c r="BA144" s="15" t="e">
        <f>V144/J144</f>
        <v>#REF!</v>
      </c>
      <c r="BB144" s="15" t="e">
        <f t="shared" si="172"/>
        <v>#REF!</v>
      </c>
      <c r="BC144" s="15" t="e">
        <f t="shared" si="133"/>
        <v>#REF!</v>
      </c>
      <c r="BD144" s="1">
        <f t="shared" si="157"/>
        <v>0</v>
      </c>
    </row>
    <row r="145" spans="1:56" x14ac:dyDescent="0.2">
      <c r="A145" s="13"/>
      <c r="B145" s="13"/>
      <c r="C145" s="43">
        <v>32</v>
      </c>
      <c r="D145" s="14" t="e">
        <f>#REF!</f>
        <v>#REF!</v>
      </c>
      <c r="E145" s="15" t="e">
        <f>#REF!</f>
        <v>#REF!</v>
      </c>
      <c r="F145" s="15" t="e">
        <f>#REF!</f>
        <v>#REF!</v>
      </c>
      <c r="G145" s="15" t="e">
        <f>#REF!</f>
        <v>#REF!</v>
      </c>
      <c r="H145" s="15" t="e">
        <f>#REF!</f>
        <v>#REF!</v>
      </c>
      <c r="I145" s="15" t="e">
        <f>#REF!</f>
        <v>#REF!</v>
      </c>
      <c r="J145" s="15" t="e">
        <f>#REF!</f>
        <v>#REF!</v>
      </c>
      <c r="K145" s="15" t="e">
        <f>#REF!</f>
        <v>#REF!</v>
      </c>
      <c r="L145" s="15" t="e">
        <f>#REF!</f>
        <v>#REF!</v>
      </c>
      <c r="M145" s="15" t="e">
        <f>#REF!</f>
        <v>#REF!</v>
      </c>
      <c r="N145" s="16" t="e">
        <f t="shared" si="153"/>
        <v>#REF!</v>
      </c>
      <c r="P145" s="14" t="e">
        <f>#REF!</f>
        <v>#REF!</v>
      </c>
      <c r="Q145" s="15" t="e">
        <f>#REF!</f>
        <v>#REF!</v>
      </c>
      <c r="R145" s="15" t="e">
        <f>#REF!</f>
        <v>#REF!</v>
      </c>
      <c r="S145" s="15" t="e">
        <f>#REF!</f>
        <v>#REF!</v>
      </c>
      <c r="T145" s="15" t="e">
        <f>#REF!</f>
        <v>#REF!</v>
      </c>
      <c r="U145" s="51" t="e">
        <f>#REF!</f>
        <v>#REF!</v>
      </c>
      <c r="V145" s="15" t="e">
        <f>#REF!</f>
        <v>#REF!</v>
      </c>
      <c r="W145" s="15" t="e">
        <f>#REF!</f>
        <v>#REF!</v>
      </c>
      <c r="X145" s="15" t="e">
        <f>#REF!</f>
        <v>#REF!</v>
      </c>
      <c r="Y145" s="15" t="e">
        <f>#REF!</f>
        <v>#REF!</v>
      </c>
      <c r="Z145" s="16" t="e">
        <f t="shared" si="154"/>
        <v>#REF!</v>
      </c>
      <c r="AA145" s="15" t="e">
        <f t="shared" si="158"/>
        <v>#REF!</v>
      </c>
      <c r="AB145" s="15" t="e">
        <f t="shared" si="162"/>
        <v>#REF!</v>
      </c>
      <c r="AC145" s="15" t="e">
        <f t="shared" si="162"/>
        <v>#REF!</v>
      </c>
      <c r="AD145" s="16" t="e">
        <f t="shared" si="156"/>
        <v>#REF!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#REF!</v>
      </c>
      <c r="AY145" s="15" t="e">
        <f t="shared" si="174"/>
        <v>#REF!</v>
      </c>
      <c r="AZ145" s="15" t="e">
        <f t="shared" si="137"/>
        <v>#REF!</v>
      </c>
      <c r="BA145" s="15" t="e">
        <f>V145/J145</f>
        <v>#REF!</v>
      </c>
      <c r="BB145" s="15" t="e">
        <f t="shared" si="172"/>
        <v>#REF!</v>
      </c>
      <c r="BC145" s="15" t="e">
        <f t="shared" si="133"/>
        <v>#REF!</v>
      </c>
      <c r="BD145" s="1">
        <f t="shared" si="157"/>
        <v>0</v>
      </c>
    </row>
    <row r="146" spans="1:56" x14ac:dyDescent="0.2">
      <c r="A146" s="13"/>
      <c r="B146" s="13"/>
      <c r="C146" s="43">
        <v>37</v>
      </c>
      <c r="D146" s="14" t="e">
        <f>#REF!</f>
        <v>#REF!</v>
      </c>
      <c r="E146" s="15" t="e">
        <f>#REF!</f>
        <v>#REF!</v>
      </c>
      <c r="F146" s="15" t="e">
        <f>#REF!</f>
        <v>#REF!</v>
      </c>
      <c r="G146" s="15" t="e">
        <f>#REF!</f>
        <v>#REF!</v>
      </c>
      <c r="H146" s="15" t="e">
        <f>#REF!</f>
        <v>#REF!</v>
      </c>
      <c r="I146" s="15" t="e">
        <f>#REF!</f>
        <v>#REF!</v>
      </c>
      <c r="J146" s="15" t="e">
        <f>#REF!</f>
        <v>#REF!</v>
      </c>
      <c r="K146" s="15" t="e">
        <f>#REF!</f>
        <v>#REF!</v>
      </c>
      <c r="L146" s="15" t="e">
        <f>#REF!</f>
        <v>#REF!</v>
      </c>
      <c r="M146" s="15" t="e">
        <f>#REF!</f>
        <v>#REF!</v>
      </c>
      <c r="N146" s="16" t="e">
        <f t="shared" si="153"/>
        <v>#REF!</v>
      </c>
      <c r="P146" s="14" t="e">
        <f>#REF!</f>
        <v>#REF!</v>
      </c>
      <c r="Q146" s="15" t="e">
        <f>#REF!</f>
        <v>#REF!</v>
      </c>
      <c r="R146" s="15" t="e">
        <f>#REF!</f>
        <v>#REF!</v>
      </c>
      <c r="S146" s="15" t="e">
        <f>#REF!</f>
        <v>#REF!</v>
      </c>
      <c r="T146" s="15" t="e">
        <f>#REF!</f>
        <v>#REF!</v>
      </c>
      <c r="U146" s="51" t="e">
        <f>#REF!</f>
        <v>#REF!</v>
      </c>
      <c r="V146" s="15" t="e">
        <f>#REF!</f>
        <v>#REF!</v>
      </c>
      <c r="W146" s="15" t="e">
        <f>#REF!</f>
        <v>#REF!</v>
      </c>
      <c r="X146" s="15" t="e">
        <f>#REF!</f>
        <v>#REF!</v>
      </c>
      <c r="Y146" s="15" t="e">
        <f>#REF!</f>
        <v>#REF!</v>
      </c>
      <c r="Z146" s="16" t="e">
        <f t="shared" si="154"/>
        <v>#REF!</v>
      </c>
      <c r="AA146" s="15" t="e">
        <f t="shared" si="158"/>
        <v>#REF!</v>
      </c>
      <c r="AB146" s="15" t="e">
        <f t="shared" si="162"/>
        <v>#REF!</v>
      </c>
      <c r="AC146" s="15" t="e">
        <f t="shared" si="162"/>
        <v>#REF!</v>
      </c>
      <c r="AD146" s="16" t="e">
        <f t="shared" si="156"/>
        <v>#REF!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#REF!</v>
      </c>
      <c r="AY146" s="15" t="e">
        <f t="shared" si="174"/>
        <v>#REF!</v>
      </c>
      <c r="AZ146" s="15" t="e">
        <f t="shared" si="137"/>
        <v>#REF!</v>
      </c>
      <c r="BA146" s="15" t="e">
        <f>V146/J146</f>
        <v>#REF!</v>
      </c>
      <c r="BB146" s="15" t="e">
        <f t="shared" si="172"/>
        <v>#REF!</v>
      </c>
      <c r="BC146" s="15" t="e">
        <f t="shared" si="133"/>
        <v>#REF!</v>
      </c>
      <c r="BD146" s="1">
        <f t="shared" si="157"/>
        <v>0</v>
      </c>
    </row>
    <row r="147" spans="1:56" ht="12.75" thickBot="1" x14ac:dyDescent="0.25">
      <c r="A147" s="13"/>
      <c r="B147" s="17"/>
      <c r="C147" s="44">
        <v>42</v>
      </c>
      <c r="D147" s="18" t="e">
        <f>#REF!</f>
        <v>#REF!</v>
      </c>
      <c r="E147" s="19" t="e">
        <f>#REF!</f>
        <v>#REF!</v>
      </c>
      <c r="F147" s="19" t="e">
        <f>#REF!</f>
        <v>#REF!</v>
      </c>
      <c r="G147" s="19" t="e">
        <f>#REF!</f>
        <v>#REF!</v>
      </c>
      <c r="H147" s="19" t="e">
        <f>#REF!</f>
        <v>#REF!</v>
      </c>
      <c r="I147" s="19" t="e">
        <f>#REF!</f>
        <v>#REF!</v>
      </c>
      <c r="J147" s="19" t="e">
        <f>#REF!</f>
        <v>#REF!</v>
      </c>
      <c r="K147" s="19" t="e">
        <f>#REF!</f>
        <v>#REF!</v>
      </c>
      <c r="L147" s="19" t="e">
        <f>#REF!</f>
        <v>#REF!</v>
      </c>
      <c r="M147" s="19" t="e">
        <f>#REF!</f>
        <v>#REF!</v>
      </c>
      <c r="N147" s="20" t="e">
        <f t="shared" si="153"/>
        <v>#REF!</v>
      </c>
      <c r="P147" s="18" t="e">
        <f>#REF!</f>
        <v>#REF!</v>
      </c>
      <c r="Q147" s="19" t="e">
        <f>#REF!</f>
        <v>#REF!</v>
      </c>
      <c r="R147" s="19" t="e">
        <f>#REF!</f>
        <v>#REF!</v>
      </c>
      <c r="S147" s="19" t="e">
        <f>#REF!</f>
        <v>#REF!</v>
      </c>
      <c r="T147" s="19" t="e">
        <f>#REF!</f>
        <v>#REF!</v>
      </c>
      <c r="U147" s="52" t="e">
        <f>#REF!</f>
        <v>#REF!</v>
      </c>
      <c r="V147" s="19" t="e">
        <f>#REF!</f>
        <v>#REF!</v>
      </c>
      <c r="W147" s="19" t="e">
        <f>#REF!</f>
        <v>#REF!</v>
      </c>
      <c r="X147" s="19" t="e">
        <f>#REF!</f>
        <v>#REF!</v>
      </c>
      <c r="Y147" s="19" t="e">
        <f>#REF!</f>
        <v>#REF!</v>
      </c>
      <c r="Z147" s="20" t="e">
        <f t="shared" si="154"/>
        <v>#REF!</v>
      </c>
      <c r="AA147" s="15" t="e">
        <f t="shared" si="158"/>
        <v>#REF!</v>
      </c>
      <c r="AB147" s="15" t="e">
        <f t="shared" si="162"/>
        <v>#REF!</v>
      </c>
      <c r="AC147" s="15" t="e">
        <f t="shared" si="162"/>
        <v>#REF!</v>
      </c>
      <c r="AD147" s="20" t="e">
        <f t="shared" si="156"/>
        <v>#REF!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#REF!</v>
      </c>
      <c r="AY147" s="15" t="e">
        <f t="shared" si="174"/>
        <v>#REF!</v>
      </c>
      <c r="AZ147" s="15" t="e">
        <f t="shared" si="137"/>
        <v>#REF!</v>
      </c>
      <c r="BA147" s="15"/>
      <c r="BB147" s="15"/>
      <c r="BC147" s="15"/>
      <c r="BD147" s="1">
        <f t="shared" si="157"/>
        <v>0</v>
      </c>
    </row>
    <row r="148" spans="1:56" x14ac:dyDescent="0.2">
      <c r="A148" s="13"/>
      <c r="B148" s="8" t="s">
        <v>68</v>
      </c>
      <c r="C148" s="39">
        <v>22</v>
      </c>
      <c r="D148" s="9" t="e">
        <f>#REF!</f>
        <v>#REF!</v>
      </c>
      <c r="E148" s="10" t="e">
        <f>#REF!</f>
        <v>#REF!</v>
      </c>
      <c r="F148" s="10" t="e">
        <f>#REF!</f>
        <v>#REF!</v>
      </c>
      <c r="G148" s="10" t="e">
        <f>#REF!</f>
        <v>#REF!</v>
      </c>
      <c r="H148" s="10" t="e">
        <f>#REF!</f>
        <v>#REF!</v>
      </c>
      <c r="I148" s="10" t="e">
        <f>#REF!</f>
        <v>#REF!</v>
      </c>
      <c r="J148" s="10" t="e">
        <f>#REF!</f>
        <v>#REF!</v>
      </c>
      <c r="K148" s="10" t="e">
        <f>#REF!</f>
        <v>#REF!</v>
      </c>
      <c r="L148" s="10" t="e">
        <f>#REF!</f>
        <v>#REF!</v>
      </c>
      <c r="M148" s="10" t="e">
        <f>#REF!</f>
        <v>#REF!</v>
      </c>
      <c r="N148" s="11" t="e">
        <f t="shared" si="153"/>
        <v>#REF!</v>
      </c>
      <c r="P148" s="9" t="e">
        <f>#REF!</f>
        <v>#REF!</v>
      </c>
      <c r="Q148" s="10" t="e">
        <f>#REF!</f>
        <v>#REF!</v>
      </c>
      <c r="R148" s="10" t="e">
        <f>#REF!</f>
        <v>#REF!</v>
      </c>
      <c r="S148" s="10" t="e">
        <f>#REF!</f>
        <v>#REF!</v>
      </c>
      <c r="T148" s="10" t="e">
        <f>#REF!</f>
        <v>#REF!</v>
      </c>
      <c r="U148" s="50" t="e">
        <f>#REF!</f>
        <v>#REF!</v>
      </c>
      <c r="V148" s="10" t="e">
        <f>#REF!</f>
        <v>#REF!</v>
      </c>
      <c r="W148" s="10" t="e">
        <f>#REF!</f>
        <v>#REF!</v>
      </c>
      <c r="X148" s="10" t="e">
        <f>#REF!</f>
        <v>#REF!</v>
      </c>
      <c r="Y148" s="10" t="e">
        <f>#REF!</f>
        <v>#REF!</v>
      </c>
      <c r="Z148" s="11" t="e">
        <f t="shared" si="154"/>
        <v>#REF!</v>
      </c>
      <c r="AA148" s="15" t="e">
        <f t="shared" si="158"/>
        <v>#REF!</v>
      </c>
      <c r="AB148" s="15" t="e">
        <f t="shared" si="162"/>
        <v>#REF!</v>
      </c>
      <c r="AC148" s="15" t="e">
        <f t="shared" si="162"/>
        <v>#REF!</v>
      </c>
      <c r="AD148" s="11" t="e">
        <f t="shared" si="156"/>
        <v>#REF!</v>
      </c>
      <c r="AE148" s="12"/>
      <c r="AF148" s="25" t="e">
        <f t="shared" ref="AF148:AH148" si="175">bdRateExtend($D148:$D152,E148:E152,$P148:$P152,Q148:Q152)</f>
        <v>#VALUE!</v>
      </c>
      <c r="AG148" s="30" t="e">
        <f t="shared" si="175"/>
        <v>#VALUE!</v>
      </c>
      <c r="AH148" s="31" t="e">
        <f t="shared" si="175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76">bdrate($D148:$D151,E148:E151,$P148:$P151,Q148:Q151)</f>
        <v>#VALUE!</v>
      </c>
      <c r="AS148" s="30" t="e">
        <f t="shared" si="176"/>
        <v>#VALUE!</v>
      </c>
      <c r="AT148" s="31" t="e">
        <f t="shared" si="176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#REF!</v>
      </c>
      <c r="BB148" s="15" t="e">
        <f t="shared" ref="BB148:BB151" si="177">X148/L148</f>
        <v>#REF!</v>
      </c>
      <c r="BC148" s="15" t="e">
        <f t="shared" si="133"/>
        <v>#REF!</v>
      </c>
      <c r="BD148" s="1" t="e">
        <f t="shared" si="157"/>
        <v>#VALUE!</v>
      </c>
    </row>
    <row r="149" spans="1:56" x14ac:dyDescent="0.2">
      <c r="A149" s="13"/>
      <c r="B149" s="13"/>
      <c r="C149" s="43">
        <v>27</v>
      </c>
      <c r="D149" s="14" t="e">
        <f>#REF!</f>
        <v>#REF!</v>
      </c>
      <c r="E149" s="15" t="e">
        <f>#REF!</f>
        <v>#REF!</v>
      </c>
      <c r="F149" s="15" t="e">
        <f>#REF!</f>
        <v>#REF!</v>
      </c>
      <c r="G149" s="15" t="e">
        <f>#REF!</f>
        <v>#REF!</v>
      </c>
      <c r="H149" s="15" t="e">
        <f>#REF!</f>
        <v>#REF!</v>
      </c>
      <c r="I149" s="15" t="e">
        <f>#REF!</f>
        <v>#REF!</v>
      </c>
      <c r="J149" s="15" t="e">
        <f>#REF!</f>
        <v>#REF!</v>
      </c>
      <c r="K149" s="15" t="e">
        <f>#REF!</f>
        <v>#REF!</v>
      </c>
      <c r="L149" s="15" t="e">
        <f>#REF!</f>
        <v>#REF!</v>
      </c>
      <c r="M149" s="15" t="e">
        <f>#REF!</f>
        <v>#REF!</v>
      </c>
      <c r="N149" s="16" t="e">
        <f t="shared" si="153"/>
        <v>#REF!</v>
      </c>
      <c r="P149" s="14" t="e">
        <f>#REF!</f>
        <v>#REF!</v>
      </c>
      <c r="Q149" s="15" t="e">
        <f>#REF!</f>
        <v>#REF!</v>
      </c>
      <c r="R149" s="15" t="e">
        <f>#REF!</f>
        <v>#REF!</v>
      </c>
      <c r="S149" s="15" t="e">
        <f>#REF!</f>
        <v>#REF!</v>
      </c>
      <c r="T149" s="15" t="e">
        <f>#REF!</f>
        <v>#REF!</v>
      </c>
      <c r="U149" s="51" t="e">
        <f>#REF!</f>
        <v>#REF!</v>
      </c>
      <c r="V149" s="15" t="e">
        <f>#REF!</f>
        <v>#REF!</v>
      </c>
      <c r="W149" s="15" t="e">
        <f>#REF!</f>
        <v>#REF!</v>
      </c>
      <c r="X149" s="15" t="e">
        <f>#REF!</f>
        <v>#REF!</v>
      </c>
      <c r="Y149" s="15" t="e">
        <f>#REF!</f>
        <v>#REF!</v>
      </c>
      <c r="Z149" s="16" t="e">
        <f t="shared" si="154"/>
        <v>#REF!</v>
      </c>
      <c r="AA149" s="15" t="e">
        <f t="shared" si="158"/>
        <v>#REF!</v>
      </c>
      <c r="AB149" s="15" t="e">
        <f t="shared" si="162"/>
        <v>#REF!</v>
      </c>
      <c r="AC149" s="15" t="e">
        <f t="shared" si="162"/>
        <v>#REF!</v>
      </c>
      <c r="AD149" s="16" t="e">
        <f t="shared" si="156"/>
        <v>#REF!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78">bdrate($D149:$D152,E149:E152,$P149:$P152,Q149:Q152)</f>
        <v>#VALUE!</v>
      </c>
      <c r="AM149" s="21" t="e">
        <f t="shared" si="178"/>
        <v>#VALUE!</v>
      </c>
      <c r="AN149" s="36" t="e">
        <f t="shared" si="178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#REF!</v>
      </c>
      <c r="AY149" s="15" t="e">
        <f t="shared" ref="AY149:AY152" si="179">X149/L149</f>
        <v>#REF!</v>
      </c>
      <c r="AZ149" s="15" t="e">
        <f t="shared" si="137"/>
        <v>#REF!</v>
      </c>
      <c r="BA149" s="15" t="e">
        <f>V149/J149</f>
        <v>#REF!</v>
      </c>
      <c r="BB149" s="15" t="e">
        <f t="shared" si="177"/>
        <v>#REF!</v>
      </c>
      <c r="BC149" s="15" t="e">
        <f t="shared" si="133"/>
        <v>#REF!</v>
      </c>
      <c r="BD149" s="1">
        <f t="shared" si="157"/>
        <v>0</v>
      </c>
    </row>
    <row r="150" spans="1:56" x14ac:dyDescent="0.2">
      <c r="A150" s="13"/>
      <c r="B150" s="13"/>
      <c r="C150" s="43">
        <v>32</v>
      </c>
      <c r="D150" s="14" t="e">
        <f>#REF!</f>
        <v>#REF!</v>
      </c>
      <c r="E150" s="15" t="e">
        <f>#REF!</f>
        <v>#REF!</v>
      </c>
      <c r="F150" s="15" t="e">
        <f>#REF!</f>
        <v>#REF!</v>
      </c>
      <c r="G150" s="15" t="e">
        <f>#REF!</f>
        <v>#REF!</v>
      </c>
      <c r="H150" s="15" t="e">
        <f>#REF!</f>
        <v>#REF!</v>
      </c>
      <c r="I150" s="15" t="e">
        <f>#REF!</f>
        <v>#REF!</v>
      </c>
      <c r="J150" s="15" t="e">
        <f>#REF!</f>
        <v>#REF!</v>
      </c>
      <c r="K150" s="15" t="e">
        <f>#REF!</f>
        <v>#REF!</v>
      </c>
      <c r="L150" s="15" t="e">
        <f>#REF!</f>
        <v>#REF!</v>
      </c>
      <c r="M150" s="15" t="e">
        <f>#REF!</f>
        <v>#REF!</v>
      </c>
      <c r="N150" s="16" t="e">
        <f t="shared" si="153"/>
        <v>#REF!</v>
      </c>
      <c r="P150" s="14" t="e">
        <f>#REF!</f>
        <v>#REF!</v>
      </c>
      <c r="Q150" s="15" t="e">
        <f>#REF!</f>
        <v>#REF!</v>
      </c>
      <c r="R150" s="15" t="e">
        <f>#REF!</f>
        <v>#REF!</v>
      </c>
      <c r="S150" s="15" t="e">
        <f>#REF!</f>
        <v>#REF!</v>
      </c>
      <c r="T150" s="15" t="e">
        <f>#REF!</f>
        <v>#REF!</v>
      </c>
      <c r="U150" s="51" t="e">
        <f>#REF!</f>
        <v>#REF!</v>
      </c>
      <c r="V150" s="15" t="e">
        <f>#REF!</f>
        <v>#REF!</v>
      </c>
      <c r="W150" s="15" t="e">
        <f>#REF!</f>
        <v>#REF!</v>
      </c>
      <c r="X150" s="15" t="e">
        <f>#REF!</f>
        <v>#REF!</v>
      </c>
      <c r="Y150" s="15" t="e">
        <f>#REF!</f>
        <v>#REF!</v>
      </c>
      <c r="Z150" s="16" t="e">
        <f t="shared" si="154"/>
        <v>#REF!</v>
      </c>
      <c r="AA150" s="15" t="e">
        <f t="shared" si="158"/>
        <v>#REF!</v>
      </c>
      <c r="AB150" s="15" t="e">
        <f t="shared" si="162"/>
        <v>#REF!</v>
      </c>
      <c r="AC150" s="15" t="e">
        <f t="shared" si="162"/>
        <v>#REF!</v>
      </c>
      <c r="AD150" s="16" t="e">
        <f t="shared" si="156"/>
        <v>#REF!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#REF!</v>
      </c>
      <c r="AY150" s="15" t="e">
        <f t="shared" si="179"/>
        <v>#REF!</v>
      </c>
      <c r="AZ150" s="15" t="e">
        <f t="shared" si="137"/>
        <v>#REF!</v>
      </c>
      <c r="BA150" s="15" t="e">
        <f>V150/J150</f>
        <v>#REF!</v>
      </c>
      <c r="BB150" s="15" t="e">
        <f t="shared" si="177"/>
        <v>#REF!</v>
      </c>
      <c r="BC150" s="15" t="e">
        <f t="shared" si="133"/>
        <v>#REF!</v>
      </c>
      <c r="BD150" s="1">
        <f t="shared" si="157"/>
        <v>0</v>
      </c>
    </row>
    <row r="151" spans="1:56" x14ac:dyDescent="0.2">
      <c r="A151" s="13"/>
      <c r="B151" s="13"/>
      <c r="C151" s="43">
        <v>37</v>
      </c>
      <c r="D151" s="14" t="e">
        <f>#REF!</f>
        <v>#REF!</v>
      </c>
      <c r="E151" s="15" t="e">
        <f>#REF!</f>
        <v>#REF!</v>
      </c>
      <c r="F151" s="15" t="e">
        <f>#REF!</f>
        <v>#REF!</v>
      </c>
      <c r="G151" s="15" t="e">
        <f>#REF!</f>
        <v>#REF!</v>
      </c>
      <c r="H151" s="15" t="e">
        <f>#REF!</f>
        <v>#REF!</v>
      </c>
      <c r="I151" s="15" t="e">
        <f>#REF!</f>
        <v>#REF!</v>
      </c>
      <c r="J151" s="15" t="e">
        <f>#REF!</f>
        <v>#REF!</v>
      </c>
      <c r="K151" s="15" t="e">
        <f>#REF!</f>
        <v>#REF!</v>
      </c>
      <c r="L151" s="15" t="e">
        <f>#REF!</f>
        <v>#REF!</v>
      </c>
      <c r="M151" s="15" t="e">
        <f>#REF!</f>
        <v>#REF!</v>
      </c>
      <c r="N151" s="16" t="e">
        <f t="shared" si="153"/>
        <v>#REF!</v>
      </c>
      <c r="P151" s="14" t="e">
        <f>#REF!</f>
        <v>#REF!</v>
      </c>
      <c r="Q151" s="15" t="e">
        <f>#REF!</f>
        <v>#REF!</v>
      </c>
      <c r="R151" s="15" t="e">
        <f>#REF!</f>
        <v>#REF!</v>
      </c>
      <c r="S151" s="15" t="e">
        <f>#REF!</f>
        <v>#REF!</v>
      </c>
      <c r="T151" s="15" t="e">
        <f>#REF!</f>
        <v>#REF!</v>
      </c>
      <c r="U151" s="51" t="e">
        <f>#REF!</f>
        <v>#REF!</v>
      </c>
      <c r="V151" s="15" t="e">
        <f>#REF!</f>
        <v>#REF!</v>
      </c>
      <c r="W151" s="15" t="e">
        <f>#REF!</f>
        <v>#REF!</v>
      </c>
      <c r="X151" s="15" t="e">
        <f>#REF!</f>
        <v>#REF!</v>
      </c>
      <c r="Y151" s="15" t="e">
        <f>#REF!</f>
        <v>#REF!</v>
      </c>
      <c r="Z151" s="16" t="e">
        <f t="shared" si="154"/>
        <v>#REF!</v>
      </c>
      <c r="AA151" s="15" t="e">
        <f t="shared" si="158"/>
        <v>#REF!</v>
      </c>
      <c r="AB151" s="15" t="e">
        <f t="shared" si="162"/>
        <v>#REF!</v>
      </c>
      <c r="AC151" s="15" t="e">
        <f t="shared" si="162"/>
        <v>#REF!</v>
      </c>
      <c r="AD151" s="16" t="e">
        <f t="shared" si="156"/>
        <v>#REF!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#REF!</v>
      </c>
      <c r="AY151" s="15" t="e">
        <f t="shared" si="179"/>
        <v>#REF!</v>
      </c>
      <c r="AZ151" s="15" t="e">
        <f t="shared" si="137"/>
        <v>#REF!</v>
      </c>
      <c r="BA151" s="15" t="e">
        <f>V151/J151</f>
        <v>#REF!</v>
      </c>
      <c r="BB151" s="15" t="e">
        <f t="shared" si="177"/>
        <v>#REF!</v>
      </c>
      <c r="BC151" s="15" t="e">
        <f t="shared" si="133"/>
        <v>#REF!</v>
      </c>
      <c r="BD151" s="1">
        <f t="shared" si="157"/>
        <v>0</v>
      </c>
    </row>
    <row r="152" spans="1:56" ht="12.75" thickBot="1" x14ac:dyDescent="0.25">
      <c r="A152" s="17"/>
      <c r="B152" s="17"/>
      <c r="C152" s="44">
        <v>42</v>
      </c>
      <c r="D152" s="18" t="e">
        <f>#REF!</f>
        <v>#REF!</v>
      </c>
      <c r="E152" s="19" t="e">
        <f>#REF!</f>
        <v>#REF!</v>
      </c>
      <c r="F152" s="19" t="e">
        <f>#REF!</f>
        <v>#REF!</v>
      </c>
      <c r="G152" s="19" t="e">
        <f>#REF!</f>
        <v>#REF!</v>
      </c>
      <c r="H152" s="19" t="e">
        <f>#REF!</f>
        <v>#REF!</v>
      </c>
      <c r="I152" s="19" t="e">
        <f>#REF!</f>
        <v>#REF!</v>
      </c>
      <c r="J152" s="19" t="e">
        <f>#REF!</f>
        <v>#REF!</v>
      </c>
      <c r="K152" s="19" t="e">
        <f>#REF!</f>
        <v>#REF!</v>
      </c>
      <c r="L152" s="19" t="e">
        <f>#REF!</f>
        <v>#REF!</v>
      </c>
      <c r="M152" s="19" t="e">
        <f>#REF!</f>
        <v>#REF!</v>
      </c>
      <c r="N152" s="20" t="e">
        <f t="shared" si="153"/>
        <v>#REF!</v>
      </c>
      <c r="P152" s="18" t="e">
        <f>#REF!</f>
        <v>#REF!</v>
      </c>
      <c r="Q152" s="19" t="e">
        <f>#REF!</f>
        <v>#REF!</v>
      </c>
      <c r="R152" s="19" t="e">
        <f>#REF!</f>
        <v>#REF!</v>
      </c>
      <c r="S152" s="19" t="e">
        <f>#REF!</f>
        <v>#REF!</v>
      </c>
      <c r="T152" s="19" t="e">
        <f>#REF!</f>
        <v>#REF!</v>
      </c>
      <c r="U152" s="52" t="e">
        <f>#REF!</f>
        <v>#REF!</v>
      </c>
      <c r="V152" s="19" t="e">
        <f>#REF!</f>
        <v>#REF!</v>
      </c>
      <c r="W152" s="19" t="e">
        <f>#REF!</f>
        <v>#REF!</v>
      </c>
      <c r="X152" s="19" t="e">
        <f>#REF!</f>
        <v>#REF!</v>
      </c>
      <c r="Y152" s="19" t="e">
        <f>#REF!</f>
        <v>#REF!</v>
      </c>
      <c r="Z152" s="20" t="e">
        <f t="shared" si="154"/>
        <v>#REF!</v>
      </c>
      <c r="AA152" s="19" t="e">
        <f t="shared" si="158"/>
        <v>#REF!</v>
      </c>
      <c r="AB152" s="19" t="e">
        <f t="shared" si="162"/>
        <v>#REF!</v>
      </c>
      <c r="AC152" s="19" t="e">
        <f t="shared" si="162"/>
        <v>#REF!</v>
      </c>
      <c r="AD152" s="20" t="e">
        <f t="shared" si="156"/>
        <v>#REF!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#REF!</v>
      </c>
      <c r="AY152" s="19" t="e">
        <f t="shared" si="179"/>
        <v>#REF!</v>
      </c>
      <c r="AZ152" s="19" t="e">
        <f t="shared" si="137"/>
        <v>#REF!</v>
      </c>
      <c r="BA152" s="19"/>
      <c r="BB152" s="19"/>
      <c r="BC152" s="19"/>
      <c r="BD152" s="1">
        <f t="shared" si="157"/>
        <v>0</v>
      </c>
    </row>
    <row r="153" spans="1:56" x14ac:dyDescent="0.2">
      <c r="B153" s="1" t="s">
        <v>40</v>
      </c>
      <c r="L153" s="12">
        <f>GEOMEAN(L3:L17)</f>
        <v>0.56791855189774076</v>
      </c>
      <c r="M153" s="12" t="e">
        <f>GEOMEAN(M3:M17)</f>
        <v>#REF!</v>
      </c>
      <c r="N153" s="12">
        <f>GEOMEAN(N3:N17)</f>
        <v>7.8025848950443052E-2</v>
      </c>
      <c r="X153" s="12">
        <f t="shared" ref="X153:AC153" si="180">GEOMEAN(X3:X17)</f>
        <v>0.67934977354319093</v>
      </c>
      <c r="Y153" s="12" t="e">
        <f t="shared" si="180"/>
        <v>#REF!</v>
      </c>
      <c r="Z153" s="12">
        <f t="shared" si="180"/>
        <v>0.81681230829723417</v>
      </c>
      <c r="AA153" s="67">
        <f t="shared" si="180"/>
        <v>10.468483448555878</v>
      </c>
      <c r="AB153" s="67">
        <f t="shared" si="180"/>
        <v>1.1962098636733993</v>
      </c>
      <c r="AC153" s="12" t="e">
        <f t="shared" si="180"/>
        <v>#REF!</v>
      </c>
      <c r="AD153" s="12">
        <f t="shared" ref="AD153" si="181">AVERAGE(AD3:AD17)</f>
        <v>1.4312377342488301E-3</v>
      </c>
      <c r="AF153" s="25">
        <f t="shared" ref="AF153:AW153" si="182">AVERAGE(AF3:AF17)</f>
        <v>-1.0116636496141733E-4</v>
      </c>
      <c r="AG153" s="30">
        <f t="shared" si="182"/>
        <v>4.2027654632778759E-3</v>
      </c>
      <c r="AH153" s="30">
        <f t="shared" si="182"/>
        <v>6.1090374070538562E-3</v>
      </c>
      <c r="AI153" s="25">
        <f t="shared" si="182"/>
        <v>-3.9707351594916079E-4</v>
      </c>
      <c r="AJ153" s="30">
        <f t="shared" si="182"/>
        <v>4.0993399307675355E-3</v>
      </c>
      <c r="AK153" s="30">
        <f t="shared" si="182"/>
        <v>5.8446412447494085E-3</v>
      </c>
      <c r="AL153" s="25">
        <f t="shared" ref="AL153:AQ153" si="183">AVERAGE(AL4:AL18)</f>
        <v>1.3025241606438401E-4</v>
      </c>
      <c r="AM153" s="30">
        <f t="shared" si="183"/>
        <v>4.3655229446141934E-3</v>
      </c>
      <c r="AN153" s="30">
        <f t="shared" si="183"/>
        <v>7.9830758138170008E-3</v>
      </c>
      <c r="AO153" s="25">
        <f t="shared" si="183"/>
        <v>-5.7665655175657504E-4</v>
      </c>
      <c r="AP153" s="30">
        <f t="shared" si="183"/>
        <v>4.3474938396383944E-3</v>
      </c>
      <c r="AQ153" s="30">
        <f t="shared" si="183"/>
        <v>6.917601463866478E-3</v>
      </c>
      <c r="AR153" s="25">
        <f t="shared" ref="AR153:AT153" si="184">AVERAGE(AR3:AR17)</f>
        <v>-3.668823108645321E-4</v>
      </c>
      <c r="AS153" s="30">
        <f t="shared" si="184"/>
        <v>3.2116625746172836E-3</v>
      </c>
      <c r="AT153" s="31">
        <f t="shared" si="184"/>
        <v>6.8368266141067462E-3</v>
      </c>
      <c r="AU153" s="25">
        <f t="shared" si="182"/>
        <v>-2.2889118944258158E-4</v>
      </c>
      <c r="AV153" s="30">
        <f t="shared" si="182"/>
        <v>3.271841801488947E-3</v>
      </c>
      <c r="AW153" s="31">
        <f t="shared" si="182"/>
        <v>8.2625753924736589E-3</v>
      </c>
      <c r="AX153" s="12">
        <f t="shared" ref="AX153:BC153" si="185">GEOMEAN(AX3:AX17)</f>
        <v>0.99995841646590267</v>
      </c>
      <c r="AY153" s="12">
        <f t="shared" si="185"/>
        <v>1.2337601379311067</v>
      </c>
      <c r="AZ153" s="12">
        <f t="shared" si="185"/>
        <v>13.928630120278468</v>
      </c>
      <c r="BA153" s="12">
        <f t="shared" si="185"/>
        <v>0.99996600139642966</v>
      </c>
      <c r="BB153" s="12">
        <f t="shared" si="185"/>
        <v>1.1755314951575153</v>
      </c>
      <c r="BC153" s="12">
        <f t="shared" si="185"/>
        <v>8.3361184365196266</v>
      </c>
    </row>
    <row r="154" spans="1:56" x14ac:dyDescent="0.2">
      <c r="B154" s="1" t="s">
        <v>41</v>
      </c>
      <c r="L154" s="12">
        <f>GEOMEAN(L18:L32)</f>
        <v>0.74249602810634086</v>
      </c>
      <c r="M154" s="12" t="e">
        <f>GEOMEAN(M18:M32)</f>
        <v>#REF!</v>
      </c>
      <c r="N154" s="12">
        <f>GEOMEAN(N18:N32)</f>
        <v>0.18138255623185662</v>
      </c>
      <c r="X154" s="12">
        <f t="shared" ref="X154:AC154" si="186">GEOMEAN(X18:X32)</f>
        <v>0.80516575339938823</v>
      </c>
      <c r="Y154" s="12" t="e">
        <f t="shared" si="186"/>
        <v>#REF!</v>
      </c>
      <c r="Z154" s="12">
        <f t="shared" si="186"/>
        <v>0.8154355970293129</v>
      </c>
      <c r="AA154" s="67">
        <f t="shared" si="186"/>
        <v>4.4956671356365865</v>
      </c>
      <c r="AB154" s="67">
        <f t="shared" si="186"/>
        <v>1.0844041219356824</v>
      </c>
      <c r="AC154" s="12" t="e">
        <f t="shared" si="186"/>
        <v>#REF!</v>
      </c>
      <c r="AD154" s="12">
        <f t="shared" ref="AD154" si="187">AVERAGE(AD18:AD32)</f>
        <v>1.2582977778037073E-3</v>
      </c>
      <c r="AF154" s="28">
        <f t="shared" ref="AF154:AK154" si="188">AVERAGE(AF18:AF32)</f>
        <v>-2.4949402190913944E-4</v>
      </c>
      <c r="AG154" s="32">
        <f t="shared" si="188"/>
        <v>4.7145262010617932E-3</v>
      </c>
      <c r="AH154" s="32">
        <f t="shared" si="188"/>
        <v>1.7688611518884567E-3</v>
      </c>
      <c r="AI154" s="28">
        <f t="shared" si="188"/>
        <v>4.2553781069287755E-4</v>
      </c>
      <c r="AJ154" s="32">
        <f t="shared" si="188"/>
        <v>8.4920750755489074E-3</v>
      </c>
      <c r="AK154" s="32">
        <f t="shared" si="188"/>
        <v>4.4553435141558477E-3</v>
      </c>
      <c r="AL154" s="28">
        <f t="shared" ref="AL154:AQ154" si="189">AVERAGE(AL19:AL33)</f>
        <v>-6.086748166126791E-5</v>
      </c>
      <c r="AM154" s="32">
        <f t="shared" si="189"/>
        <v>3.6880528645202304E-3</v>
      </c>
      <c r="AN154" s="32">
        <f t="shared" si="189"/>
        <v>1.1836964311239633E-3</v>
      </c>
      <c r="AO154" s="28">
        <f t="shared" si="189"/>
        <v>6.2759197054725513E-4</v>
      </c>
      <c r="AP154" s="32">
        <f t="shared" si="189"/>
        <v>8.6416473345904965E-3</v>
      </c>
      <c r="AQ154" s="32">
        <f t="shared" si="189"/>
        <v>4.9010332348468078E-3</v>
      </c>
      <c r="AR154" s="28">
        <f t="shared" ref="AR154:AW154" si="190">AVERAGE(AR18:AR32)</f>
        <v>-3.346211112922326E-4</v>
      </c>
      <c r="AS154" s="32">
        <f t="shared" si="190"/>
        <v>5.4393074154626868E-3</v>
      </c>
      <c r="AT154" s="33">
        <f t="shared" si="190"/>
        <v>1.8395867304861202E-3</v>
      </c>
      <c r="AU154" s="28">
        <f t="shared" si="190"/>
        <v>4.4505838631396046E-5</v>
      </c>
      <c r="AV154" s="32">
        <f t="shared" si="190"/>
        <v>7.2338175974887937E-3</v>
      </c>
      <c r="AW154" s="33">
        <f t="shared" si="190"/>
        <v>3.5763365560423921E-3</v>
      </c>
      <c r="AX154" s="12">
        <f t="shared" ref="AX154:BC154" si="191">GEOMEAN(AX18:AX32)</f>
        <v>0.99985165942299203</v>
      </c>
      <c r="AY154" s="12">
        <f t="shared" si="191"/>
        <v>1.1031170283501128</v>
      </c>
      <c r="AZ154" s="12">
        <f t="shared" si="191"/>
        <v>5.1907802526408684</v>
      </c>
      <c r="BA154" s="12">
        <f t="shared" si="191"/>
        <v>0.99996541395708394</v>
      </c>
      <c r="BB154" s="12">
        <f t="shared" si="191"/>
        <v>1.0685760115856107</v>
      </c>
      <c r="BC154" s="12">
        <f t="shared" si="191"/>
        <v>4.0554546988519595</v>
      </c>
    </row>
    <row r="155" spans="1:56" x14ac:dyDescent="0.2">
      <c r="B155" s="1" t="s">
        <v>1</v>
      </c>
      <c r="L155" s="12">
        <f>GEOMEAN(L33:L57)</f>
        <v>0.267610269096556</v>
      </c>
      <c r="M155" s="12" t="e">
        <f>GEOMEAN(M33:M57)</f>
        <v>#REF!</v>
      </c>
      <c r="N155" s="12">
        <f>GEOMEAN(N33:N57)</f>
        <v>5.5112181339232104E-2</v>
      </c>
      <c r="X155" s="12">
        <f>GEOMEAN(X33:X57)</f>
        <v>0.28933536277856153</v>
      </c>
      <c r="Y155" s="12" t="e">
        <f>GEOMEAN(Y33:Y57)</f>
        <v>#REF!</v>
      </c>
      <c r="Z155" s="12">
        <f>GEOMEAN(Z33:Z57)</f>
        <v>0.27503590273764156</v>
      </c>
      <c r="AA155" s="67">
        <f t="shared" ref="AA155:AC155" si="192">GEOMEAN(AA33:AA57)</f>
        <v>4.9904739034862828</v>
      </c>
      <c r="AB155" s="67">
        <f t="shared" si="192"/>
        <v>1.0811818386317864</v>
      </c>
      <c r="AC155" s="12" t="e">
        <f t="shared" si="192"/>
        <v>#REF!</v>
      </c>
      <c r="AD155" s="12">
        <f>AVERAGE(AD33:AD57)</f>
        <v>2.8536043621395584E-3</v>
      </c>
      <c r="AF155" s="28">
        <f>AVERAGE(AF33:AF57)</f>
        <v>6.3771394885527857E-4</v>
      </c>
      <c r="AG155" s="32">
        <f t="shared" ref="AG155:AH155" si="193">AVERAGE(AG33:AG57)</f>
        <v>3.4671137347368707E-3</v>
      </c>
      <c r="AH155" s="32">
        <f t="shared" si="193"/>
        <v>3.2627915887679881E-3</v>
      </c>
      <c r="AI155" s="28">
        <f>AVERAGE(AI33:AI57)</f>
        <v>1.1419050677283771E-3</v>
      </c>
      <c r="AJ155" s="32">
        <f t="shared" ref="AJ155:AK155" si="194">AVERAGE(AJ33:AJ57)</f>
        <v>1.7367894098439419E-3</v>
      </c>
      <c r="AK155" s="32">
        <f t="shared" si="194"/>
        <v>5.1384555060307591E-3</v>
      </c>
      <c r="AL155" s="28">
        <f t="shared" ref="AL155:AQ155" si="195">AVERAGE(AL34:AL58)</f>
        <v>6.5082310380450983E-4</v>
      </c>
      <c r="AM155" s="32">
        <f t="shared" si="195"/>
        <v>4.865247167159437E-3</v>
      </c>
      <c r="AN155" s="32">
        <f t="shared" si="195"/>
        <v>3.0729569968220849E-3</v>
      </c>
      <c r="AO155" s="28">
        <f t="shared" si="195"/>
        <v>1.2197690824748975E-3</v>
      </c>
      <c r="AP155" s="32">
        <f t="shared" si="195"/>
        <v>1.2219694515112956E-3</v>
      </c>
      <c r="AQ155" s="32">
        <f t="shared" si="195"/>
        <v>5.0738926881420451E-3</v>
      </c>
      <c r="AR155" s="28">
        <f t="shared" ref="AR155:AW155" si="196">AVERAGE(AR33:AR57)</f>
        <v>1.0972459111326937E-4</v>
      </c>
      <c r="AS155" s="32">
        <f t="shared" si="196"/>
        <v>8.7374019047061771E-4</v>
      </c>
      <c r="AT155" s="33">
        <f t="shared" si="196"/>
        <v>2.691326495915991E-3</v>
      </c>
      <c r="AU155" s="28">
        <f t="shared" si="196"/>
        <v>-3.6879940526866049E-4</v>
      </c>
      <c r="AV155" s="32">
        <f t="shared" si="196"/>
        <v>-1.390934176081271E-3</v>
      </c>
      <c r="AW155" s="33">
        <f t="shared" si="196"/>
        <v>8.3879358161806914E-4</v>
      </c>
      <c r="AX155" s="12">
        <f t="shared" ref="AX155:BC155" si="197">GEOMEAN(AX33:AX57)</f>
        <v>0.99994582396726184</v>
      </c>
      <c r="AY155" s="12">
        <f t="shared" si="197"/>
        <v>1.0778948357506322</v>
      </c>
      <c r="AZ155" s="12">
        <f t="shared" si="197"/>
        <v>5.8192012604835659</v>
      </c>
      <c r="BA155" s="12">
        <f t="shared" si="197"/>
        <v>0.99998329100958272</v>
      </c>
      <c r="BB155" s="12">
        <f t="shared" si="197"/>
        <v>1.1118505107604524</v>
      </c>
      <c r="BC155" s="12">
        <f t="shared" si="197"/>
        <v>4.146021015193103</v>
      </c>
    </row>
    <row r="156" spans="1:56" x14ac:dyDescent="0.2">
      <c r="B156" s="1" t="s">
        <v>5</v>
      </c>
      <c r="L156" s="12">
        <f>GEOMEAN(L58:L77)</f>
        <v>0.13626499920966528</v>
      </c>
      <c r="M156" s="12" t="e">
        <f>GEOMEAN(M58:M77)</f>
        <v>#REF!</v>
      </c>
      <c r="N156" s="12">
        <f>GEOMEAN(N58:N77)</f>
        <v>3.3794624845786637E-2</v>
      </c>
      <c r="X156" s="12">
        <f>GEOMEAN(X58:X77)</f>
        <v>0.15656688283651118</v>
      </c>
      <c r="Y156" s="12" t="e">
        <f>GEOMEAN(Y58:Y77)</f>
        <v>#REF!</v>
      </c>
      <c r="Z156" s="12">
        <f>GEOMEAN(Z58:Z77)</f>
        <v>0.10031689384684843</v>
      </c>
      <c r="AA156" s="67">
        <f t="shared" ref="AA156:AC156" si="198">GEOMEAN(AA58:AA77)</f>
        <v>2.9684275030310183</v>
      </c>
      <c r="AB156" s="67">
        <f t="shared" si="198"/>
        <v>1.1489882489604555</v>
      </c>
      <c r="AC156" s="12" t="e">
        <f t="shared" si="198"/>
        <v>#REF!</v>
      </c>
      <c r="AD156" s="12">
        <f>AVERAGE(AD58:AD77)</f>
        <v>3.577307239630722E-3</v>
      </c>
      <c r="AF156" s="28">
        <f>AVERAGE(AF58:AF77)</f>
        <v>1.091444023956667E-3</v>
      </c>
      <c r="AG156" s="32">
        <f t="shared" ref="AG156:AH156" si="199">AVERAGE(AG58:AG77)</f>
        <v>6.1990336654707545E-4</v>
      </c>
      <c r="AH156" s="32">
        <f t="shared" si="199"/>
        <v>-7.1000095119503892E-3</v>
      </c>
      <c r="AI156" s="28">
        <f>AVERAGE(AI58:AI77)</f>
        <v>4.4093441396311495E-3</v>
      </c>
      <c r="AJ156" s="32">
        <f t="shared" ref="AJ156:AK156" si="200">AVERAGE(AJ58:AJ77)</f>
        <v>3.562907115821079E-3</v>
      </c>
      <c r="AK156" s="32">
        <f t="shared" si="200"/>
        <v>-1.2120493448448344E-2</v>
      </c>
      <c r="AL156" s="28">
        <f t="shared" ref="AL156:AQ156" si="201">AVERAGE(AL59:AL78)</f>
        <v>1.2021416086463177E-3</v>
      </c>
      <c r="AM156" s="32">
        <f t="shared" si="201"/>
        <v>1.7950344210768965E-3</v>
      </c>
      <c r="AN156" s="32">
        <f t="shared" si="201"/>
        <v>-7.8628355482459611E-3</v>
      </c>
      <c r="AO156" s="28">
        <f t="shared" si="201"/>
        <v>4.5490193452658589E-3</v>
      </c>
      <c r="AP156" s="32">
        <f t="shared" si="201"/>
        <v>2.4993456367006228E-3</v>
      </c>
      <c r="AQ156" s="32">
        <f t="shared" si="201"/>
        <v>-1.2682229209048629E-2</v>
      </c>
      <c r="AR156" s="28">
        <f t="shared" ref="AR156:AW156" si="202">AVERAGE(AR58:AR77)</f>
        <v>8.6519735542914256E-4</v>
      </c>
      <c r="AS156" s="32">
        <f t="shared" si="202"/>
        <v>3.4038037347703387E-3</v>
      </c>
      <c r="AT156" s="33">
        <f t="shared" si="202"/>
        <v>-4.9263276302490278E-3</v>
      </c>
      <c r="AU156" s="28">
        <f t="shared" si="202"/>
        <v>3.6001895620828839E-3</v>
      </c>
      <c r="AV156" s="32">
        <f t="shared" si="202"/>
        <v>-2.9057974132010445E-3</v>
      </c>
      <c r="AW156" s="33">
        <f t="shared" si="202"/>
        <v>4.3277564560140203E-3</v>
      </c>
      <c r="AX156" s="12">
        <f t="shared" ref="AX156:BC156" si="203">GEOMEAN(AX58:AX77)</f>
        <v>1.0001803004575465</v>
      </c>
      <c r="AY156" s="12">
        <f t="shared" si="203"/>
        <v>1.1483642653485002</v>
      </c>
      <c r="AZ156" s="12">
        <f t="shared" si="203"/>
        <v>3.3271525082970999</v>
      </c>
      <c r="BA156" s="12">
        <f t="shared" si="203"/>
        <v>1.0001523837530615</v>
      </c>
      <c r="BB156" s="12">
        <f t="shared" si="203"/>
        <v>1.1597401559778306</v>
      </c>
      <c r="BC156" s="12">
        <f t="shared" si="203"/>
        <v>2.423203257973372</v>
      </c>
    </row>
    <row r="157" spans="1:56" x14ac:dyDescent="0.2">
      <c r="B157" s="1" t="s">
        <v>6</v>
      </c>
      <c r="L157" s="12">
        <f>GEOMEAN(L78:L97)</f>
        <v>9.5889189508295961E-2</v>
      </c>
      <c r="M157" s="12" t="e">
        <f>GEOMEAN(M78:M97)</f>
        <v>#REF!</v>
      </c>
      <c r="N157" s="12">
        <f>GEOMEAN(N78:N97)</f>
        <v>1.0890060313224374E-2</v>
      </c>
      <c r="X157" s="12">
        <f>GEOMEAN(X78:X97)</f>
        <v>0.119242149848199</v>
      </c>
      <c r="Y157" s="12" t="e">
        <f>GEOMEAN(Y78:Y97)</f>
        <v>#REF!</v>
      </c>
      <c r="Z157" s="12">
        <f>GEOMEAN(Z78:Z97)</f>
        <v>3.0553967780409572E-2</v>
      </c>
      <c r="AA157" s="67">
        <f t="shared" ref="AA157:AC157" si="204">GEOMEAN(AA78:AA97)</f>
        <v>2.805674799000542</v>
      </c>
      <c r="AB157" s="67">
        <f t="shared" si="204"/>
        <v>1.2435411171963513</v>
      </c>
      <c r="AC157" s="12" t="e">
        <f t="shared" si="204"/>
        <v>#REF!</v>
      </c>
      <c r="AD157" s="12">
        <f>AVERAGE(AD78:AD97)</f>
        <v>6.2035254134711363E-3</v>
      </c>
      <c r="AF157" s="28">
        <f>AVERAGE(AF78:AF97)</f>
        <v>-6.7458592122343619E-5</v>
      </c>
      <c r="AG157" s="32">
        <f t="shared" ref="AG157:AH157" si="205">AVERAGE(AG78:AG97)</f>
        <v>-3.7170037299356917E-3</v>
      </c>
      <c r="AH157" s="32">
        <f t="shared" si="205"/>
        <v>-1.0191400309722293E-2</v>
      </c>
      <c r="AI157" s="28">
        <f>AVERAGE(AI78:AI97)</f>
        <v>-2.378946631487272E-3</v>
      </c>
      <c r="AJ157" s="32">
        <f t="shared" ref="AJ157:AK157" si="206">AVERAGE(AJ78:AJ97)</f>
        <v>1.6311901718380206E-3</v>
      </c>
      <c r="AK157" s="32">
        <f t="shared" si="206"/>
        <v>-1.1235292391248736E-2</v>
      </c>
      <c r="AL157" s="28">
        <f t="shared" ref="AL157:AQ157" si="207">AVERAGE(AL79:AL98)</f>
        <v>-8.8907135454618924E-5</v>
      </c>
      <c r="AM157" s="32">
        <f t="shared" si="207"/>
        <v>-7.4695057527945918E-3</v>
      </c>
      <c r="AN157" s="32">
        <f t="shared" si="207"/>
        <v>-1.8369049036564611E-2</v>
      </c>
      <c r="AO157" s="28">
        <f t="shared" si="207"/>
        <v>-2.2372142198725797E-3</v>
      </c>
      <c r="AP157" s="32">
        <f t="shared" si="207"/>
        <v>-1.3988620945767916E-4</v>
      </c>
      <c r="AQ157" s="32">
        <f t="shared" si="207"/>
        <v>-1.6924496799081618E-2</v>
      </c>
      <c r="AR157" s="28">
        <f t="shared" ref="AR157:AW157" si="208">AVERAGE(AR78:AR97)</f>
        <v>1.1402055663612409E-3</v>
      </c>
      <c r="AS157" s="32">
        <f t="shared" si="208"/>
        <v>-6.7499930752433768E-3</v>
      </c>
      <c r="AT157" s="33">
        <f t="shared" si="208"/>
        <v>-1.2237884152987377E-2</v>
      </c>
      <c r="AU157" s="28">
        <f t="shared" si="208"/>
        <v>3.30615776776369E-3</v>
      </c>
      <c r="AV157" s="32">
        <f t="shared" si="208"/>
        <v>-5.1822175722776587E-5</v>
      </c>
      <c r="AW157" s="33">
        <f t="shared" si="208"/>
        <v>-1.8724947529047464E-2</v>
      </c>
      <c r="AX157" s="12">
        <f t="shared" ref="AX157:BC157" si="209">GEOMEAN(AX78:AX97)</f>
        <v>1.0002143287660215</v>
      </c>
      <c r="AY157" s="12">
        <f t="shared" si="209"/>
        <v>1.1740611292870242</v>
      </c>
      <c r="AZ157" s="12">
        <f t="shared" si="209"/>
        <v>3.1510236900906752</v>
      </c>
      <c r="BA157" s="12">
        <f t="shared" si="209"/>
        <v>1.0002195707263599</v>
      </c>
      <c r="BB157" s="12">
        <f t="shared" si="209"/>
        <v>1.2725634581513834</v>
      </c>
      <c r="BC157" s="12">
        <f t="shared" si="209"/>
        <v>2.3967763387155934</v>
      </c>
    </row>
    <row r="158" spans="1:56" x14ac:dyDescent="0.2">
      <c r="B158" s="1" t="s">
        <v>7</v>
      </c>
      <c r="L158" s="12">
        <f>GEOMEAN(L98:L112)</f>
        <v>0.15521816916432501</v>
      </c>
      <c r="M158" s="12" t="e">
        <f>GEOMEAN(M98:M112)</f>
        <v>#REF!</v>
      </c>
      <c r="N158" s="12">
        <f>GEOMEAN(N98:N112)</f>
        <v>3.1162347024011799E-2</v>
      </c>
      <c r="X158" s="12">
        <f>GEOMEAN(X98:X112)</f>
        <v>0.16010121467925054</v>
      </c>
      <c r="Y158" s="12" t="e">
        <f>GEOMEAN(Y98:Y112)</f>
        <v>#REF!</v>
      </c>
      <c r="Z158" s="12">
        <f>GEOMEAN(Z98:Z112)</f>
        <v>0.13422580686329061</v>
      </c>
      <c r="AA158" s="67">
        <f t="shared" ref="AA158:AC158" si="210">GEOMEAN(AA98:AA112)</f>
        <v>4.3073073655159675</v>
      </c>
      <c r="AB158" s="67">
        <f t="shared" si="210"/>
        <v>1.0314592392193209</v>
      </c>
      <c r="AC158" s="12" t="e">
        <f t="shared" si="210"/>
        <v>#REF!</v>
      </c>
      <c r="AD158" s="12">
        <f>AVERAGE(AD98:AD109)</f>
        <v>6.3321424287681545E-3</v>
      </c>
      <c r="AF158" s="28">
        <f>AVERAGE(AF98:AF109)</f>
        <v>3.1859625405894487E-4</v>
      </c>
      <c r="AG158" s="32">
        <f t="shared" ref="AG158:AH158" si="211">AVERAGE(AG98:AG109)</f>
        <v>-2.0112693689720018E-3</v>
      </c>
      <c r="AH158" s="32">
        <f t="shared" si="211"/>
        <v>-3.7337042175866753E-4</v>
      </c>
      <c r="AI158" s="28">
        <f>AVERAGE(AI98:AI109)</f>
        <v>-3.2991380887570365E-3</v>
      </c>
      <c r="AJ158" s="32">
        <f t="shared" ref="AJ158:AK158" si="212">AVERAGE(AJ98:AJ109)</f>
        <v>1.9314048696074486E-3</v>
      </c>
      <c r="AK158" s="32">
        <f t="shared" si="212"/>
        <v>-1.0196569224405186E-2</v>
      </c>
      <c r="AL158" s="28">
        <f t="shared" ref="AL158:AQ158" si="213">AVERAGE(AL99:AL110)</f>
        <v>1.8485433343740088E-4</v>
      </c>
      <c r="AM158" s="32">
        <f t="shared" si="213"/>
        <v>-5.090373946000093E-3</v>
      </c>
      <c r="AN158" s="32">
        <f t="shared" si="213"/>
        <v>5.9333487650444405E-4</v>
      </c>
      <c r="AO158" s="28">
        <f t="shared" si="213"/>
        <v>-4.122248487069065E-3</v>
      </c>
      <c r="AP158" s="32">
        <f t="shared" si="213"/>
        <v>1.8536527415943249E-3</v>
      </c>
      <c r="AQ158" s="32">
        <f t="shared" si="213"/>
        <v>-9.4987964399719429E-3</v>
      </c>
      <c r="AR158" s="28">
        <f t="shared" ref="AR158:AW158" si="214">AVERAGE(AR98:AR109)</f>
        <v>5.2106706629732415E-5</v>
      </c>
      <c r="AS158" s="32">
        <f t="shared" si="214"/>
        <v>-3.5249358754131745E-3</v>
      </c>
      <c r="AT158" s="33">
        <f t="shared" si="214"/>
        <v>5.1440583286262631E-4</v>
      </c>
      <c r="AU158" s="28">
        <f t="shared" si="214"/>
        <v>-1.5354211980478742E-3</v>
      </c>
      <c r="AV158" s="32">
        <f t="shared" si="214"/>
        <v>-5.1875313806270711E-3</v>
      </c>
      <c r="AW158" s="33">
        <f t="shared" si="214"/>
        <v>-2.1604871968145347E-3</v>
      </c>
      <c r="AX158" s="12">
        <f t="shared" ref="AX158:BC158" si="215">GEOMEAN(AX98:AX112)</f>
        <v>1.000037108475893</v>
      </c>
      <c r="AY158" s="12">
        <f t="shared" si="215"/>
        <v>1.0220421743068397</v>
      </c>
      <c r="AZ158" s="12">
        <f t="shared" si="215"/>
        <v>4.6926911323917366</v>
      </c>
      <c r="BA158" s="12">
        <f t="shared" si="215"/>
        <v>1.0000531599382509</v>
      </c>
      <c r="BB158" s="12">
        <f t="shared" si="215"/>
        <v>1.0389493271178729</v>
      </c>
      <c r="BC158" s="12">
        <f t="shared" si="215"/>
        <v>3.8499663842845822</v>
      </c>
    </row>
    <row r="159" spans="1:56" x14ac:dyDescent="0.2">
      <c r="B159" s="1" t="s">
        <v>18</v>
      </c>
      <c r="L159" s="12">
        <f>GEOMEAN(L113:L132)</f>
        <v>0.18907085153660874</v>
      </c>
      <c r="M159" s="12" t="e">
        <f>GEOMEAN(M113:M132)</f>
        <v>#REF!</v>
      </c>
      <c r="N159" s="12">
        <f>GEOMEAN(N113:N132)</f>
        <v>3.7149803837682897E-2</v>
      </c>
      <c r="X159" s="12">
        <f>GEOMEAN(X113:X132)</f>
        <v>0.22195889197015886</v>
      </c>
      <c r="Y159" s="12" t="e">
        <f>GEOMEAN(Y113:Y132)</f>
        <v>#REF!</v>
      </c>
      <c r="Z159" s="12">
        <f>GEOMEAN(Z113:Z132)</f>
        <v>0.12823181390304544</v>
      </c>
      <c r="AA159" s="67">
        <f t="shared" ref="AA159:AC160" si="216">GEOMEAN(AA113:AA132)</f>
        <v>3.4517494214323023</v>
      </c>
      <c r="AB159" s="67">
        <f>GEOMEAN(AB113:AB132)</f>
        <v>1.1739455879436931</v>
      </c>
      <c r="AC159" s="12" t="e">
        <f>GEOMEAN(AC113:AC132)</f>
        <v>#REF!</v>
      </c>
      <c r="AD159" s="12">
        <f>AVERAGE(AD113:AD132)</f>
        <v>3.8026785800475736E-3</v>
      </c>
      <c r="AF159" s="28">
        <f>AVERAGE(AF113:AF132)</f>
        <v>-3.2819995588045936E-5</v>
      </c>
      <c r="AG159" s="32">
        <f t="shared" ref="AG159:AH159" si="217">AVERAGE(AG113:AG132)</f>
        <v>5.4086065868947375E-3</v>
      </c>
      <c r="AH159" s="32">
        <f t="shared" si="217"/>
        <v>2.2984431780577186E-3</v>
      </c>
      <c r="AI159" s="28">
        <f>AVERAGE(AI113:AI132)</f>
        <v>3.4626399877328851E-3</v>
      </c>
      <c r="AJ159" s="32">
        <f t="shared" ref="AJ159:AK159" si="218">AVERAGE(AJ113:AJ132)</f>
        <v>8.6239422128962795E-3</v>
      </c>
      <c r="AK159" s="32">
        <f t="shared" si="218"/>
        <v>-6.1402490902222606E-3</v>
      </c>
      <c r="AL159" s="28">
        <f t="shared" ref="AL159:AQ159" si="219">AVERAGE(AL114:AL132)</f>
        <v>-1.8097730834629178E-4</v>
      </c>
      <c r="AM159" s="32">
        <f t="shared" si="219"/>
        <v>9.0781865857426647E-3</v>
      </c>
      <c r="AN159" s="32">
        <f t="shared" si="219"/>
        <v>1.6968247726333596E-3</v>
      </c>
      <c r="AO159" s="28">
        <f t="shared" si="219"/>
        <v>3.7521831256885907E-3</v>
      </c>
      <c r="AP159" s="32">
        <f t="shared" si="219"/>
        <v>1.0639379791201914E-2</v>
      </c>
      <c r="AQ159" s="32">
        <f t="shared" si="219"/>
        <v>-7.310548732768235E-3</v>
      </c>
      <c r="AR159" s="28">
        <f t="shared" ref="AR159:AW159" si="220">AVERAGE(AR113:AR132)</f>
        <v>1.5694939973490418E-3</v>
      </c>
      <c r="AS159" s="32">
        <f t="shared" si="220"/>
        <v>5.3032299156925977E-3</v>
      </c>
      <c r="AT159" s="33">
        <f t="shared" si="220"/>
        <v>5.0404101260084766E-4</v>
      </c>
      <c r="AU159" s="28">
        <f t="shared" si="220"/>
        <v>4.3042956528998311E-3</v>
      </c>
      <c r="AV159" s="32">
        <f t="shared" si="220"/>
        <v>1.2231701276994744E-2</v>
      </c>
      <c r="AW159" s="33">
        <f t="shared" si="220"/>
        <v>-1.7927878086753141E-2</v>
      </c>
      <c r="AX159" s="12">
        <f t="shared" ref="AX159" si="221">GEOMEAN(AX113:AX132)</f>
        <v>1.0000650462572445</v>
      </c>
      <c r="AY159" s="12">
        <f>GEOMEAN(AY113:AY132)</f>
        <v>1.1904627308800315</v>
      </c>
      <c r="AZ159" s="12">
        <f>GEOMEAN(AZ113:AZ132)</f>
        <v>3.8031574226399094</v>
      </c>
      <c r="BA159" s="12">
        <f t="shared" ref="BA159" si="222">GEOMEAN(BA113:BA132)</f>
        <v>1.000091785791337</v>
      </c>
      <c r="BB159" s="12">
        <f>GEOMEAN(BB113:BB132)</f>
        <v>1.1444620657107885</v>
      </c>
      <c r="BC159" s="12">
        <f>GEOMEAN(BC113:BC132)</f>
        <v>3.0621217234636355</v>
      </c>
    </row>
    <row r="160" spans="1:56" ht="12.75" thickBot="1" x14ac:dyDescent="0.25">
      <c r="B160" s="1" t="s">
        <v>69</v>
      </c>
      <c r="L160" s="12" t="e">
        <f>GEOMEAN(L133:L152)</f>
        <v>#REF!</v>
      </c>
      <c r="M160" s="12" t="e">
        <f>GEOMEAN(M133:M152)</f>
        <v>#REF!</v>
      </c>
      <c r="N160" s="12" t="e">
        <f>GEOMEAN(N133:N152)</f>
        <v>#REF!</v>
      </c>
      <c r="X160" s="12" t="e">
        <f>GEOMEAN(X133:X152)</f>
        <v>#REF!</v>
      </c>
      <c r="Y160" s="12" t="e">
        <f>GEOMEAN(Y133:Y152)</f>
        <v>#REF!</v>
      </c>
      <c r="Z160" s="12" t="e">
        <f>GEOMEAN(Z133:Z152)</f>
        <v>#REF!</v>
      </c>
      <c r="AA160" s="12" t="e">
        <f>GEOMEAN(AA133:AA152)</f>
        <v>#REF!</v>
      </c>
      <c r="AB160" s="12" t="e">
        <f t="shared" si="216"/>
        <v>#REF!</v>
      </c>
      <c r="AC160" s="12" t="e">
        <f t="shared" si="216"/>
        <v>#REF!</v>
      </c>
      <c r="AD160" s="12" t="e">
        <f>AVERAGE(AD133:AD152)</f>
        <v>#REF!</v>
      </c>
      <c r="AF160" s="28" t="e">
        <f t="shared" ref="AF160:AW160" si="223">AVERAGE(AF133:AF152)</f>
        <v>#VALUE!</v>
      </c>
      <c r="AG160" s="32" t="e">
        <f t="shared" si="223"/>
        <v>#VALUE!</v>
      </c>
      <c r="AH160" s="32" t="e">
        <f t="shared" si="223"/>
        <v>#VALUE!</v>
      </c>
      <c r="AI160" s="28" t="e">
        <f t="shared" si="223"/>
        <v>#VALUE!</v>
      </c>
      <c r="AJ160" s="32" t="e">
        <f t="shared" si="223"/>
        <v>#VALUE!</v>
      </c>
      <c r="AK160" s="32" t="e">
        <f t="shared" si="223"/>
        <v>#VALUE!</v>
      </c>
      <c r="AL160" s="28" t="e">
        <f t="shared" si="223"/>
        <v>#VALUE!</v>
      </c>
      <c r="AM160" s="32" t="e">
        <f t="shared" si="223"/>
        <v>#VALUE!</v>
      </c>
      <c r="AN160" s="32" t="e">
        <f t="shared" si="223"/>
        <v>#VALUE!</v>
      </c>
      <c r="AO160" s="28" t="e">
        <f t="shared" si="223"/>
        <v>#VALUE!</v>
      </c>
      <c r="AP160" s="32" t="e">
        <f t="shared" si="223"/>
        <v>#VALUE!</v>
      </c>
      <c r="AQ160" s="32" t="e">
        <f t="shared" si="223"/>
        <v>#VALUE!</v>
      </c>
      <c r="AR160" s="28" t="e">
        <f t="shared" si="223"/>
        <v>#VALUE!</v>
      </c>
      <c r="AS160" s="32" t="e">
        <f t="shared" si="223"/>
        <v>#VALUE!</v>
      </c>
      <c r="AT160" s="32" t="e">
        <f t="shared" si="223"/>
        <v>#VALUE!</v>
      </c>
      <c r="AU160" s="28" t="e">
        <f t="shared" si="223"/>
        <v>#VALUE!</v>
      </c>
      <c r="AV160" s="32" t="e">
        <f t="shared" si="223"/>
        <v>#VALUE!</v>
      </c>
      <c r="AW160" s="32" t="e">
        <f t="shared" si="223"/>
        <v>#VALUE!</v>
      </c>
      <c r="AX160" s="12" t="e">
        <f>GEOMEAN(AX133:AX152)</f>
        <v>#REF!</v>
      </c>
      <c r="AY160" s="12">
        <f t="shared" ref="AY160:AZ160" si="224">GEOMEAN(AY114:AY133)</f>
        <v>1.1904627308800315</v>
      </c>
      <c r="AZ160" s="12">
        <f t="shared" si="224"/>
        <v>3.8031574226399094</v>
      </c>
      <c r="BA160" s="12" t="e">
        <f>GEOMEAN(BA133:BA152)</f>
        <v>#REF!</v>
      </c>
      <c r="BB160" s="12" t="e">
        <f>GEOMEAN(BB114:BB133)</f>
        <v>#REF!</v>
      </c>
      <c r="BC160" s="12" t="e">
        <f t="shared" ref="BC160" si="225">GEOMEAN(BC114:BC133)</f>
        <v>#REF!</v>
      </c>
    </row>
    <row r="161" spans="1:55" s="65" customFormat="1" ht="12.75" thickBot="1" x14ac:dyDescent="0.25">
      <c r="A161" s="61"/>
      <c r="B161" s="62" t="s">
        <v>8</v>
      </c>
      <c r="C161" s="62"/>
      <c r="D161" s="62"/>
      <c r="E161" s="62"/>
      <c r="F161" s="62"/>
      <c r="G161" s="62"/>
      <c r="H161" s="62"/>
      <c r="I161" s="62"/>
      <c r="J161" s="62"/>
      <c r="K161" s="62"/>
      <c r="L161" s="63">
        <f>GEOMEAN(L3:L77, L98:L112)</f>
        <v>0.28266220580485535</v>
      </c>
      <c r="M161" s="63" t="e">
        <f>GEOMEAN(M3:M77, M98:M112)</f>
        <v>#REF!</v>
      </c>
      <c r="N161" s="63">
        <f>GEOMEAN(N3:N77,N98:N112)</f>
        <v>5.8098890233294065E-2</v>
      </c>
      <c r="O161" s="62"/>
      <c r="P161" s="62"/>
      <c r="Q161" s="62"/>
      <c r="R161" s="62"/>
      <c r="S161" s="62"/>
      <c r="T161" s="62"/>
      <c r="U161" s="62"/>
      <c r="V161" s="62"/>
      <c r="W161" s="62"/>
      <c r="X161" s="63">
        <f>GEOMEAN(X3:X77,X98:X112)</f>
        <v>0.31272501805824349</v>
      </c>
      <c r="Y161" s="63" t="e">
        <f>GEOMEAN(Y3:Y77,Y98:Y112)</f>
        <v>#REF!</v>
      </c>
      <c r="Z161" s="63">
        <f>GEOMEAN(Z3:Z77,Z98:Z112)</f>
        <v>0.28027387565696571</v>
      </c>
      <c r="AA161" s="63">
        <f>GEOMEAN(AA3:AA77,AA98:AA112)</f>
        <v>4.8240831198588436</v>
      </c>
      <c r="AB161" s="63">
        <f>GEOMEAN(AB3:AB77,AB98:AB112)</f>
        <v>1.1063559670730898</v>
      </c>
      <c r="AC161" s="63" t="e">
        <f>GEOMEAN(AC3:AC77,AC133:AC152)</f>
        <v>#REF!</v>
      </c>
      <c r="AD161" s="63">
        <f t="shared" ref="AD161" si="226">AVERAGE(AD3:AD77,AD98:AD112)</f>
        <v>3.0146474551123515E-3</v>
      </c>
      <c r="AE161" s="62"/>
      <c r="AF161" s="64">
        <f>AVERAGE(AF3:AF132)</f>
        <v>2.7142458041641028E-4</v>
      </c>
      <c r="AG161" s="64">
        <f t="shared" ref="AG161:AW161" si="227">AVERAGE(AG3:AG132)</f>
        <v>1.8192177097619939E-3</v>
      </c>
      <c r="AH161" s="64">
        <f t="shared" si="227"/>
        <v>-8.1324323919496067E-4</v>
      </c>
      <c r="AI161" s="64">
        <f t="shared" si="227"/>
        <v>6.8729438231188373E-4</v>
      </c>
      <c r="AJ161" s="64">
        <f t="shared" si="227"/>
        <v>4.1355601799697266E-3</v>
      </c>
      <c r="AK161" s="64">
        <f t="shared" si="227"/>
        <v>-3.5377544456162832E-3</v>
      </c>
      <c r="AL161" s="64">
        <f t="shared" si="227"/>
        <v>2.9791776853560492E-4</v>
      </c>
      <c r="AM161" s="64">
        <f t="shared" si="227"/>
        <v>1.8011808631269251E-3</v>
      </c>
      <c r="AN161" s="64">
        <f t="shared" si="227"/>
        <v>-2.0575051115485463E-3</v>
      </c>
      <c r="AO161" s="64">
        <f t="shared" si="227"/>
        <v>6.9772535430256966E-4</v>
      </c>
      <c r="AP161" s="64">
        <f t="shared" si="227"/>
        <v>3.9474456107232905E-3</v>
      </c>
      <c r="AQ161" s="64">
        <f t="shared" si="227"/>
        <v>-4.4361584902561412E-3</v>
      </c>
      <c r="AR161" s="64">
        <f t="shared" si="227"/>
        <v>4.9615463405934426E-4</v>
      </c>
      <c r="AS161" s="64">
        <f t="shared" si="227"/>
        <v>1.0605755998935274E-3</v>
      </c>
      <c r="AT161" s="64">
        <f t="shared" si="227"/>
        <v>-9.8506127194599217E-4</v>
      </c>
      <c r="AU161" s="64">
        <f t="shared" si="227"/>
        <v>1.4553521253101976E-3</v>
      </c>
      <c r="AV161" s="64">
        <f t="shared" si="227"/>
        <v>1.7729246125742055E-3</v>
      </c>
      <c r="AW161" s="64">
        <f t="shared" si="227"/>
        <v>-3.6950397875365939E-3</v>
      </c>
      <c r="AX161" s="63">
        <f>GEOMEAN(AX3:AX77,AX98:AX112)</f>
        <v>0.99999954248589751</v>
      </c>
      <c r="AY161" s="63" t="e">
        <f>GEOMEAN(AY3:AY77,AY133:AY152)</f>
        <v>#REF!</v>
      </c>
      <c r="AZ161" s="63" t="e">
        <f>GEOMEAN(AZ3:AZ77,AZ133:AZ152)</f>
        <v>#REF!</v>
      </c>
      <c r="BA161" s="63">
        <f>GEOMEAN(BA3:BA77,BA98:BA112)</f>
        <v>1.0000266481902524</v>
      </c>
      <c r="BB161" s="63">
        <f>GEOMEAN(BB3:BB77,BB98:BB112)</f>
        <v>1.1126674565847081</v>
      </c>
      <c r="BC161" s="63">
        <f>GEOMEAN(BC3:BC77,BC98:BC112)</f>
        <v>4.0681254045722204</v>
      </c>
    </row>
    <row r="162" spans="1:55" x14ac:dyDescent="0.2">
      <c r="B162" s="1" t="s">
        <v>9</v>
      </c>
      <c r="L162" s="22">
        <f>GEOMEAN(L3:L132)</f>
        <v>0.22499304243530741</v>
      </c>
      <c r="M162" s="22" t="e">
        <f>GEOMEAN(M3:M132)</f>
        <v>#REF!</v>
      </c>
      <c r="N162" s="22">
        <f>GEOMEAN(N3:N132)</f>
        <v>4.1920056355160377E-2</v>
      </c>
      <c r="X162" s="22">
        <f>GEOMEAN(X3:X132)</f>
        <v>0.25576200343796546</v>
      </c>
      <c r="Y162" s="22" t="e">
        <f>GEOMEAN(Y3:Y132)</f>
        <v>#REF!</v>
      </c>
      <c r="Z162" s="22">
        <f>GEOMEAN(Z3:Z132)</f>
        <v>0.17670924023682133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t="12.75" thickBot="1" x14ac:dyDescent="0.25">
      <c r="B163" s="1" t="s">
        <v>10</v>
      </c>
      <c r="X163" s="23">
        <f>X162/L162</f>
        <v>1.1367551666025633</v>
      </c>
      <c r="Y163" s="23" t="e">
        <f>Y162/M162</f>
        <v>#REF!</v>
      </c>
      <c r="Z163" s="23">
        <f>Z162/N162</f>
        <v>4.2153865142661804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t="12.75" thickBot="1" x14ac:dyDescent="0.25">
      <c r="B164" s="1" t="s">
        <v>11</v>
      </c>
      <c r="L164" s="22"/>
      <c r="M164" s="22"/>
      <c r="N164" s="22"/>
      <c r="X164" s="22"/>
      <c r="Y164" s="22"/>
      <c r="Z164" s="22"/>
      <c r="AA164" s="63">
        <f>GEOMEAN(AA58:AA132)</f>
        <v>3.2794573189807696</v>
      </c>
      <c r="AB164" s="63">
        <f>GEOMEAN(AB58:AB132)</f>
        <v>1.1550215005816624</v>
      </c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x14ac:dyDescent="0.2">
      <c r="B167" s="1" t="s">
        <v>40</v>
      </c>
      <c r="L167" s="12">
        <f>SUM(L$3:L$17)</f>
        <v>8.984</v>
      </c>
      <c r="M167" s="12" t="e">
        <f>SUM(M$3:M$17)</f>
        <v>#REF!</v>
      </c>
      <c r="N167" s="12">
        <f>SUM(N$3:N$17)</f>
        <v>2.5893544444444445</v>
      </c>
      <c r="X167" s="12">
        <f>SUM(X$3:X$17)</f>
        <v>10.684000000000001</v>
      </c>
      <c r="Y167" s="12" t="e">
        <f>SUM(Y$3:Y$17)</f>
        <v>#REF!</v>
      </c>
      <c r="Z167" s="12">
        <f>SUM(Z$3:Z$17)</f>
        <v>13.640094444444447</v>
      </c>
      <c r="AA167" s="12">
        <f>X167/L167</f>
        <v>1.1892252894033839</v>
      </c>
      <c r="AB167" s="12" t="e">
        <f t="shared" ref="AB167:AC174" si="228">X167/K167</f>
        <v>#DIV/0!</v>
      </c>
      <c r="AC167" s="12" t="e">
        <f t="shared" si="228"/>
        <v>#REF!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x14ac:dyDescent="0.2">
      <c r="B168" s="1" t="s">
        <v>41</v>
      </c>
      <c r="L168" s="12">
        <f>SUM(L$18:L$32)</f>
        <v>11.74</v>
      </c>
      <c r="M168" s="12" t="e">
        <f>SUM(M$18:M$32)</f>
        <v>#REF!</v>
      </c>
      <c r="N168" s="12">
        <f>SUM(N$18:N$32)</f>
        <v>4.2400486111111109</v>
      </c>
      <c r="X168" s="12">
        <f>SUM(X$18:X$32)</f>
        <v>12.647000000000002</v>
      </c>
      <c r="Y168" s="12" t="e">
        <f>SUM(Y$18:Y$32)</f>
        <v>#REF!</v>
      </c>
      <c r="Z168" s="12">
        <f>SUM(Z$18:Z$32)</f>
        <v>14.473926111111108</v>
      </c>
      <c r="AA168" s="12">
        <f t="shared" ref="AA168:AA184" si="229">X168/L168</f>
        <v>1.0772572402044294</v>
      </c>
      <c r="AB168" s="12" t="e">
        <f t="shared" si="228"/>
        <v>#DIV/0!</v>
      </c>
      <c r="AC168" s="12" t="e">
        <f t="shared" si="228"/>
        <v>#REF!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x14ac:dyDescent="0.2">
      <c r="B169" s="1" t="s">
        <v>1</v>
      </c>
      <c r="L169" s="12">
        <f>SUM(L$33:L$57)</f>
        <v>6.9190000000000005</v>
      </c>
      <c r="M169" s="12" t="e">
        <f>SUM(M$33:M$57)</f>
        <v>#REF!</v>
      </c>
      <c r="N169" s="12">
        <f>SUM(N$33:N$57)</f>
        <v>2.0734463888888892</v>
      </c>
      <c r="X169" s="12">
        <f>SUM(X$33:X$57)</f>
        <v>7.5960000000000001</v>
      </c>
      <c r="Y169" s="12" t="e">
        <f>SUM(Y$33:Y$57)</f>
        <v>#REF!</v>
      </c>
      <c r="Z169" s="12">
        <f>SUM(Z$33:Z$57)</f>
        <v>7.6313597222222231</v>
      </c>
      <c r="AA169" s="12">
        <f t="shared" si="229"/>
        <v>1.0978465096112153</v>
      </c>
      <c r="AB169" s="12" t="e">
        <f t="shared" si="228"/>
        <v>#DIV/0!</v>
      </c>
      <c r="AC169" s="12" t="e">
        <f t="shared" si="228"/>
        <v>#REF!</v>
      </c>
      <c r="AD169" s="12"/>
      <c r="AF169" s="21"/>
      <c r="AG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x14ac:dyDescent="0.2">
      <c r="B170" s="1" t="s">
        <v>5</v>
      </c>
      <c r="L170" s="12">
        <f>SUM(L$58:L$77)</f>
        <v>2.766</v>
      </c>
      <c r="M170" s="12" t="e">
        <f>SUM(M$58:M$77)</f>
        <v>#REF!</v>
      </c>
      <c r="N170" s="12">
        <f>SUM(N$58:N$77)</f>
        <v>0.77534444444444439</v>
      </c>
      <c r="X170" s="12">
        <f>SUM(X$58:X$77)</f>
        <v>3.2569999999999997</v>
      </c>
      <c r="Y170" s="12" t="e">
        <f>SUM(Y$58:Y$77)</f>
        <v>#REF!</v>
      </c>
      <c r="Z170" s="12">
        <f>SUM(Z$58:Z$77)</f>
        <v>2.0725727777777783</v>
      </c>
      <c r="AA170" s="12">
        <f t="shared" si="229"/>
        <v>1.1775126536514822</v>
      </c>
      <c r="AB170" s="12" t="e">
        <f t="shared" si="228"/>
        <v>#DIV/0!</v>
      </c>
      <c r="AC170" s="12" t="e">
        <f t="shared" si="228"/>
        <v>#REF!</v>
      </c>
      <c r="AD170" s="12"/>
      <c r="AF170" s="21"/>
      <c r="AG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x14ac:dyDescent="0.2">
      <c r="B171" s="1" t="s">
        <v>6</v>
      </c>
      <c r="L171" s="12">
        <f>SUM(L$78:L$97)</f>
        <v>1.929</v>
      </c>
      <c r="M171" s="12" t="e">
        <f>SUM(M$78:M$97)</f>
        <v>#REF!</v>
      </c>
      <c r="N171" s="12">
        <f>SUM(N$78:N$97)</f>
        <v>0.23996694444444444</v>
      </c>
      <c r="X171" s="12">
        <f>SUM(X$78:X$97)</f>
        <v>2.636000000000001</v>
      </c>
      <c r="Y171" s="12" t="e">
        <f>SUM(Y$78:Y$97)</f>
        <v>#REF!</v>
      </c>
      <c r="Z171" s="12">
        <f>SUM(Z$78:Z$97)</f>
        <v>0.62714805555555553</v>
      </c>
      <c r="AA171" s="12">
        <f t="shared" si="229"/>
        <v>1.3665111456713328</v>
      </c>
      <c r="AB171" s="12" t="e">
        <f t="shared" si="228"/>
        <v>#DIV/0!</v>
      </c>
      <c r="AC171" s="12" t="e">
        <f t="shared" si="228"/>
        <v>#REF!</v>
      </c>
      <c r="AD171" s="12"/>
      <c r="AF171" s="21"/>
      <c r="AG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x14ac:dyDescent="0.2">
      <c r="B172" s="1" t="s">
        <v>7</v>
      </c>
      <c r="L172" s="12">
        <f>SUM(L$98:L$112)</f>
        <v>2.355</v>
      </c>
      <c r="M172" s="12" t="e">
        <f>SUM(M$98:M$112)</f>
        <v>#REF!</v>
      </c>
      <c r="N172" s="12">
        <f>SUM(N$98:N$112)</f>
        <v>0.57748500000000014</v>
      </c>
      <c r="X172" s="12">
        <f>SUM(X$98:X$112)</f>
        <v>2.4539999999999997</v>
      </c>
      <c r="Y172" s="12" t="e">
        <f>SUM(Y$98:Y$112)</f>
        <v>#REF!</v>
      </c>
      <c r="Z172" s="12">
        <f>SUM(Z$98:Z$112)</f>
        <v>2.1883236111111111</v>
      </c>
      <c r="AA172" s="12">
        <f t="shared" si="229"/>
        <v>1.0420382165605095</v>
      </c>
      <c r="AB172" s="12" t="e">
        <f t="shared" si="228"/>
        <v>#DIV/0!</v>
      </c>
      <c r="AC172" s="12" t="e">
        <f t="shared" si="228"/>
        <v>#REF!</v>
      </c>
      <c r="AD172" s="12"/>
      <c r="AF172" s="21"/>
      <c r="AG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x14ac:dyDescent="0.2">
      <c r="B173" s="1" t="s">
        <v>18</v>
      </c>
      <c r="L173" s="12">
        <f>SUM(L$113:L$132)</f>
        <v>4.1050000000000004</v>
      </c>
      <c r="M173" s="12" t="e">
        <f>SUM(M$113:M$132)</f>
        <v>#REF!</v>
      </c>
      <c r="N173" s="12">
        <f>SUM(N$113:N$132)</f>
        <v>1.1453974999999998</v>
      </c>
      <c r="X173" s="12">
        <f>SUM(X$113:X$132)</f>
        <v>4.7909999999999995</v>
      </c>
      <c r="Y173" s="12" t="e">
        <f>SUM(Y$113:Y$132)</f>
        <v>#REF!</v>
      </c>
      <c r="Z173" s="12">
        <f>SUM(Z$113:Z$132)</f>
        <v>3.2609630555555555</v>
      </c>
      <c r="AA173" s="12">
        <f t="shared" si="229"/>
        <v>1.1671132764920826</v>
      </c>
      <c r="AB173" s="12" t="e">
        <f t="shared" si="228"/>
        <v>#DIV/0!</v>
      </c>
      <c r="AC173" s="12" t="e">
        <f t="shared" si="228"/>
        <v>#REF!</v>
      </c>
      <c r="AD173" s="12"/>
      <c r="AI173" s="21"/>
      <c r="AJ173" s="21"/>
      <c r="AX173" s="12"/>
      <c r="AY173" s="12"/>
      <c r="AZ173" s="12"/>
      <c r="BA173" s="12"/>
      <c r="BB173" s="12"/>
    </row>
    <row r="174" spans="1:55" x14ac:dyDescent="0.2">
      <c r="B174" s="1" t="s">
        <v>8</v>
      </c>
      <c r="L174" s="12">
        <f>SUM(L167:L173)</f>
        <v>38.798000000000002</v>
      </c>
      <c r="M174" s="12" t="e">
        <f>SUM(M167:M173)</f>
        <v>#REF!</v>
      </c>
      <c r="N174" s="12">
        <f>SUM(N167:N173)</f>
        <v>11.641043333333334</v>
      </c>
      <c r="X174" s="12">
        <f>SUM(X167:X173)</f>
        <v>44.065000000000005</v>
      </c>
      <c r="Y174" s="12" t="e">
        <f>SUM(Y167:Y173)</f>
        <v>#REF!</v>
      </c>
      <c r="Z174" s="12">
        <f>SUM(Z167:Z173)</f>
        <v>43.89438777777778</v>
      </c>
      <c r="AA174" s="12">
        <f t="shared" si="229"/>
        <v>1.1357544203309449</v>
      </c>
      <c r="AB174" s="12" t="e">
        <f t="shared" si="228"/>
        <v>#DIV/0!</v>
      </c>
      <c r="AC174" s="12" t="e">
        <f t="shared" si="228"/>
        <v>#REF!</v>
      </c>
      <c r="AD174" s="12"/>
      <c r="AI174" s="21"/>
      <c r="AJ174" s="21"/>
      <c r="AX174" s="12"/>
      <c r="AY174" s="12"/>
      <c r="AZ174" s="12"/>
      <c r="BA174" s="12"/>
      <c r="BB174" s="12"/>
    </row>
    <row r="175" spans="1:55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x14ac:dyDescent="0.2">
      <c r="B177" s="1" t="s">
        <v>40</v>
      </c>
      <c r="L177" s="12">
        <f>MAX(L$3:L$17)</f>
        <v>1.242</v>
      </c>
      <c r="M177" s="12" t="e">
        <f>MAX(M$3:M$17)</f>
        <v>#REF!</v>
      </c>
      <c r="N177" s="12">
        <f>MAX(N$3:N$17)</f>
        <v>0.84987500000000005</v>
      </c>
      <c r="X177" s="12">
        <f>MAX(X$3:X$17)</f>
        <v>1.4219999999999999</v>
      </c>
      <c r="Y177" s="12" t="e">
        <f>MAX(Y$3:Y$17)</f>
        <v>#REF!</v>
      </c>
      <c r="Z177" s="12">
        <f>MAX(Z$3:Z$17)</f>
        <v>1.833108611111111</v>
      </c>
      <c r="AA177" s="12">
        <f t="shared" si="229"/>
        <v>1.144927536231884</v>
      </c>
      <c r="AB177" s="12" t="e">
        <f t="shared" ref="AB177:AC184" si="230">X177/K177</f>
        <v>#DIV/0!</v>
      </c>
      <c r="AC177" s="12" t="e">
        <f t="shared" si="230"/>
        <v>#REF!</v>
      </c>
      <c r="AD177" s="12"/>
      <c r="AX177" s="12"/>
      <c r="AY177" s="12"/>
      <c r="AZ177" s="12"/>
      <c r="BA177" s="12"/>
      <c r="BB177" s="12"/>
    </row>
    <row r="178" spans="2:54" x14ac:dyDescent="0.2">
      <c r="B178" s="1" t="s">
        <v>41</v>
      </c>
      <c r="L178" s="12">
        <f>MAX(L$18:L$32)</f>
        <v>1.4510000000000001</v>
      </c>
      <c r="M178" s="12" t="e">
        <f>MAX(M$18:M$32)</f>
        <v>#REF!</v>
      </c>
      <c r="N178" s="12">
        <f>MAX(N$18:N$32)</f>
        <v>0.89146055555555548</v>
      </c>
      <c r="X178" s="12">
        <f>MAX(X$18:X$32)</f>
        <v>1.3280000000000001</v>
      </c>
      <c r="Y178" s="12" t="e">
        <f>MAX(Y$18:Y$32)</f>
        <v>#REF!</v>
      </c>
      <c r="Z178" s="12">
        <f>MAX(Z$18:Z$32)</f>
        <v>2.0375758333333334</v>
      </c>
      <c r="AA178" s="12">
        <f t="shared" si="229"/>
        <v>0.91523087525844249</v>
      </c>
      <c r="AB178" s="12" t="e">
        <f t="shared" si="230"/>
        <v>#DIV/0!</v>
      </c>
      <c r="AC178" s="12" t="e">
        <f t="shared" si="230"/>
        <v>#REF!</v>
      </c>
      <c r="AD178" s="12"/>
      <c r="AX178" s="12"/>
      <c r="AY178" s="12"/>
      <c r="AZ178" s="12"/>
      <c r="BA178" s="12"/>
      <c r="BB178" s="12"/>
    </row>
    <row r="179" spans="2:54" x14ac:dyDescent="0.2">
      <c r="B179" s="1" t="s">
        <v>1</v>
      </c>
      <c r="L179" s="12">
        <f>MAX(L$33:L$57)</f>
        <v>0.46800000000000003</v>
      </c>
      <c r="M179" s="12" t="e">
        <f>MAX(M$33:M$57)</f>
        <v>#REF!</v>
      </c>
      <c r="N179" s="12">
        <f>MAX(N$33:N$57)</f>
        <v>0.28732722222222218</v>
      </c>
      <c r="X179" s="12">
        <f>MAX(X$33:X$57)</f>
        <v>0.495</v>
      </c>
      <c r="Y179" s="12" t="e">
        <f>MAX(Y$33:Y$57)</f>
        <v>#REF!</v>
      </c>
      <c r="Z179" s="12">
        <f>MAX(Z$33:Z$57)</f>
        <v>0.62342277777777777</v>
      </c>
      <c r="AA179" s="12">
        <f t="shared" si="229"/>
        <v>1.0576923076923077</v>
      </c>
      <c r="AB179" s="12" t="e">
        <f t="shared" si="230"/>
        <v>#DIV/0!</v>
      </c>
      <c r="AC179" s="12" t="e">
        <f t="shared" si="230"/>
        <v>#REF!</v>
      </c>
      <c r="AD179" s="12"/>
      <c r="AG179" s="76" t="s">
        <v>97</v>
      </c>
      <c r="AH179" s="76" t="s">
        <v>98</v>
      </c>
      <c r="AI179" s="77" t="s">
        <v>99</v>
      </c>
      <c r="AX179" s="12"/>
      <c r="AY179" s="12"/>
      <c r="AZ179" s="12"/>
      <c r="BA179" s="12"/>
      <c r="BB179" s="12"/>
    </row>
    <row r="180" spans="2:54" x14ac:dyDescent="0.2">
      <c r="B180" s="1" t="s">
        <v>5</v>
      </c>
      <c r="L180" s="12">
        <f>MAX(L$58:L$77)</f>
        <v>0.19700000000000001</v>
      </c>
      <c r="M180" s="12" t="e">
        <f>MAX(M$58:M$77)</f>
        <v>#REF!</v>
      </c>
      <c r="N180" s="12">
        <f>MAX(N$58:N$77)</f>
        <v>7.4688611111111122E-2</v>
      </c>
      <c r="X180" s="12">
        <f>MAX(X$58:X$77)</f>
        <v>0.312</v>
      </c>
      <c r="Y180" s="12" t="e">
        <f>MAX(Y$58:Y$77)</f>
        <v>#REF!</v>
      </c>
      <c r="Z180" s="12">
        <f>MAX(Z$58:Z$77)</f>
        <v>0.20088750000000002</v>
      </c>
      <c r="AA180" s="12">
        <f t="shared" si="229"/>
        <v>1.5837563451776648</v>
      </c>
      <c r="AB180" s="12" t="e">
        <f t="shared" si="230"/>
        <v>#DIV/0!</v>
      </c>
      <c r="AC180" s="12" t="e">
        <f t="shared" si="230"/>
        <v>#REF!</v>
      </c>
      <c r="AD180" s="12"/>
      <c r="AG180" s="73" t="s">
        <v>5</v>
      </c>
      <c r="AH180" s="79">
        <v>2.9684275030310183</v>
      </c>
      <c r="AI180" s="74">
        <v>1.1489882489604555</v>
      </c>
      <c r="AX180" s="12"/>
      <c r="AY180" s="12"/>
      <c r="AZ180" s="12"/>
      <c r="BA180" s="12"/>
      <c r="BB180" s="12"/>
    </row>
    <row r="181" spans="2:54" x14ac:dyDescent="0.2">
      <c r="B181" s="1" t="s">
        <v>6</v>
      </c>
      <c r="L181" s="12">
        <f>MAX(L$78:L$97)</f>
        <v>0.13900000000000001</v>
      </c>
      <c r="M181" s="12" t="e">
        <f>MAX(M$78:M$97)</f>
        <v>#REF!</v>
      </c>
      <c r="N181" s="12">
        <f>MAX(N$78:N$97)</f>
        <v>2.1213055555555558E-2</v>
      </c>
      <c r="X181" s="12">
        <f>MAX(X$78:X$97)</f>
        <v>0.32200000000000001</v>
      </c>
      <c r="Y181" s="12" t="e">
        <f>MAX(Y$78:Y$97)</f>
        <v>#REF!</v>
      </c>
      <c r="Z181" s="12">
        <f>MAX(Z$78:Z$97)</f>
        <v>4.9643611111111118E-2</v>
      </c>
      <c r="AA181" s="12">
        <f t="shared" si="229"/>
        <v>2.3165467625899279</v>
      </c>
      <c r="AB181" s="12" t="e">
        <f t="shared" si="230"/>
        <v>#DIV/0!</v>
      </c>
      <c r="AC181" s="12" t="e">
        <f t="shared" si="230"/>
        <v>#REF!</v>
      </c>
      <c r="AD181" s="12"/>
      <c r="AG181" s="73" t="s">
        <v>6</v>
      </c>
      <c r="AH181" s="80">
        <v>2.805674799000542</v>
      </c>
      <c r="AI181" s="74">
        <v>1.2435411171963513</v>
      </c>
      <c r="AX181" s="12"/>
      <c r="AY181" s="12"/>
      <c r="AZ181" s="12"/>
      <c r="BA181" s="12"/>
      <c r="BB181" s="12"/>
    </row>
    <row r="182" spans="2:54" x14ac:dyDescent="0.2">
      <c r="B182" s="1" t="s">
        <v>7</v>
      </c>
      <c r="L182" s="12">
        <f>MAX(L$98:L$112)</f>
        <v>0.22500000000000001</v>
      </c>
      <c r="M182" s="12" t="e">
        <f>MAX(M$98:M$112)</f>
        <v>#REF!</v>
      </c>
      <c r="N182" s="12">
        <f>MAX(N$98:N$112)</f>
        <v>9.7731388888888895E-2</v>
      </c>
      <c r="X182" s="12">
        <f>MAX(X$98:X$112)</f>
        <v>0.25800000000000001</v>
      </c>
      <c r="Y182" s="12" t="e">
        <f>MAX(Y$98:Y$112)</f>
        <v>#REF!</v>
      </c>
      <c r="Z182" s="12">
        <f>MAX(Z$98:Z$112)</f>
        <v>0.2756805555555556</v>
      </c>
      <c r="AA182" s="12">
        <f t="shared" si="229"/>
        <v>1.1466666666666667</v>
      </c>
      <c r="AB182" s="12" t="e">
        <f t="shared" si="230"/>
        <v>#DIV/0!</v>
      </c>
      <c r="AC182" s="12" t="e">
        <f t="shared" si="230"/>
        <v>#REF!</v>
      </c>
      <c r="AD182" s="12"/>
      <c r="AG182" s="73" t="s">
        <v>7</v>
      </c>
      <c r="AH182" s="80">
        <v>4.3073073655159675</v>
      </c>
      <c r="AI182" s="74">
        <v>1.0314592392193209</v>
      </c>
      <c r="AX182" s="12"/>
      <c r="AY182" s="12"/>
      <c r="AZ182" s="12"/>
      <c r="BA182" s="12"/>
      <c r="BB182" s="12"/>
    </row>
    <row r="183" spans="2:54" x14ac:dyDescent="0.2">
      <c r="B183" s="1" t="s">
        <v>18</v>
      </c>
      <c r="L183" s="12">
        <f>MAX(L$113:L$132)</f>
        <v>0.47</v>
      </c>
      <c r="M183" s="12" t="e">
        <f>MAX(M$113:M$132)</f>
        <v>#REF!</v>
      </c>
      <c r="N183" s="12">
        <f>MAX(N$113:N$132)</f>
        <v>0.28223666666666669</v>
      </c>
      <c r="X183" s="12">
        <f>MAX(X$113:X$132)</f>
        <v>0.46800000000000003</v>
      </c>
      <c r="Y183" s="12" t="e">
        <f>MAX(Y$113:Y$132)</f>
        <v>#REF!</v>
      </c>
      <c r="Z183" s="12">
        <f>MAX(Z$113:Z$132)</f>
        <v>0.54613833333333328</v>
      </c>
      <c r="AA183" s="12">
        <f t="shared" si="229"/>
        <v>0.99574468085106393</v>
      </c>
      <c r="AB183" s="12" t="e">
        <f t="shared" si="230"/>
        <v>#DIV/0!</v>
      </c>
      <c r="AC183" s="12" t="e">
        <f t="shared" si="230"/>
        <v>#REF!</v>
      </c>
      <c r="AD183" s="12"/>
      <c r="AG183" s="75" t="s">
        <v>18</v>
      </c>
      <c r="AH183" s="80">
        <v>3.4517494214323023</v>
      </c>
      <c r="AI183" s="74">
        <v>1.1739455879436931</v>
      </c>
      <c r="AX183" s="12"/>
      <c r="AY183" s="12"/>
      <c r="AZ183" s="12"/>
      <c r="BA183" s="12"/>
      <c r="BB183" s="12"/>
    </row>
    <row r="184" spans="2:54" x14ac:dyDescent="0.2">
      <c r="B184" s="1" t="s">
        <v>8</v>
      </c>
      <c r="L184" s="12">
        <f>MAX(L177:L183)</f>
        <v>1.4510000000000001</v>
      </c>
      <c r="M184" s="12" t="e">
        <f>MAX(M177:M183)</f>
        <v>#REF!</v>
      </c>
      <c r="N184" s="12">
        <f>MAX(N177:N183)</f>
        <v>0.89146055555555548</v>
      </c>
      <c r="X184" s="12">
        <f>MAX(X177:X183)</f>
        <v>1.4219999999999999</v>
      </c>
      <c r="Y184" s="12" t="e">
        <f>MAX(Y177:Y183)</f>
        <v>#REF!</v>
      </c>
      <c r="Z184" s="12">
        <f>MAX(Z177:Z183)</f>
        <v>2.0375758333333334</v>
      </c>
      <c r="AA184" s="12">
        <f t="shared" si="229"/>
        <v>0.98001378359751889</v>
      </c>
      <c r="AB184" s="12" t="e">
        <f t="shared" si="230"/>
        <v>#DIV/0!</v>
      </c>
      <c r="AC184" s="12" t="e">
        <f t="shared" si="230"/>
        <v>#REF!</v>
      </c>
      <c r="AD184" s="12"/>
      <c r="AG184" s="73" t="s">
        <v>96</v>
      </c>
      <c r="AH184" s="81">
        <v>3.2794573189807696</v>
      </c>
      <c r="AI184" s="78">
        <v>1.1550215005816624</v>
      </c>
      <c r="AX184" s="12"/>
      <c r="AY184" s="12"/>
      <c r="AZ184" s="12"/>
      <c r="BA184" s="12"/>
      <c r="BB184" s="12"/>
    </row>
    <row r="187" spans="2:54" x14ac:dyDescent="0.2">
      <c r="AF187" s="21">
        <f>AVERAGE(AF58:AF132)</f>
        <v>3.2803003381079627E-4</v>
      </c>
      <c r="AG187" s="21">
        <f t="shared" ref="AG187:AW187" si="231">AVERAGE(AG58:AG132)</f>
        <v>2.1414778580723196E-4</v>
      </c>
      <c r="AH187" s="21">
        <f t="shared" si="231"/>
        <v>-4.0727985226490567E-3</v>
      </c>
      <c r="AI187" s="21">
        <f t="shared" si="231"/>
        <v>8.0498238114906271E-4</v>
      </c>
      <c r="AJ187" s="21">
        <f t="shared" si="231"/>
        <v>4.0710915074029241E-3</v>
      </c>
      <c r="AK187" s="21">
        <f t="shared" si="231"/>
        <v>-9.9049231595261956E-3</v>
      </c>
      <c r="AL187" s="21">
        <f t="shared" si="231"/>
        <v>2.8557277731292203E-4</v>
      </c>
      <c r="AM187" s="21">
        <f t="shared" si="231"/>
        <v>-1.1041738812669343E-4</v>
      </c>
      <c r="AN187" s="21">
        <f t="shared" si="231"/>
        <v>-6.4240156412797011E-3</v>
      </c>
      <c r="AO187" s="21">
        <f t="shared" si="231"/>
        <v>7.9261383620801891E-4</v>
      </c>
      <c r="AP187" s="21">
        <f t="shared" si="231"/>
        <v>3.8370876732374938E-3</v>
      </c>
      <c r="AQ187" s="21">
        <f t="shared" si="231"/>
        <v>-1.1744365885567317E-2</v>
      </c>
      <c r="AR187" s="21">
        <f t="shared" si="231"/>
        <v>9.637271864297932E-4</v>
      </c>
      <c r="AS187" s="21">
        <f t="shared" si="231"/>
        <v>-1.8310968835741904E-4</v>
      </c>
      <c r="AT187" s="21">
        <f t="shared" si="231"/>
        <v>-4.3398310389302901E-3</v>
      </c>
      <c r="AU187" s="21">
        <f t="shared" si="231"/>
        <v>2.6824205557894666E-3</v>
      </c>
      <c r="AV187" s="21">
        <f t="shared" si="231"/>
        <v>1.4355821740268319E-3</v>
      </c>
      <c r="AW187" s="21">
        <f t="shared" si="231"/>
        <v>-9.0521158819726628E-3</v>
      </c>
    </row>
    <row r="204" spans="38:42" ht="12.75" thickBot="1" x14ac:dyDescent="0.25"/>
    <row r="205" spans="38:42" ht="12.75" thickBot="1" x14ac:dyDescent="0.25">
      <c r="AL205" s="8" t="s">
        <v>43</v>
      </c>
      <c r="AM205" s="1" t="s">
        <v>90</v>
      </c>
      <c r="AO205" s="13" t="s">
        <v>44</v>
      </c>
      <c r="AP205" s="1" t="s">
        <v>78</v>
      </c>
    </row>
    <row r="206" spans="38:42" ht="12.75" thickBot="1" x14ac:dyDescent="0.25">
      <c r="AL206" s="8" t="s">
        <v>42</v>
      </c>
      <c r="AM206" s="1" t="s">
        <v>91</v>
      </c>
      <c r="AO206" s="13" t="s">
        <v>45</v>
      </c>
      <c r="AP206" s="1" t="s">
        <v>79</v>
      </c>
    </row>
    <row r="207" spans="38:42" ht="12.75" thickBot="1" x14ac:dyDescent="0.25">
      <c r="AL207" s="56" t="s">
        <v>44</v>
      </c>
      <c r="AM207" s="57" t="s">
        <v>78</v>
      </c>
      <c r="AO207" s="8" t="s">
        <v>3</v>
      </c>
      <c r="AP207" s="1" t="s">
        <v>80</v>
      </c>
    </row>
    <row r="208" spans="38:42" ht="12.75" thickBot="1" x14ac:dyDescent="0.25">
      <c r="AL208" s="56" t="s">
        <v>45</v>
      </c>
      <c r="AM208" s="57" t="s">
        <v>79</v>
      </c>
      <c r="AO208" s="8" t="s">
        <v>4</v>
      </c>
      <c r="AP208" s="1" t="s">
        <v>81</v>
      </c>
    </row>
    <row r="209" spans="38:42" ht="12.75" thickBot="1" x14ac:dyDescent="0.25">
      <c r="AL209" s="48" t="s">
        <v>2</v>
      </c>
      <c r="AM209" s="57" t="s">
        <v>82</v>
      </c>
      <c r="AO209" s="8" t="s">
        <v>2</v>
      </c>
      <c r="AP209" s="1" t="s">
        <v>82</v>
      </c>
    </row>
    <row r="210" spans="38:42" ht="12.75" thickBot="1" x14ac:dyDescent="0.25">
      <c r="AL210" s="8" t="s">
        <v>17</v>
      </c>
      <c r="AM210" s="1" t="s">
        <v>89</v>
      </c>
      <c r="AO210" s="8" t="s">
        <v>29</v>
      </c>
      <c r="AP210" s="1" t="s">
        <v>83</v>
      </c>
    </row>
    <row r="211" spans="38:42" ht="12.75" thickBot="1" x14ac:dyDescent="0.25">
      <c r="AL211" s="48" t="s">
        <v>32</v>
      </c>
      <c r="AM211" s="57" t="s">
        <v>84</v>
      </c>
      <c r="AO211" s="8" t="s">
        <v>32</v>
      </c>
      <c r="AP211" s="1" t="s">
        <v>84</v>
      </c>
    </row>
    <row r="212" spans="38:42" ht="12.75" thickBot="1" x14ac:dyDescent="0.25">
      <c r="AL212" s="48" t="s">
        <v>34</v>
      </c>
      <c r="AM212" s="57" t="s">
        <v>85</v>
      </c>
      <c r="AO212" s="8" t="s">
        <v>34</v>
      </c>
      <c r="AP212" s="1" t="s">
        <v>85</v>
      </c>
    </row>
    <row r="213" spans="38:42" ht="12.75" thickBot="1" x14ac:dyDescent="0.25">
      <c r="AO213" s="8" t="s">
        <v>35</v>
      </c>
      <c r="AP213" s="1" t="s">
        <v>86</v>
      </c>
    </row>
    <row r="214" spans="38:42" ht="12.75" thickBot="1" x14ac:dyDescent="0.25">
      <c r="AO214" s="8" t="s">
        <v>36</v>
      </c>
      <c r="AP214" s="1" t="s">
        <v>87</v>
      </c>
    </row>
    <row r="215" spans="38:42" x14ac:dyDescent="0.2">
      <c r="AO215" s="8" t="s">
        <v>37</v>
      </c>
      <c r="AP215" s="1" t="s">
        <v>88</v>
      </c>
    </row>
  </sheetData>
  <autoFilter ref="BD1:BD187" xr:uid="{06D7B9DE-1925-4F01-9201-2E147CBC978B}"/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5897" priority="1461" operator="greaterThan">
      <formula>0.03</formula>
    </cfRule>
    <cfRule type="cellIs" dxfId="5896" priority="1462" stopIfTrue="1" operator="lessThan">
      <formula>-0.03</formula>
    </cfRule>
  </conditionalFormatting>
  <conditionalFormatting sqref="AU7:AV7">
    <cfRule type="cellIs" dxfId="5895" priority="1459" operator="greaterThan">
      <formula>0.03</formula>
    </cfRule>
    <cfRule type="cellIs" dxfId="5894" priority="1460" stopIfTrue="1" operator="lessThan">
      <formula>-0.03</formula>
    </cfRule>
  </conditionalFormatting>
  <conditionalFormatting sqref="AO156:AQ156 AU156:AW156">
    <cfRule type="cellIs" dxfId="5893" priority="1451" operator="greaterThan">
      <formula>0.03</formula>
    </cfRule>
    <cfRule type="cellIs" dxfId="5892" priority="1452" stopIfTrue="1" operator="lessThan">
      <formula>-0.03</formula>
    </cfRule>
  </conditionalFormatting>
  <conditionalFormatting sqref="AO159:AQ159 AU159:AW159">
    <cfRule type="cellIs" dxfId="5891" priority="1449" operator="greaterThan">
      <formula>0.03</formula>
    </cfRule>
    <cfRule type="cellIs" dxfId="5890" priority="1450" stopIfTrue="1" operator="lessThan">
      <formula>-0.03</formula>
    </cfRule>
  </conditionalFormatting>
  <conditionalFormatting sqref="AO161:AQ161 AU161:AW161">
    <cfRule type="cellIs" dxfId="5889" priority="1457" operator="greaterThan">
      <formula>0.03</formula>
    </cfRule>
    <cfRule type="cellIs" dxfId="5888" priority="1458" stopIfTrue="1" operator="lessThan">
      <formula>-0.03</formula>
    </cfRule>
  </conditionalFormatting>
  <conditionalFormatting sqref="AO153:AQ153 AO155:AQ155 AU155:AW155 AU153:AW153">
    <cfRule type="cellIs" dxfId="5887" priority="1453" operator="greaterThan">
      <formula>0.03</formula>
    </cfRule>
    <cfRule type="cellIs" dxfId="5886" priority="1454" stopIfTrue="1" operator="lessThan">
      <formula>-0.03</formula>
    </cfRule>
  </conditionalFormatting>
  <conditionalFormatting sqref="AO157:AQ158 AU157:AW158">
    <cfRule type="cellIs" dxfId="5885" priority="1455" operator="greaterThan">
      <formula>0.03</formula>
    </cfRule>
    <cfRule type="cellIs" dxfId="5884" priority="1456" stopIfTrue="1" operator="lessThan">
      <formula>-0.03</formula>
    </cfRule>
  </conditionalFormatting>
  <conditionalFormatting sqref="AO154:AQ154 AU154:AW154">
    <cfRule type="cellIs" dxfId="5883" priority="1447" operator="greaterThan">
      <formula>0.03</formula>
    </cfRule>
    <cfRule type="cellIs" dxfId="5882" priority="1448" stopIfTrue="1" operator="lessThan">
      <formula>-0.03</formula>
    </cfRule>
  </conditionalFormatting>
  <conditionalFormatting sqref="AO7:AQ7">
    <cfRule type="cellIs" dxfId="5881" priority="1445" operator="greaterThan">
      <formula>0.03</formula>
    </cfRule>
    <cfRule type="cellIs" dxfId="5880" priority="1446" stopIfTrue="1" operator="lessThan">
      <formula>-0.03</formula>
    </cfRule>
  </conditionalFormatting>
  <conditionalFormatting sqref="AI7:AK7 AI3:AK5">
    <cfRule type="cellIs" dxfId="5879" priority="1443" operator="greaterThan">
      <formula>0.03</formula>
    </cfRule>
    <cfRule type="cellIs" dxfId="5878" priority="1444" stopIfTrue="1" operator="lessThan">
      <formula>-0.03</formula>
    </cfRule>
  </conditionalFormatting>
  <conditionalFormatting sqref="AI156:AK156">
    <cfRule type="cellIs" dxfId="5877" priority="1435" operator="greaterThan">
      <formula>0.03</formula>
    </cfRule>
    <cfRule type="cellIs" dxfId="5876" priority="1436" stopIfTrue="1" operator="lessThan">
      <formula>-0.03</formula>
    </cfRule>
  </conditionalFormatting>
  <conditionalFormatting sqref="AI159:AK159">
    <cfRule type="cellIs" dxfId="5875" priority="1433" operator="greaterThan">
      <formula>0.03</formula>
    </cfRule>
    <cfRule type="cellIs" dxfId="5874" priority="1434" stopIfTrue="1" operator="lessThan">
      <formula>-0.03</formula>
    </cfRule>
  </conditionalFormatting>
  <conditionalFormatting sqref="AI161:AK161">
    <cfRule type="cellIs" dxfId="5873" priority="1441" operator="greaterThan">
      <formula>0.03</formula>
    </cfRule>
    <cfRule type="cellIs" dxfId="5872" priority="1442" stopIfTrue="1" operator="lessThan">
      <formula>-0.03</formula>
    </cfRule>
  </conditionalFormatting>
  <conditionalFormatting sqref="AI153:AK153 AI155:AK155">
    <cfRule type="cellIs" dxfId="5871" priority="1437" operator="greaterThan">
      <formula>0.03</formula>
    </cfRule>
    <cfRule type="cellIs" dxfId="5870" priority="1438" stopIfTrue="1" operator="lessThan">
      <formula>-0.03</formula>
    </cfRule>
  </conditionalFormatting>
  <conditionalFormatting sqref="AI157:AK158">
    <cfRule type="cellIs" dxfId="5869" priority="1439" operator="greaterThan">
      <formula>0.03</formula>
    </cfRule>
    <cfRule type="cellIs" dxfId="5868" priority="1440" stopIfTrue="1" operator="lessThan">
      <formula>-0.03</formula>
    </cfRule>
  </conditionalFormatting>
  <conditionalFormatting sqref="AI154:AK154">
    <cfRule type="cellIs" dxfId="5867" priority="1431" operator="greaterThan">
      <formula>0.03</formula>
    </cfRule>
    <cfRule type="cellIs" dxfId="5866" priority="1432" stopIfTrue="1" operator="lessThan">
      <formula>-0.03</formula>
    </cfRule>
  </conditionalFormatting>
  <conditionalFormatting sqref="AI6:AK6">
    <cfRule type="cellIs" dxfId="5865" priority="1429" operator="greaterThan">
      <formula>0.03</formula>
    </cfRule>
    <cfRule type="cellIs" dxfId="5864" priority="1430" stopIfTrue="1" operator="lessThan">
      <formula>-0.03</formula>
    </cfRule>
  </conditionalFormatting>
  <conditionalFormatting sqref="AU3:AW3">
    <cfRule type="cellIs" dxfId="5863" priority="1427" operator="greaterThan">
      <formula>0.03</formula>
    </cfRule>
    <cfRule type="cellIs" dxfId="5862" priority="1428" stopIfTrue="1" operator="lessThan">
      <formula>-0.03</formula>
    </cfRule>
  </conditionalFormatting>
  <conditionalFormatting sqref="AO13:AQ13 AO10:AQ11">
    <cfRule type="cellIs" dxfId="5861" priority="1425" operator="greaterThan">
      <formula>0.03</formula>
    </cfRule>
    <cfRule type="cellIs" dxfId="5860" priority="1426" stopIfTrue="1" operator="lessThan">
      <formula>-0.03</formula>
    </cfRule>
  </conditionalFormatting>
  <conditionalFormatting sqref="AU12:AV12">
    <cfRule type="cellIs" dxfId="5859" priority="1423" operator="greaterThan">
      <formula>0.03</formula>
    </cfRule>
    <cfRule type="cellIs" dxfId="5858" priority="1424" stopIfTrue="1" operator="lessThan">
      <formula>-0.03</formula>
    </cfRule>
  </conditionalFormatting>
  <conditionalFormatting sqref="AO12:AQ12">
    <cfRule type="cellIs" dxfId="5857" priority="1421" operator="greaterThan">
      <formula>0.03</formula>
    </cfRule>
    <cfRule type="cellIs" dxfId="5856" priority="1422" stopIfTrue="1" operator="lessThan">
      <formula>-0.03</formula>
    </cfRule>
  </conditionalFormatting>
  <conditionalFormatting sqref="AI12:AK12 AI8:AK10">
    <cfRule type="cellIs" dxfId="5855" priority="1419" operator="greaterThan">
      <formula>0.03</formula>
    </cfRule>
    <cfRule type="cellIs" dxfId="5854" priority="1420" stopIfTrue="1" operator="lessThan">
      <formula>-0.03</formula>
    </cfRule>
  </conditionalFormatting>
  <conditionalFormatting sqref="AI11:AK11">
    <cfRule type="cellIs" dxfId="5853" priority="1417" operator="greaterThan">
      <formula>0.03</formula>
    </cfRule>
    <cfRule type="cellIs" dxfId="5852" priority="1418" stopIfTrue="1" operator="lessThan">
      <formula>-0.03</formula>
    </cfRule>
  </conditionalFormatting>
  <conditionalFormatting sqref="AU8:AW8">
    <cfRule type="cellIs" dxfId="5851" priority="1415" operator="greaterThan">
      <formula>0.03</formula>
    </cfRule>
    <cfRule type="cellIs" dxfId="5850" priority="1416" stopIfTrue="1" operator="lessThan">
      <formula>-0.03</formula>
    </cfRule>
  </conditionalFormatting>
  <conditionalFormatting sqref="AO18:AQ18 AO15:AQ16">
    <cfRule type="cellIs" dxfId="5849" priority="1413" operator="greaterThan">
      <formula>0.03</formula>
    </cfRule>
    <cfRule type="cellIs" dxfId="5848" priority="1414" stopIfTrue="1" operator="lessThan">
      <formula>-0.03</formula>
    </cfRule>
  </conditionalFormatting>
  <conditionalFormatting sqref="AU17:AV17">
    <cfRule type="cellIs" dxfId="5847" priority="1411" operator="greaterThan">
      <formula>0.03</formula>
    </cfRule>
    <cfRule type="cellIs" dxfId="5846" priority="1412" stopIfTrue="1" operator="lessThan">
      <formula>-0.03</formula>
    </cfRule>
  </conditionalFormatting>
  <conditionalFormatting sqref="AO17:AQ17">
    <cfRule type="cellIs" dxfId="5845" priority="1409" operator="greaterThan">
      <formula>0.03</formula>
    </cfRule>
    <cfRule type="cellIs" dxfId="5844" priority="1410" stopIfTrue="1" operator="lessThan">
      <formula>-0.03</formula>
    </cfRule>
  </conditionalFormatting>
  <conditionalFormatting sqref="AI17:AK17 AI13:AK15">
    <cfRule type="cellIs" dxfId="5843" priority="1407" operator="greaterThan">
      <formula>0.03</formula>
    </cfRule>
    <cfRule type="cellIs" dxfId="5842" priority="1408" stopIfTrue="1" operator="lessThan">
      <formula>-0.03</formula>
    </cfRule>
  </conditionalFormatting>
  <conditionalFormatting sqref="AI16:AK16">
    <cfRule type="cellIs" dxfId="5841" priority="1405" operator="greaterThan">
      <formula>0.03</formula>
    </cfRule>
    <cfRule type="cellIs" dxfId="5840" priority="1406" stopIfTrue="1" operator="lessThan">
      <formula>-0.03</formula>
    </cfRule>
  </conditionalFormatting>
  <conditionalFormatting sqref="AU13:AW13">
    <cfRule type="cellIs" dxfId="5839" priority="1403" operator="greaterThan">
      <formula>0.03</formula>
    </cfRule>
    <cfRule type="cellIs" dxfId="5838" priority="1404" stopIfTrue="1" operator="lessThan">
      <formula>-0.03</formula>
    </cfRule>
  </conditionalFormatting>
  <conditionalFormatting sqref="AO23:AQ23 AO20:AQ21">
    <cfRule type="cellIs" dxfId="5837" priority="1401" operator="greaterThan">
      <formula>0.03</formula>
    </cfRule>
    <cfRule type="cellIs" dxfId="5836" priority="1402" stopIfTrue="1" operator="lessThan">
      <formula>-0.03</formula>
    </cfRule>
  </conditionalFormatting>
  <conditionalFormatting sqref="AU22:AV22">
    <cfRule type="cellIs" dxfId="5835" priority="1399" operator="greaterThan">
      <formula>0.03</formula>
    </cfRule>
    <cfRule type="cellIs" dxfId="5834" priority="1400" stopIfTrue="1" operator="lessThan">
      <formula>-0.03</formula>
    </cfRule>
  </conditionalFormatting>
  <conditionalFormatting sqref="AO22:AQ22">
    <cfRule type="cellIs" dxfId="5833" priority="1397" operator="greaterThan">
      <formula>0.03</formula>
    </cfRule>
    <cfRule type="cellIs" dxfId="5832" priority="1398" stopIfTrue="1" operator="lessThan">
      <formula>-0.03</formula>
    </cfRule>
  </conditionalFormatting>
  <conditionalFormatting sqref="AI22:AK22 AI18:AK20">
    <cfRule type="cellIs" dxfId="5831" priority="1395" operator="greaterThan">
      <formula>0.03</formula>
    </cfRule>
    <cfRule type="cellIs" dxfId="5830" priority="1396" stopIfTrue="1" operator="lessThan">
      <formula>-0.03</formula>
    </cfRule>
  </conditionalFormatting>
  <conditionalFormatting sqref="AI21:AK21">
    <cfRule type="cellIs" dxfId="5829" priority="1393" operator="greaterThan">
      <formula>0.03</formula>
    </cfRule>
    <cfRule type="cellIs" dxfId="5828" priority="1394" stopIfTrue="1" operator="lessThan">
      <formula>-0.03</formula>
    </cfRule>
  </conditionalFormatting>
  <conditionalFormatting sqref="AU18:AW18">
    <cfRule type="cellIs" dxfId="5827" priority="1391" operator="greaterThan">
      <formula>0.03</formula>
    </cfRule>
    <cfRule type="cellIs" dxfId="5826" priority="1392" stopIfTrue="1" operator="lessThan">
      <formula>-0.03</formula>
    </cfRule>
  </conditionalFormatting>
  <conditionalFormatting sqref="AO28:AQ28 AO25:AQ26">
    <cfRule type="cellIs" dxfId="5825" priority="1389" operator="greaterThan">
      <formula>0.03</formula>
    </cfRule>
    <cfRule type="cellIs" dxfId="5824" priority="1390" stopIfTrue="1" operator="lessThan">
      <formula>-0.03</formula>
    </cfRule>
  </conditionalFormatting>
  <conditionalFormatting sqref="AU27:AV27">
    <cfRule type="cellIs" dxfId="5823" priority="1387" operator="greaterThan">
      <formula>0.03</formula>
    </cfRule>
    <cfRule type="cellIs" dxfId="5822" priority="1388" stopIfTrue="1" operator="lessThan">
      <formula>-0.03</formula>
    </cfRule>
  </conditionalFormatting>
  <conditionalFormatting sqref="AO27:AQ27">
    <cfRule type="cellIs" dxfId="5821" priority="1385" operator="greaterThan">
      <formula>0.03</formula>
    </cfRule>
    <cfRule type="cellIs" dxfId="5820" priority="1386" stopIfTrue="1" operator="lessThan">
      <formula>-0.03</formula>
    </cfRule>
  </conditionalFormatting>
  <conditionalFormatting sqref="AI27:AK27 AI23:AK25">
    <cfRule type="cellIs" dxfId="5819" priority="1383" operator="greaterThan">
      <formula>0.03</formula>
    </cfRule>
    <cfRule type="cellIs" dxfId="5818" priority="1384" stopIfTrue="1" operator="lessThan">
      <formula>-0.03</formula>
    </cfRule>
  </conditionalFormatting>
  <conditionalFormatting sqref="AI26:AK26">
    <cfRule type="cellIs" dxfId="5817" priority="1381" operator="greaterThan">
      <formula>0.03</formula>
    </cfRule>
    <cfRule type="cellIs" dxfId="5816" priority="1382" stopIfTrue="1" operator="lessThan">
      <formula>-0.03</formula>
    </cfRule>
  </conditionalFormatting>
  <conditionalFormatting sqref="AU23:AW23">
    <cfRule type="cellIs" dxfId="5815" priority="1379" operator="greaterThan">
      <formula>0.03</formula>
    </cfRule>
    <cfRule type="cellIs" dxfId="5814" priority="1380" stopIfTrue="1" operator="lessThan">
      <formula>-0.03</formula>
    </cfRule>
  </conditionalFormatting>
  <conditionalFormatting sqref="AO33:AQ33 AO30:AQ31">
    <cfRule type="cellIs" dxfId="5813" priority="1377" operator="greaterThan">
      <formula>0.03</formula>
    </cfRule>
    <cfRule type="cellIs" dxfId="5812" priority="1378" stopIfTrue="1" operator="lessThan">
      <formula>-0.03</formula>
    </cfRule>
  </conditionalFormatting>
  <conditionalFormatting sqref="AU32:AV32">
    <cfRule type="cellIs" dxfId="5811" priority="1375" operator="greaterThan">
      <formula>0.03</formula>
    </cfRule>
    <cfRule type="cellIs" dxfId="5810" priority="1376" stopIfTrue="1" operator="lessThan">
      <formula>-0.03</formula>
    </cfRule>
  </conditionalFormatting>
  <conditionalFormatting sqref="AO32:AQ32">
    <cfRule type="cellIs" dxfId="5809" priority="1373" operator="greaterThan">
      <formula>0.03</formula>
    </cfRule>
    <cfRule type="cellIs" dxfId="5808" priority="1374" stopIfTrue="1" operator="lessThan">
      <formula>-0.03</formula>
    </cfRule>
  </conditionalFormatting>
  <conditionalFormatting sqref="AI32:AK32 AI28:AK30">
    <cfRule type="cellIs" dxfId="5807" priority="1371" operator="greaterThan">
      <formula>0.03</formula>
    </cfRule>
    <cfRule type="cellIs" dxfId="5806" priority="1372" stopIfTrue="1" operator="lessThan">
      <formula>-0.03</formula>
    </cfRule>
  </conditionalFormatting>
  <conditionalFormatting sqref="AI31:AK31">
    <cfRule type="cellIs" dxfId="5805" priority="1369" operator="greaterThan">
      <formula>0.03</formula>
    </cfRule>
    <cfRule type="cellIs" dxfId="5804" priority="1370" stopIfTrue="1" operator="lessThan">
      <formula>-0.03</formula>
    </cfRule>
  </conditionalFormatting>
  <conditionalFormatting sqref="AU28:AW28">
    <cfRule type="cellIs" dxfId="5803" priority="1367" operator="greaterThan">
      <formula>0.03</formula>
    </cfRule>
    <cfRule type="cellIs" dxfId="5802" priority="1368" stopIfTrue="1" operator="lessThan">
      <formula>-0.03</formula>
    </cfRule>
  </conditionalFormatting>
  <conditionalFormatting sqref="AO38:AQ38 AO35:AQ36">
    <cfRule type="cellIs" dxfId="5801" priority="1365" operator="greaterThan">
      <formula>0.03</formula>
    </cfRule>
    <cfRule type="cellIs" dxfId="5800" priority="1366" stopIfTrue="1" operator="lessThan">
      <formula>-0.03</formula>
    </cfRule>
  </conditionalFormatting>
  <conditionalFormatting sqref="AU37:AV37">
    <cfRule type="cellIs" dxfId="5799" priority="1363" operator="greaterThan">
      <formula>0.03</formula>
    </cfRule>
    <cfRule type="cellIs" dxfId="5798" priority="1364" stopIfTrue="1" operator="lessThan">
      <formula>-0.03</formula>
    </cfRule>
  </conditionalFormatting>
  <conditionalFormatting sqref="AO37:AQ37">
    <cfRule type="cellIs" dxfId="5797" priority="1361" operator="greaterThan">
      <formula>0.03</formula>
    </cfRule>
    <cfRule type="cellIs" dxfId="5796" priority="1362" stopIfTrue="1" operator="lessThan">
      <formula>-0.03</formula>
    </cfRule>
  </conditionalFormatting>
  <conditionalFormatting sqref="AI37:AK37 AI33:AK35">
    <cfRule type="cellIs" dxfId="5795" priority="1359" operator="greaterThan">
      <formula>0.03</formula>
    </cfRule>
    <cfRule type="cellIs" dxfId="5794" priority="1360" stopIfTrue="1" operator="lessThan">
      <formula>-0.03</formula>
    </cfRule>
  </conditionalFormatting>
  <conditionalFormatting sqref="AI36:AK36">
    <cfRule type="cellIs" dxfId="5793" priority="1357" operator="greaterThan">
      <formula>0.03</formula>
    </cfRule>
    <cfRule type="cellIs" dxfId="5792" priority="1358" stopIfTrue="1" operator="lessThan">
      <formula>-0.03</formula>
    </cfRule>
  </conditionalFormatting>
  <conditionalFormatting sqref="AU33:AW33">
    <cfRule type="cellIs" dxfId="5791" priority="1355" operator="greaterThan">
      <formula>0.03</formula>
    </cfRule>
    <cfRule type="cellIs" dxfId="5790" priority="1356" stopIfTrue="1" operator="lessThan">
      <formula>-0.03</formula>
    </cfRule>
  </conditionalFormatting>
  <conditionalFormatting sqref="AO43:AQ43 AO40:AQ41">
    <cfRule type="cellIs" dxfId="5789" priority="1353" operator="greaterThan">
      <formula>0.03</formula>
    </cfRule>
    <cfRule type="cellIs" dxfId="5788" priority="1354" stopIfTrue="1" operator="lessThan">
      <formula>-0.03</formula>
    </cfRule>
  </conditionalFormatting>
  <conditionalFormatting sqref="AU42:AV42">
    <cfRule type="cellIs" dxfId="5787" priority="1351" operator="greaterThan">
      <formula>0.03</formula>
    </cfRule>
    <cfRule type="cellIs" dxfId="5786" priority="1352" stopIfTrue="1" operator="lessThan">
      <formula>-0.03</formula>
    </cfRule>
  </conditionalFormatting>
  <conditionalFormatting sqref="AO42:AQ42">
    <cfRule type="cellIs" dxfId="5785" priority="1349" operator="greaterThan">
      <formula>0.03</formula>
    </cfRule>
    <cfRule type="cellIs" dxfId="5784" priority="1350" stopIfTrue="1" operator="lessThan">
      <formula>-0.03</formula>
    </cfRule>
  </conditionalFormatting>
  <conditionalFormatting sqref="AI42:AK42 AI38:AK40">
    <cfRule type="cellIs" dxfId="5783" priority="1347" operator="greaterThan">
      <formula>0.03</formula>
    </cfRule>
    <cfRule type="cellIs" dxfId="5782" priority="1348" stopIfTrue="1" operator="lessThan">
      <formula>-0.03</formula>
    </cfRule>
  </conditionalFormatting>
  <conditionalFormatting sqref="AI41:AK41">
    <cfRule type="cellIs" dxfId="5781" priority="1345" operator="greaterThan">
      <formula>0.03</formula>
    </cfRule>
    <cfRule type="cellIs" dxfId="5780" priority="1346" stopIfTrue="1" operator="lessThan">
      <formula>-0.03</formula>
    </cfRule>
  </conditionalFormatting>
  <conditionalFormatting sqref="AU38:AW38">
    <cfRule type="cellIs" dxfId="5779" priority="1343" operator="greaterThan">
      <formula>0.03</formula>
    </cfRule>
    <cfRule type="cellIs" dxfId="5778" priority="1344" stopIfTrue="1" operator="lessThan">
      <formula>-0.03</formula>
    </cfRule>
  </conditionalFormatting>
  <conditionalFormatting sqref="AO48:AQ48 AO45:AQ46">
    <cfRule type="cellIs" dxfId="5777" priority="1341" operator="greaterThan">
      <formula>0.03</formula>
    </cfRule>
    <cfRule type="cellIs" dxfId="5776" priority="1342" stopIfTrue="1" operator="lessThan">
      <formula>-0.03</formula>
    </cfRule>
  </conditionalFormatting>
  <conditionalFormatting sqref="AU47:AV47">
    <cfRule type="cellIs" dxfId="5775" priority="1339" operator="greaterThan">
      <formula>0.03</formula>
    </cfRule>
    <cfRule type="cellIs" dxfId="5774" priority="1340" stopIfTrue="1" operator="lessThan">
      <formula>-0.03</formula>
    </cfRule>
  </conditionalFormatting>
  <conditionalFormatting sqref="AO47:AQ47">
    <cfRule type="cellIs" dxfId="5773" priority="1337" operator="greaterThan">
      <formula>0.03</formula>
    </cfRule>
    <cfRule type="cellIs" dxfId="5772" priority="1338" stopIfTrue="1" operator="lessThan">
      <formula>-0.03</formula>
    </cfRule>
  </conditionalFormatting>
  <conditionalFormatting sqref="AI47:AK47 AI43:AK45">
    <cfRule type="cellIs" dxfId="5771" priority="1335" operator="greaterThan">
      <formula>0.03</formula>
    </cfRule>
    <cfRule type="cellIs" dxfId="5770" priority="1336" stopIfTrue="1" operator="lessThan">
      <formula>-0.03</formula>
    </cfRule>
  </conditionalFormatting>
  <conditionalFormatting sqref="AI46:AK46">
    <cfRule type="cellIs" dxfId="5769" priority="1333" operator="greaterThan">
      <formula>0.03</formula>
    </cfRule>
    <cfRule type="cellIs" dxfId="5768" priority="1334" stopIfTrue="1" operator="lessThan">
      <formula>-0.03</formula>
    </cfRule>
  </conditionalFormatting>
  <conditionalFormatting sqref="AU43:AW43">
    <cfRule type="cellIs" dxfId="5767" priority="1331" operator="greaterThan">
      <formula>0.03</formula>
    </cfRule>
    <cfRule type="cellIs" dxfId="5766" priority="1332" stopIfTrue="1" operator="lessThan">
      <formula>-0.03</formula>
    </cfRule>
  </conditionalFormatting>
  <conditionalFormatting sqref="AO53:AQ53 AO50:AQ51">
    <cfRule type="cellIs" dxfId="5765" priority="1329" operator="greaterThan">
      <formula>0.03</formula>
    </cfRule>
    <cfRule type="cellIs" dxfId="5764" priority="1330" stopIfTrue="1" operator="lessThan">
      <formula>-0.03</formula>
    </cfRule>
  </conditionalFormatting>
  <conditionalFormatting sqref="AU52:AV52">
    <cfRule type="cellIs" dxfId="5763" priority="1327" operator="greaterThan">
      <formula>0.03</formula>
    </cfRule>
    <cfRule type="cellIs" dxfId="5762" priority="1328" stopIfTrue="1" operator="lessThan">
      <formula>-0.03</formula>
    </cfRule>
  </conditionalFormatting>
  <conditionalFormatting sqref="AO52:AQ52">
    <cfRule type="cellIs" dxfId="5761" priority="1325" operator="greaterThan">
      <formula>0.03</formula>
    </cfRule>
    <cfRule type="cellIs" dxfId="5760" priority="1326" stopIfTrue="1" operator="lessThan">
      <formula>-0.03</formula>
    </cfRule>
  </conditionalFormatting>
  <conditionalFormatting sqref="AI52:AK52 AI48:AK50">
    <cfRule type="cellIs" dxfId="5759" priority="1323" operator="greaterThan">
      <formula>0.03</formula>
    </cfRule>
    <cfRule type="cellIs" dxfId="5758" priority="1324" stopIfTrue="1" operator="lessThan">
      <formula>-0.03</formula>
    </cfRule>
  </conditionalFormatting>
  <conditionalFormatting sqref="AI51:AK51">
    <cfRule type="cellIs" dxfId="5757" priority="1321" operator="greaterThan">
      <formula>0.03</formula>
    </cfRule>
    <cfRule type="cellIs" dxfId="5756" priority="1322" stopIfTrue="1" operator="lessThan">
      <formula>-0.03</formula>
    </cfRule>
  </conditionalFormatting>
  <conditionalFormatting sqref="AU48:AW48">
    <cfRule type="cellIs" dxfId="5755" priority="1319" operator="greaterThan">
      <formula>0.03</formula>
    </cfRule>
    <cfRule type="cellIs" dxfId="5754" priority="1320" stopIfTrue="1" operator="lessThan">
      <formula>-0.03</formula>
    </cfRule>
  </conditionalFormatting>
  <conditionalFormatting sqref="AO58:AQ58 AO55:AQ56">
    <cfRule type="cellIs" dxfId="5753" priority="1317" operator="greaterThan">
      <formula>0.03</formula>
    </cfRule>
    <cfRule type="cellIs" dxfId="5752" priority="1318" stopIfTrue="1" operator="lessThan">
      <formula>-0.03</formula>
    </cfRule>
  </conditionalFormatting>
  <conditionalFormatting sqref="AU57:AV57">
    <cfRule type="cellIs" dxfId="5751" priority="1315" operator="greaterThan">
      <formula>0.03</formula>
    </cfRule>
    <cfRule type="cellIs" dxfId="5750" priority="1316" stopIfTrue="1" operator="lessThan">
      <formula>-0.03</formula>
    </cfRule>
  </conditionalFormatting>
  <conditionalFormatting sqref="AO57:AQ57">
    <cfRule type="cellIs" dxfId="5749" priority="1313" operator="greaterThan">
      <formula>0.03</formula>
    </cfRule>
    <cfRule type="cellIs" dxfId="5748" priority="1314" stopIfTrue="1" operator="lessThan">
      <formula>-0.03</formula>
    </cfRule>
  </conditionalFormatting>
  <conditionalFormatting sqref="AI57:AK57 AI53:AK55">
    <cfRule type="cellIs" dxfId="5747" priority="1311" operator="greaterThan">
      <formula>0.03</formula>
    </cfRule>
    <cfRule type="cellIs" dxfId="5746" priority="1312" stopIfTrue="1" operator="lessThan">
      <formula>-0.03</formula>
    </cfRule>
  </conditionalFormatting>
  <conditionalFormatting sqref="AI56:AK56">
    <cfRule type="cellIs" dxfId="5745" priority="1309" operator="greaterThan">
      <formula>0.03</formula>
    </cfRule>
    <cfRule type="cellIs" dxfId="5744" priority="1310" stopIfTrue="1" operator="lessThan">
      <formula>-0.03</formula>
    </cfRule>
  </conditionalFormatting>
  <conditionalFormatting sqref="AU53:AW53">
    <cfRule type="cellIs" dxfId="5743" priority="1307" operator="greaterThan">
      <formula>0.03</formula>
    </cfRule>
    <cfRule type="cellIs" dxfId="5742" priority="1308" stopIfTrue="1" operator="lessThan">
      <formula>-0.03</formula>
    </cfRule>
  </conditionalFormatting>
  <conditionalFormatting sqref="AO63:AQ63 AO60:AQ61">
    <cfRule type="cellIs" dxfId="5741" priority="1305" operator="greaterThan">
      <formula>0.03</formula>
    </cfRule>
    <cfRule type="cellIs" dxfId="5740" priority="1306" stopIfTrue="1" operator="lessThan">
      <formula>-0.03</formula>
    </cfRule>
  </conditionalFormatting>
  <conditionalFormatting sqref="AU62:AV62">
    <cfRule type="cellIs" dxfId="5739" priority="1303" operator="greaterThan">
      <formula>0.03</formula>
    </cfRule>
    <cfRule type="cellIs" dxfId="5738" priority="1304" stopIfTrue="1" operator="lessThan">
      <formula>-0.03</formula>
    </cfRule>
  </conditionalFormatting>
  <conditionalFormatting sqref="AO62:AQ62">
    <cfRule type="cellIs" dxfId="5737" priority="1301" operator="greaterThan">
      <formula>0.03</formula>
    </cfRule>
    <cfRule type="cellIs" dxfId="5736" priority="1302" stopIfTrue="1" operator="lessThan">
      <formula>-0.03</formula>
    </cfRule>
  </conditionalFormatting>
  <conditionalFormatting sqref="AI62:AK62 AI58:AK60">
    <cfRule type="cellIs" dxfId="5735" priority="1299" operator="greaterThan">
      <formula>0.03</formula>
    </cfRule>
    <cfRule type="cellIs" dxfId="5734" priority="1300" stopIfTrue="1" operator="lessThan">
      <formula>-0.03</formula>
    </cfRule>
  </conditionalFormatting>
  <conditionalFormatting sqref="AI61:AK61">
    <cfRule type="cellIs" dxfId="5733" priority="1297" operator="greaterThan">
      <formula>0.03</formula>
    </cfRule>
    <cfRule type="cellIs" dxfId="5732" priority="1298" stopIfTrue="1" operator="lessThan">
      <formula>-0.03</formula>
    </cfRule>
  </conditionalFormatting>
  <conditionalFormatting sqref="AU58:AW58">
    <cfRule type="cellIs" dxfId="5731" priority="1295" operator="greaterThan">
      <formula>0.03</formula>
    </cfRule>
    <cfRule type="cellIs" dxfId="5730" priority="1296" stopIfTrue="1" operator="lessThan">
      <formula>-0.03</formula>
    </cfRule>
  </conditionalFormatting>
  <conditionalFormatting sqref="AO68:AQ68 AO65:AQ66">
    <cfRule type="cellIs" dxfId="5729" priority="1293" operator="greaterThan">
      <formula>0.03</formula>
    </cfRule>
    <cfRule type="cellIs" dxfId="5728" priority="1294" stopIfTrue="1" operator="lessThan">
      <formula>-0.03</formula>
    </cfRule>
  </conditionalFormatting>
  <conditionalFormatting sqref="AU67:AV67">
    <cfRule type="cellIs" dxfId="5727" priority="1291" operator="greaterThan">
      <formula>0.03</formula>
    </cfRule>
    <cfRule type="cellIs" dxfId="5726" priority="1292" stopIfTrue="1" operator="lessThan">
      <formula>-0.03</formula>
    </cfRule>
  </conditionalFormatting>
  <conditionalFormatting sqref="AO67:AQ67">
    <cfRule type="cellIs" dxfId="5725" priority="1289" operator="greaterThan">
      <formula>0.03</formula>
    </cfRule>
    <cfRule type="cellIs" dxfId="5724" priority="1290" stopIfTrue="1" operator="lessThan">
      <formula>-0.03</formula>
    </cfRule>
  </conditionalFormatting>
  <conditionalFormatting sqref="AI67:AK67 AI63:AK65">
    <cfRule type="cellIs" dxfId="5723" priority="1287" operator="greaterThan">
      <formula>0.03</formula>
    </cfRule>
    <cfRule type="cellIs" dxfId="5722" priority="1288" stopIfTrue="1" operator="lessThan">
      <formula>-0.03</formula>
    </cfRule>
  </conditionalFormatting>
  <conditionalFormatting sqref="AI66:AK66">
    <cfRule type="cellIs" dxfId="5721" priority="1285" operator="greaterThan">
      <formula>0.03</formula>
    </cfRule>
    <cfRule type="cellIs" dxfId="5720" priority="1286" stopIfTrue="1" operator="lessThan">
      <formula>-0.03</formula>
    </cfRule>
  </conditionalFormatting>
  <conditionalFormatting sqref="AU63:AW63">
    <cfRule type="cellIs" dxfId="5719" priority="1283" operator="greaterThan">
      <formula>0.03</formula>
    </cfRule>
    <cfRule type="cellIs" dxfId="5718" priority="1284" stopIfTrue="1" operator="lessThan">
      <formula>-0.03</formula>
    </cfRule>
  </conditionalFormatting>
  <conditionalFormatting sqref="AO73:AQ73 AO70:AQ71">
    <cfRule type="cellIs" dxfId="5717" priority="1281" operator="greaterThan">
      <formula>0.03</formula>
    </cfRule>
    <cfRule type="cellIs" dxfId="5716" priority="1282" stopIfTrue="1" operator="lessThan">
      <formula>-0.03</formula>
    </cfRule>
  </conditionalFormatting>
  <conditionalFormatting sqref="AU72:AV72">
    <cfRule type="cellIs" dxfId="5715" priority="1279" operator="greaterThan">
      <formula>0.03</formula>
    </cfRule>
    <cfRule type="cellIs" dxfId="5714" priority="1280" stopIfTrue="1" operator="lessThan">
      <formula>-0.03</formula>
    </cfRule>
  </conditionalFormatting>
  <conditionalFormatting sqref="AO72:AQ72">
    <cfRule type="cellIs" dxfId="5713" priority="1277" operator="greaterThan">
      <formula>0.03</formula>
    </cfRule>
    <cfRule type="cellIs" dxfId="5712" priority="1278" stopIfTrue="1" operator="lessThan">
      <formula>-0.03</formula>
    </cfRule>
  </conditionalFormatting>
  <conditionalFormatting sqref="AI72:AK72 AI68:AK70">
    <cfRule type="cellIs" dxfId="5711" priority="1275" operator="greaterThan">
      <formula>0.03</formula>
    </cfRule>
    <cfRule type="cellIs" dxfId="5710" priority="1276" stopIfTrue="1" operator="lessThan">
      <formula>-0.03</formula>
    </cfRule>
  </conditionalFormatting>
  <conditionalFormatting sqref="AI71:AK71">
    <cfRule type="cellIs" dxfId="5709" priority="1273" operator="greaterThan">
      <formula>0.03</formula>
    </cfRule>
    <cfRule type="cellIs" dxfId="5708" priority="1274" stopIfTrue="1" operator="lessThan">
      <formula>-0.03</formula>
    </cfRule>
  </conditionalFormatting>
  <conditionalFormatting sqref="AU68:AW68">
    <cfRule type="cellIs" dxfId="5707" priority="1271" operator="greaterThan">
      <formula>0.03</formula>
    </cfRule>
    <cfRule type="cellIs" dxfId="5706" priority="1272" stopIfTrue="1" operator="lessThan">
      <formula>-0.03</formula>
    </cfRule>
  </conditionalFormatting>
  <conditionalFormatting sqref="AO78:AQ78 AO75:AQ76">
    <cfRule type="cellIs" dxfId="5705" priority="1269" operator="greaterThan">
      <formula>0.03</formula>
    </cfRule>
    <cfRule type="cellIs" dxfId="5704" priority="1270" stopIfTrue="1" operator="lessThan">
      <formula>-0.03</formula>
    </cfRule>
  </conditionalFormatting>
  <conditionalFormatting sqref="AU77:AV77">
    <cfRule type="cellIs" dxfId="5703" priority="1267" operator="greaterThan">
      <formula>0.03</formula>
    </cfRule>
    <cfRule type="cellIs" dxfId="5702" priority="1268" stopIfTrue="1" operator="lessThan">
      <formula>-0.03</formula>
    </cfRule>
  </conditionalFormatting>
  <conditionalFormatting sqref="AO77:AQ77">
    <cfRule type="cellIs" dxfId="5701" priority="1265" operator="greaterThan">
      <formula>0.03</formula>
    </cfRule>
    <cfRule type="cellIs" dxfId="5700" priority="1266" stopIfTrue="1" operator="lessThan">
      <formula>-0.03</formula>
    </cfRule>
  </conditionalFormatting>
  <conditionalFormatting sqref="AI77:AK77 AI73:AK75">
    <cfRule type="cellIs" dxfId="5699" priority="1263" operator="greaterThan">
      <formula>0.03</formula>
    </cfRule>
    <cfRule type="cellIs" dxfId="5698" priority="1264" stopIfTrue="1" operator="lessThan">
      <formula>-0.03</formula>
    </cfRule>
  </conditionalFormatting>
  <conditionalFormatting sqref="AI76:AK76">
    <cfRule type="cellIs" dxfId="5697" priority="1261" operator="greaterThan">
      <formula>0.03</formula>
    </cfRule>
    <cfRule type="cellIs" dxfId="5696" priority="1262" stopIfTrue="1" operator="lessThan">
      <formula>-0.03</formula>
    </cfRule>
  </conditionalFormatting>
  <conditionalFormatting sqref="AU73:AW73">
    <cfRule type="cellIs" dxfId="5695" priority="1259" operator="greaterThan">
      <formula>0.03</formula>
    </cfRule>
    <cfRule type="cellIs" dxfId="5694" priority="1260" stopIfTrue="1" operator="lessThan">
      <formula>-0.03</formula>
    </cfRule>
  </conditionalFormatting>
  <conditionalFormatting sqref="AO83:AQ83 AO80:AQ81">
    <cfRule type="cellIs" dxfId="5693" priority="1257" operator="greaterThan">
      <formula>0.03</formula>
    </cfRule>
    <cfRule type="cellIs" dxfId="5692" priority="1258" stopIfTrue="1" operator="lessThan">
      <formula>-0.03</formula>
    </cfRule>
  </conditionalFormatting>
  <conditionalFormatting sqref="AU82:AV82">
    <cfRule type="cellIs" dxfId="5691" priority="1255" operator="greaterThan">
      <formula>0.03</formula>
    </cfRule>
    <cfRule type="cellIs" dxfId="5690" priority="1256" stopIfTrue="1" operator="lessThan">
      <formula>-0.03</formula>
    </cfRule>
  </conditionalFormatting>
  <conditionalFormatting sqref="AO82:AQ82">
    <cfRule type="cellIs" dxfId="5689" priority="1253" operator="greaterThan">
      <formula>0.03</formula>
    </cfRule>
    <cfRule type="cellIs" dxfId="5688" priority="1254" stopIfTrue="1" operator="lessThan">
      <formula>-0.03</formula>
    </cfRule>
  </conditionalFormatting>
  <conditionalFormatting sqref="AI82:AK82 AI78:AK80">
    <cfRule type="cellIs" dxfId="5687" priority="1251" operator="greaterThan">
      <formula>0.03</formula>
    </cfRule>
    <cfRule type="cellIs" dxfId="5686" priority="1252" stopIfTrue="1" operator="lessThan">
      <formula>-0.03</formula>
    </cfRule>
  </conditionalFormatting>
  <conditionalFormatting sqref="AI81:AK81">
    <cfRule type="cellIs" dxfId="5685" priority="1249" operator="greaterThan">
      <formula>0.03</formula>
    </cfRule>
    <cfRule type="cellIs" dxfId="5684" priority="1250" stopIfTrue="1" operator="lessThan">
      <formula>-0.03</formula>
    </cfRule>
  </conditionalFormatting>
  <conditionalFormatting sqref="AU78:AW78">
    <cfRule type="cellIs" dxfId="5683" priority="1247" operator="greaterThan">
      <formula>0.03</formula>
    </cfRule>
    <cfRule type="cellIs" dxfId="5682" priority="1248" stopIfTrue="1" operator="lessThan">
      <formula>-0.03</formula>
    </cfRule>
  </conditionalFormatting>
  <conditionalFormatting sqref="AO88:AQ88 AO85:AQ86">
    <cfRule type="cellIs" dxfId="5681" priority="1245" operator="greaterThan">
      <formula>0.03</formula>
    </cfRule>
    <cfRule type="cellIs" dxfId="5680" priority="1246" stopIfTrue="1" operator="lessThan">
      <formula>-0.03</formula>
    </cfRule>
  </conditionalFormatting>
  <conditionalFormatting sqref="AU87:AV87">
    <cfRule type="cellIs" dxfId="5679" priority="1243" operator="greaterThan">
      <formula>0.03</formula>
    </cfRule>
    <cfRule type="cellIs" dxfId="5678" priority="1244" stopIfTrue="1" operator="lessThan">
      <formula>-0.03</formula>
    </cfRule>
  </conditionalFormatting>
  <conditionalFormatting sqref="AO87:AQ87">
    <cfRule type="cellIs" dxfId="5677" priority="1241" operator="greaterThan">
      <formula>0.03</formula>
    </cfRule>
    <cfRule type="cellIs" dxfId="5676" priority="1242" stopIfTrue="1" operator="lessThan">
      <formula>-0.03</formula>
    </cfRule>
  </conditionalFormatting>
  <conditionalFormatting sqref="AI87:AK87 AI83:AK85">
    <cfRule type="cellIs" dxfId="5675" priority="1239" operator="greaterThan">
      <formula>0.03</formula>
    </cfRule>
    <cfRule type="cellIs" dxfId="5674" priority="1240" stopIfTrue="1" operator="lessThan">
      <formula>-0.03</formula>
    </cfRule>
  </conditionalFormatting>
  <conditionalFormatting sqref="AI86:AK86">
    <cfRule type="cellIs" dxfId="5673" priority="1237" operator="greaterThan">
      <formula>0.03</formula>
    </cfRule>
    <cfRule type="cellIs" dxfId="5672" priority="1238" stopIfTrue="1" operator="lessThan">
      <formula>-0.03</formula>
    </cfRule>
  </conditionalFormatting>
  <conditionalFormatting sqref="AU83:AW83">
    <cfRule type="cellIs" dxfId="5671" priority="1235" operator="greaterThan">
      <formula>0.03</formula>
    </cfRule>
    <cfRule type="cellIs" dxfId="5670" priority="1236" stopIfTrue="1" operator="lessThan">
      <formula>-0.03</formula>
    </cfRule>
  </conditionalFormatting>
  <conditionalFormatting sqref="AO93:AQ93 AO90:AQ91">
    <cfRule type="cellIs" dxfId="5669" priority="1233" operator="greaterThan">
      <formula>0.03</formula>
    </cfRule>
    <cfRule type="cellIs" dxfId="5668" priority="1234" stopIfTrue="1" operator="lessThan">
      <formula>-0.03</formula>
    </cfRule>
  </conditionalFormatting>
  <conditionalFormatting sqref="AU92:AV92">
    <cfRule type="cellIs" dxfId="5667" priority="1231" operator="greaterThan">
      <formula>0.03</formula>
    </cfRule>
    <cfRule type="cellIs" dxfId="5666" priority="1232" stopIfTrue="1" operator="lessThan">
      <formula>-0.03</formula>
    </cfRule>
  </conditionalFormatting>
  <conditionalFormatting sqref="AO92:AQ92">
    <cfRule type="cellIs" dxfId="5665" priority="1229" operator="greaterThan">
      <formula>0.03</formula>
    </cfRule>
    <cfRule type="cellIs" dxfId="5664" priority="1230" stopIfTrue="1" operator="lessThan">
      <formula>-0.03</formula>
    </cfRule>
  </conditionalFormatting>
  <conditionalFormatting sqref="AI92:AK92 AI88:AK90">
    <cfRule type="cellIs" dxfId="5663" priority="1227" operator="greaterThan">
      <formula>0.03</formula>
    </cfRule>
    <cfRule type="cellIs" dxfId="5662" priority="1228" stopIfTrue="1" operator="lessThan">
      <formula>-0.03</formula>
    </cfRule>
  </conditionalFormatting>
  <conditionalFormatting sqref="AI91:AK91">
    <cfRule type="cellIs" dxfId="5661" priority="1225" operator="greaterThan">
      <formula>0.03</formula>
    </cfRule>
    <cfRule type="cellIs" dxfId="5660" priority="1226" stopIfTrue="1" operator="lessThan">
      <formula>-0.03</formula>
    </cfRule>
  </conditionalFormatting>
  <conditionalFormatting sqref="AU88:AW88">
    <cfRule type="cellIs" dxfId="5659" priority="1223" operator="greaterThan">
      <formula>0.03</formula>
    </cfRule>
    <cfRule type="cellIs" dxfId="5658" priority="1224" stopIfTrue="1" operator="lessThan">
      <formula>-0.03</formula>
    </cfRule>
  </conditionalFormatting>
  <conditionalFormatting sqref="AO98:AQ98 AO95:AQ96">
    <cfRule type="cellIs" dxfId="5657" priority="1221" operator="greaterThan">
      <formula>0.03</formula>
    </cfRule>
    <cfRule type="cellIs" dxfId="5656" priority="1222" stopIfTrue="1" operator="lessThan">
      <formula>-0.03</formula>
    </cfRule>
  </conditionalFormatting>
  <conditionalFormatting sqref="AU97:AV97">
    <cfRule type="cellIs" dxfId="5655" priority="1219" operator="greaterThan">
      <formula>0.03</formula>
    </cfRule>
    <cfRule type="cellIs" dxfId="5654" priority="1220" stopIfTrue="1" operator="lessThan">
      <formula>-0.03</formula>
    </cfRule>
  </conditionalFormatting>
  <conditionalFormatting sqref="AO97:AQ97">
    <cfRule type="cellIs" dxfId="5653" priority="1217" operator="greaterThan">
      <formula>0.03</formula>
    </cfRule>
    <cfRule type="cellIs" dxfId="5652" priority="1218" stopIfTrue="1" operator="lessThan">
      <formula>-0.03</formula>
    </cfRule>
  </conditionalFormatting>
  <conditionalFormatting sqref="AI97:AK97 AI93:AK95">
    <cfRule type="cellIs" dxfId="5651" priority="1215" operator="greaterThan">
      <formula>0.03</formula>
    </cfRule>
    <cfRule type="cellIs" dxfId="5650" priority="1216" stopIfTrue="1" operator="lessThan">
      <formula>-0.03</formula>
    </cfRule>
  </conditionalFormatting>
  <conditionalFormatting sqref="AI96:AK96">
    <cfRule type="cellIs" dxfId="5649" priority="1213" operator="greaterThan">
      <formula>0.03</formula>
    </cfRule>
    <cfRule type="cellIs" dxfId="5648" priority="1214" stopIfTrue="1" operator="lessThan">
      <formula>-0.03</formula>
    </cfRule>
  </conditionalFormatting>
  <conditionalFormatting sqref="AU93:AW93">
    <cfRule type="cellIs" dxfId="5647" priority="1211" operator="greaterThan">
      <formula>0.03</formula>
    </cfRule>
    <cfRule type="cellIs" dxfId="5646" priority="1212" stopIfTrue="1" operator="lessThan">
      <formula>-0.03</formula>
    </cfRule>
  </conditionalFormatting>
  <conditionalFormatting sqref="AO103:AQ103 AO100:AQ101">
    <cfRule type="cellIs" dxfId="5645" priority="1209" operator="greaterThan">
      <formula>0.03</formula>
    </cfRule>
    <cfRule type="cellIs" dxfId="5644" priority="1210" stopIfTrue="1" operator="lessThan">
      <formula>-0.03</formula>
    </cfRule>
  </conditionalFormatting>
  <conditionalFormatting sqref="AU102:AV102">
    <cfRule type="cellIs" dxfId="5643" priority="1207" operator="greaterThan">
      <formula>0.03</formula>
    </cfRule>
    <cfRule type="cellIs" dxfId="5642" priority="1208" stopIfTrue="1" operator="lessThan">
      <formula>-0.03</formula>
    </cfRule>
  </conditionalFormatting>
  <conditionalFormatting sqref="AO102:AQ102">
    <cfRule type="cellIs" dxfId="5641" priority="1205" operator="greaterThan">
      <formula>0.03</formula>
    </cfRule>
    <cfRule type="cellIs" dxfId="5640" priority="1206" stopIfTrue="1" operator="lessThan">
      <formula>-0.03</formula>
    </cfRule>
  </conditionalFormatting>
  <conditionalFormatting sqref="AI102:AK102 AI98:AK100">
    <cfRule type="cellIs" dxfId="5639" priority="1203" operator="greaterThan">
      <formula>0.03</formula>
    </cfRule>
    <cfRule type="cellIs" dxfId="5638" priority="1204" stopIfTrue="1" operator="lessThan">
      <formula>-0.03</formula>
    </cfRule>
  </conditionalFormatting>
  <conditionalFormatting sqref="AI101:AK101">
    <cfRule type="cellIs" dxfId="5637" priority="1201" operator="greaterThan">
      <formula>0.03</formula>
    </cfRule>
    <cfRule type="cellIs" dxfId="5636" priority="1202" stopIfTrue="1" operator="lessThan">
      <formula>-0.03</formula>
    </cfRule>
  </conditionalFormatting>
  <conditionalFormatting sqref="AU98:AW98">
    <cfRule type="cellIs" dxfId="5635" priority="1199" operator="greaterThan">
      <formula>0.03</formula>
    </cfRule>
    <cfRule type="cellIs" dxfId="5634" priority="1200" stopIfTrue="1" operator="lessThan">
      <formula>-0.03</formula>
    </cfRule>
  </conditionalFormatting>
  <conditionalFormatting sqref="AO108:AQ108 AO105:AQ106">
    <cfRule type="cellIs" dxfId="5633" priority="1197" operator="greaterThan">
      <formula>0.03</formula>
    </cfRule>
    <cfRule type="cellIs" dxfId="5632" priority="1198" stopIfTrue="1" operator="lessThan">
      <formula>-0.03</formula>
    </cfRule>
  </conditionalFormatting>
  <conditionalFormatting sqref="AU107:AV107">
    <cfRule type="cellIs" dxfId="5631" priority="1195" operator="greaterThan">
      <formula>0.03</formula>
    </cfRule>
    <cfRule type="cellIs" dxfId="5630" priority="1196" stopIfTrue="1" operator="lessThan">
      <formula>-0.03</formula>
    </cfRule>
  </conditionalFormatting>
  <conditionalFormatting sqref="AO107:AQ107">
    <cfRule type="cellIs" dxfId="5629" priority="1193" operator="greaterThan">
      <formula>0.03</formula>
    </cfRule>
    <cfRule type="cellIs" dxfId="5628" priority="1194" stopIfTrue="1" operator="lessThan">
      <formula>-0.03</formula>
    </cfRule>
  </conditionalFormatting>
  <conditionalFormatting sqref="AI107:AK107 AI103:AK105">
    <cfRule type="cellIs" dxfId="5627" priority="1191" operator="greaterThan">
      <formula>0.03</formula>
    </cfRule>
    <cfRule type="cellIs" dxfId="5626" priority="1192" stopIfTrue="1" operator="lessThan">
      <formula>-0.03</formula>
    </cfRule>
  </conditionalFormatting>
  <conditionalFormatting sqref="AI106:AK106">
    <cfRule type="cellIs" dxfId="5625" priority="1189" operator="greaterThan">
      <formula>0.03</formula>
    </cfRule>
    <cfRule type="cellIs" dxfId="5624" priority="1190" stopIfTrue="1" operator="lessThan">
      <formula>-0.03</formula>
    </cfRule>
  </conditionalFormatting>
  <conditionalFormatting sqref="AU103:AW103">
    <cfRule type="cellIs" dxfId="5623" priority="1187" operator="greaterThan">
      <formula>0.03</formula>
    </cfRule>
    <cfRule type="cellIs" dxfId="5622" priority="1188" stopIfTrue="1" operator="lessThan">
      <formula>-0.03</formula>
    </cfRule>
  </conditionalFormatting>
  <conditionalFormatting sqref="AO113:AQ113 AO110:AQ111">
    <cfRule type="cellIs" dxfId="5621" priority="1185" operator="greaterThan">
      <formula>0.03</formula>
    </cfRule>
    <cfRule type="cellIs" dxfId="5620" priority="1186" stopIfTrue="1" operator="lessThan">
      <formula>-0.03</formula>
    </cfRule>
  </conditionalFormatting>
  <conditionalFormatting sqref="AU112:AV112">
    <cfRule type="cellIs" dxfId="5619" priority="1183" operator="greaterThan">
      <formula>0.03</formula>
    </cfRule>
    <cfRule type="cellIs" dxfId="5618" priority="1184" stopIfTrue="1" operator="lessThan">
      <formula>-0.03</formula>
    </cfRule>
  </conditionalFormatting>
  <conditionalFormatting sqref="AO112:AQ112">
    <cfRule type="cellIs" dxfId="5617" priority="1181" operator="greaterThan">
      <formula>0.03</formula>
    </cfRule>
    <cfRule type="cellIs" dxfId="5616" priority="1182" stopIfTrue="1" operator="lessThan">
      <formula>-0.03</formula>
    </cfRule>
  </conditionalFormatting>
  <conditionalFormatting sqref="AI112:AK112 AI108:AK110">
    <cfRule type="cellIs" dxfId="5615" priority="1179" operator="greaterThan">
      <formula>0.03</formula>
    </cfRule>
    <cfRule type="cellIs" dxfId="5614" priority="1180" stopIfTrue="1" operator="lessThan">
      <formula>-0.03</formula>
    </cfRule>
  </conditionalFormatting>
  <conditionalFormatting sqref="AI111:AK111">
    <cfRule type="cellIs" dxfId="5613" priority="1177" operator="greaterThan">
      <formula>0.03</formula>
    </cfRule>
    <cfRule type="cellIs" dxfId="5612" priority="1178" stopIfTrue="1" operator="lessThan">
      <formula>-0.03</formula>
    </cfRule>
  </conditionalFormatting>
  <conditionalFormatting sqref="AU108:AW108">
    <cfRule type="cellIs" dxfId="5611" priority="1175" operator="greaterThan">
      <formula>0.03</formula>
    </cfRule>
    <cfRule type="cellIs" dxfId="5610" priority="1176" stopIfTrue="1" operator="lessThan">
      <formula>-0.03</formula>
    </cfRule>
  </conditionalFormatting>
  <conditionalFormatting sqref="AO118:AQ118 AO115:AQ116">
    <cfRule type="cellIs" dxfId="5609" priority="1173" operator="greaterThan">
      <formula>0.03</formula>
    </cfRule>
    <cfRule type="cellIs" dxfId="5608" priority="1174" stopIfTrue="1" operator="lessThan">
      <formula>-0.03</formula>
    </cfRule>
  </conditionalFormatting>
  <conditionalFormatting sqref="AU117:AV117">
    <cfRule type="cellIs" dxfId="5607" priority="1171" operator="greaterThan">
      <formula>0.03</formula>
    </cfRule>
    <cfRule type="cellIs" dxfId="5606" priority="1172" stopIfTrue="1" operator="lessThan">
      <formula>-0.03</formula>
    </cfRule>
  </conditionalFormatting>
  <conditionalFormatting sqref="AO117:AQ117">
    <cfRule type="cellIs" dxfId="5605" priority="1169" operator="greaterThan">
      <formula>0.03</formula>
    </cfRule>
    <cfRule type="cellIs" dxfId="5604" priority="1170" stopIfTrue="1" operator="lessThan">
      <formula>-0.03</formula>
    </cfRule>
  </conditionalFormatting>
  <conditionalFormatting sqref="AI117:AK117 AI113:AK115">
    <cfRule type="cellIs" dxfId="5603" priority="1167" operator="greaterThan">
      <formula>0.03</formula>
    </cfRule>
    <cfRule type="cellIs" dxfId="5602" priority="1168" stopIfTrue="1" operator="lessThan">
      <formula>-0.03</formula>
    </cfRule>
  </conditionalFormatting>
  <conditionalFormatting sqref="AI116:AK116">
    <cfRule type="cellIs" dxfId="5601" priority="1165" operator="greaterThan">
      <formula>0.03</formula>
    </cfRule>
    <cfRule type="cellIs" dxfId="5600" priority="1166" stopIfTrue="1" operator="lessThan">
      <formula>-0.03</formula>
    </cfRule>
  </conditionalFormatting>
  <conditionalFormatting sqref="AU113:AW113">
    <cfRule type="cellIs" dxfId="5599" priority="1163" operator="greaterThan">
      <formula>0.03</formula>
    </cfRule>
    <cfRule type="cellIs" dxfId="5598" priority="1164" stopIfTrue="1" operator="lessThan">
      <formula>-0.03</formula>
    </cfRule>
  </conditionalFormatting>
  <conditionalFormatting sqref="AO123:AQ123 AO120:AQ121">
    <cfRule type="cellIs" dxfId="5597" priority="1161" operator="greaterThan">
      <formula>0.03</formula>
    </cfRule>
    <cfRule type="cellIs" dxfId="5596" priority="1162" stopIfTrue="1" operator="lessThan">
      <formula>-0.03</formula>
    </cfRule>
  </conditionalFormatting>
  <conditionalFormatting sqref="AU122:AV122">
    <cfRule type="cellIs" dxfId="5595" priority="1159" operator="greaterThan">
      <formula>0.03</formula>
    </cfRule>
    <cfRule type="cellIs" dxfId="5594" priority="1160" stopIfTrue="1" operator="lessThan">
      <formula>-0.03</formula>
    </cfRule>
  </conditionalFormatting>
  <conditionalFormatting sqref="AO122:AQ122">
    <cfRule type="cellIs" dxfId="5593" priority="1157" operator="greaterThan">
      <formula>0.03</formula>
    </cfRule>
    <cfRule type="cellIs" dxfId="5592" priority="1158" stopIfTrue="1" operator="lessThan">
      <formula>-0.03</formula>
    </cfRule>
  </conditionalFormatting>
  <conditionalFormatting sqref="AI122:AK122 AI118:AK120">
    <cfRule type="cellIs" dxfId="5591" priority="1155" operator="greaterThan">
      <formula>0.03</formula>
    </cfRule>
    <cfRule type="cellIs" dxfId="5590" priority="1156" stopIfTrue="1" operator="lessThan">
      <formula>-0.03</formula>
    </cfRule>
  </conditionalFormatting>
  <conditionalFormatting sqref="AI121:AK121">
    <cfRule type="cellIs" dxfId="5589" priority="1153" operator="greaterThan">
      <formula>0.03</formula>
    </cfRule>
    <cfRule type="cellIs" dxfId="5588" priority="1154" stopIfTrue="1" operator="lessThan">
      <formula>-0.03</formula>
    </cfRule>
  </conditionalFormatting>
  <conditionalFormatting sqref="AU118:AW118">
    <cfRule type="cellIs" dxfId="5587" priority="1151" operator="greaterThan">
      <formula>0.03</formula>
    </cfRule>
    <cfRule type="cellIs" dxfId="5586" priority="1152" stopIfTrue="1" operator="lessThan">
      <formula>-0.03</formula>
    </cfRule>
  </conditionalFormatting>
  <conditionalFormatting sqref="AO128:AQ128 AO125:AQ126">
    <cfRule type="cellIs" dxfId="5585" priority="1149" operator="greaterThan">
      <formula>0.03</formula>
    </cfRule>
    <cfRule type="cellIs" dxfId="5584" priority="1150" stopIfTrue="1" operator="lessThan">
      <formula>-0.03</formula>
    </cfRule>
  </conditionalFormatting>
  <conditionalFormatting sqref="AU127:AV127">
    <cfRule type="cellIs" dxfId="5583" priority="1147" operator="greaterThan">
      <formula>0.03</formula>
    </cfRule>
    <cfRule type="cellIs" dxfId="5582" priority="1148" stopIfTrue="1" operator="lessThan">
      <formula>-0.03</formula>
    </cfRule>
  </conditionalFormatting>
  <conditionalFormatting sqref="AO127:AQ127">
    <cfRule type="cellIs" dxfId="5581" priority="1145" operator="greaterThan">
      <formula>0.03</formula>
    </cfRule>
    <cfRule type="cellIs" dxfId="5580" priority="1146" stopIfTrue="1" operator="lessThan">
      <formula>-0.03</formula>
    </cfRule>
  </conditionalFormatting>
  <conditionalFormatting sqref="AI127:AK127 AI123:AK125">
    <cfRule type="cellIs" dxfId="5579" priority="1143" operator="greaterThan">
      <formula>0.03</formula>
    </cfRule>
    <cfRule type="cellIs" dxfId="5578" priority="1144" stopIfTrue="1" operator="lessThan">
      <formula>-0.03</formula>
    </cfRule>
  </conditionalFormatting>
  <conditionalFormatting sqref="AI126:AK126">
    <cfRule type="cellIs" dxfId="5577" priority="1141" operator="greaterThan">
      <formula>0.03</formula>
    </cfRule>
    <cfRule type="cellIs" dxfId="5576" priority="1142" stopIfTrue="1" operator="lessThan">
      <formula>-0.03</formula>
    </cfRule>
  </conditionalFormatting>
  <conditionalFormatting sqref="AU123:AW123">
    <cfRule type="cellIs" dxfId="5575" priority="1139" operator="greaterThan">
      <formula>0.03</formula>
    </cfRule>
    <cfRule type="cellIs" dxfId="5574" priority="1140" stopIfTrue="1" operator="lessThan">
      <formula>-0.03</formula>
    </cfRule>
  </conditionalFormatting>
  <conditionalFormatting sqref="AO130:AQ132">
    <cfRule type="cellIs" dxfId="5573" priority="1137" operator="greaterThan">
      <formula>0.03</formula>
    </cfRule>
    <cfRule type="cellIs" dxfId="5572" priority="1138" stopIfTrue="1" operator="lessThan">
      <formula>-0.03</formula>
    </cfRule>
  </conditionalFormatting>
  <conditionalFormatting sqref="AU132:AV132">
    <cfRule type="cellIs" dxfId="5571" priority="1135" operator="greaterThan">
      <formula>0.03</formula>
    </cfRule>
    <cfRule type="cellIs" dxfId="5570" priority="1136" stopIfTrue="1" operator="lessThan">
      <formula>-0.03</formula>
    </cfRule>
  </conditionalFormatting>
  <conditionalFormatting sqref="AI132:AK132 AI128:AK130">
    <cfRule type="cellIs" dxfId="5569" priority="1133" operator="greaterThan">
      <formula>0.03</formula>
    </cfRule>
    <cfRule type="cellIs" dxfId="5568" priority="1134" stopIfTrue="1" operator="lessThan">
      <formula>-0.03</formula>
    </cfRule>
  </conditionalFormatting>
  <conditionalFormatting sqref="AI131:AK131">
    <cfRule type="cellIs" dxfId="5567" priority="1131" operator="greaterThan">
      <formula>0.03</formula>
    </cfRule>
    <cfRule type="cellIs" dxfId="5566" priority="1132" stopIfTrue="1" operator="lessThan">
      <formula>-0.03</formula>
    </cfRule>
  </conditionalFormatting>
  <conditionalFormatting sqref="AU128:AW128">
    <cfRule type="cellIs" dxfId="5565" priority="1129" operator="greaterThan">
      <formula>0.03</formula>
    </cfRule>
    <cfRule type="cellIs" dxfId="5564" priority="1130" stopIfTrue="1" operator="lessThan">
      <formula>-0.03</formula>
    </cfRule>
  </conditionalFormatting>
  <conditionalFormatting sqref="AF7:AH7 AF3:AH5">
    <cfRule type="cellIs" dxfId="5563" priority="1127" operator="greaterThan">
      <formula>0.03</formula>
    </cfRule>
    <cfRule type="cellIs" dxfId="5562" priority="1128" stopIfTrue="1" operator="lessThan">
      <formula>-0.03</formula>
    </cfRule>
  </conditionalFormatting>
  <conditionalFormatting sqref="AF156:AH156">
    <cfRule type="cellIs" dxfId="5561" priority="1119" operator="greaterThan">
      <formula>0.03</formula>
    </cfRule>
    <cfRule type="cellIs" dxfId="5560" priority="1120" stopIfTrue="1" operator="lessThan">
      <formula>-0.03</formula>
    </cfRule>
  </conditionalFormatting>
  <conditionalFormatting sqref="AF159:AH159">
    <cfRule type="cellIs" dxfId="5559" priority="1117" operator="greaterThan">
      <formula>0.03</formula>
    </cfRule>
    <cfRule type="cellIs" dxfId="5558" priority="1118" stopIfTrue="1" operator="lessThan">
      <formula>-0.03</formula>
    </cfRule>
  </conditionalFormatting>
  <conditionalFormatting sqref="AF161:AW161">
    <cfRule type="cellIs" dxfId="5557" priority="1125" operator="greaterThan">
      <formula>0.03</formula>
    </cfRule>
    <cfRule type="cellIs" dxfId="5556" priority="1126" stopIfTrue="1" operator="lessThan">
      <formula>-0.03</formula>
    </cfRule>
  </conditionalFormatting>
  <conditionalFormatting sqref="AF153:AH153 AF155:AH155">
    <cfRule type="cellIs" dxfId="5555" priority="1121" operator="greaterThan">
      <formula>0.03</formula>
    </cfRule>
    <cfRule type="cellIs" dxfId="5554" priority="1122" stopIfTrue="1" operator="lessThan">
      <formula>-0.03</formula>
    </cfRule>
  </conditionalFormatting>
  <conditionalFormatting sqref="AF157:AH158">
    <cfRule type="cellIs" dxfId="5553" priority="1123" operator="greaterThan">
      <formula>0.03</formula>
    </cfRule>
    <cfRule type="cellIs" dxfId="5552" priority="1124" stopIfTrue="1" operator="lessThan">
      <formula>-0.03</formula>
    </cfRule>
  </conditionalFormatting>
  <conditionalFormatting sqref="AF154:AH154">
    <cfRule type="cellIs" dxfId="5551" priority="1115" operator="greaterThan">
      <formula>0.03</formula>
    </cfRule>
    <cfRule type="cellIs" dxfId="5550" priority="1116" stopIfTrue="1" operator="lessThan">
      <formula>-0.03</formula>
    </cfRule>
  </conditionalFormatting>
  <conditionalFormatting sqref="AF6:AH6">
    <cfRule type="cellIs" dxfId="5549" priority="1113" operator="greaterThan">
      <formula>0.03</formula>
    </cfRule>
    <cfRule type="cellIs" dxfId="5548" priority="1114" stopIfTrue="1" operator="lessThan">
      <formula>-0.03</formula>
    </cfRule>
  </conditionalFormatting>
  <conditionalFormatting sqref="AF12:AH12 AF8:AH10">
    <cfRule type="cellIs" dxfId="5547" priority="1111" operator="greaterThan">
      <formula>0.03</formula>
    </cfRule>
    <cfRule type="cellIs" dxfId="5546" priority="1112" stopIfTrue="1" operator="lessThan">
      <formula>-0.03</formula>
    </cfRule>
  </conditionalFormatting>
  <conditionalFormatting sqref="AF11:AH11">
    <cfRule type="cellIs" dxfId="5545" priority="1109" operator="greaterThan">
      <formula>0.03</formula>
    </cfRule>
    <cfRule type="cellIs" dxfId="5544" priority="1110" stopIfTrue="1" operator="lessThan">
      <formula>-0.03</formula>
    </cfRule>
  </conditionalFormatting>
  <conditionalFormatting sqref="AF17:AH17 AF13:AH15">
    <cfRule type="cellIs" dxfId="5543" priority="1107" operator="greaterThan">
      <formula>0.03</formula>
    </cfRule>
    <cfRule type="cellIs" dxfId="5542" priority="1108" stopIfTrue="1" operator="lessThan">
      <formula>-0.03</formula>
    </cfRule>
  </conditionalFormatting>
  <conditionalFormatting sqref="AF16:AH16">
    <cfRule type="cellIs" dxfId="5541" priority="1105" operator="greaterThan">
      <formula>0.03</formula>
    </cfRule>
    <cfRule type="cellIs" dxfId="5540" priority="1106" stopIfTrue="1" operator="lessThan">
      <formula>-0.03</formula>
    </cfRule>
  </conditionalFormatting>
  <conditionalFormatting sqref="AF22:AH22 AF18:AH20">
    <cfRule type="cellIs" dxfId="5539" priority="1103" operator="greaterThan">
      <formula>0.03</formula>
    </cfRule>
    <cfRule type="cellIs" dxfId="5538" priority="1104" stopIfTrue="1" operator="lessThan">
      <formula>-0.03</formula>
    </cfRule>
  </conditionalFormatting>
  <conditionalFormatting sqref="AF21:AH21">
    <cfRule type="cellIs" dxfId="5537" priority="1101" operator="greaterThan">
      <formula>0.03</formula>
    </cfRule>
    <cfRule type="cellIs" dxfId="5536" priority="1102" stopIfTrue="1" operator="lessThan">
      <formula>-0.03</formula>
    </cfRule>
  </conditionalFormatting>
  <conditionalFormatting sqref="AF27:AH27 AF23:AH25">
    <cfRule type="cellIs" dxfId="5535" priority="1099" operator="greaterThan">
      <formula>0.03</formula>
    </cfRule>
    <cfRule type="cellIs" dxfId="5534" priority="1100" stopIfTrue="1" operator="lessThan">
      <formula>-0.03</formula>
    </cfRule>
  </conditionalFormatting>
  <conditionalFormatting sqref="AF26:AH26">
    <cfRule type="cellIs" dxfId="5533" priority="1097" operator="greaterThan">
      <formula>0.03</formula>
    </cfRule>
    <cfRule type="cellIs" dxfId="5532" priority="1098" stopIfTrue="1" operator="lessThan">
      <formula>-0.03</formula>
    </cfRule>
  </conditionalFormatting>
  <conditionalFormatting sqref="AF32:AH32 AF28:AH30">
    <cfRule type="cellIs" dxfId="5531" priority="1095" operator="greaterThan">
      <formula>0.03</formula>
    </cfRule>
    <cfRule type="cellIs" dxfId="5530" priority="1096" stopIfTrue="1" operator="lessThan">
      <formula>-0.03</formula>
    </cfRule>
  </conditionalFormatting>
  <conditionalFormatting sqref="AF31:AH31">
    <cfRule type="cellIs" dxfId="5529" priority="1093" operator="greaterThan">
      <formula>0.03</formula>
    </cfRule>
    <cfRule type="cellIs" dxfId="5528" priority="1094" stopIfTrue="1" operator="lessThan">
      <formula>-0.03</formula>
    </cfRule>
  </conditionalFormatting>
  <conditionalFormatting sqref="AF37:AH37 AF33:AH35">
    <cfRule type="cellIs" dxfId="5527" priority="1091" operator="greaterThan">
      <formula>0.03</formula>
    </cfRule>
    <cfRule type="cellIs" dxfId="5526" priority="1092" stopIfTrue="1" operator="lessThan">
      <formula>-0.03</formula>
    </cfRule>
  </conditionalFormatting>
  <conditionalFormatting sqref="AF36:AH36">
    <cfRule type="cellIs" dxfId="5525" priority="1089" operator="greaterThan">
      <formula>0.03</formula>
    </cfRule>
    <cfRule type="cellIs" dxfId="5524" priority="1090" stopIfTrue="1" operator="lessThan">
      <formula>-0.03</formula>
    </cfRule>
  </conditionalFormatting>
  <conditionalFormatting sqref="AF42:AH42 AF38:AH40">
    <cfRule type="cellIs" dxfId="5523" priority="1087" operator="greaterThan">
      <formula>0.03</formula>
    </cfRule>
    <cfRule type="cellIs" dxfId="5522" priority="1088" stopIfTrue="1" operator="lessThan">
      <formula>-0.03</formula>
    </cfRule>
  </conditionalFormatting>
  <conditionalFormatting sqref="AF41:AH41">
    <cfRule type="cellIs" dxfId="5521" priority="1085" operator="greaterThan">
      <formula>0.03</formula>
    </cfRule>
    <cfRule type="cellIs" dxfId="5520" priority="1086" stopIfTrue="1" operator="lessThan">
      <formula>-0.03</formula>
    </cfRule>
  </conditionalFormatting>
  <conditionalFormatting sqref="AF47:AH47 AF43:AH45">
    <cfRule type="cellIs" dxfId="5519" priority="1083" operator="greaterThan">
      <formula>0.03</formula>
    </cfRule>
    <cfRule type="cellIs" dxfId="5518" priority="1084" stopIfTrue="1" operator="lessThan">
      <formula>-0.03</formula>
    </cfRule>
  </conditionalFormatting>
  <conditionalFormatting sqref="AF46:AH46">
    <cfRule type="cellIs" dxfId="5517" priority="1081" operator="greaterThan">
      <formula>0.03</formula>
    </cfRule>
    <cfRule type="cellIs" dxfId="5516" priority="1082" stopIfTrue="1" operator="lessThan">
      <formula>-0.03</formula>
    </cfRule>
  </conditionalFormatting>
  <conditionalFormatting sqref="AF52:AH52 AF48:AH50">
    <cfRule type="cellIs" dxfId="5515" priority="1079" operator="greaterThan">
      <formula>0.03</formula>
    </cfRule>
    <cfRule type="cellIs" dxfId="5514" priority="1080" stopIfTrue="1" operator="lessThan">
      <formula>-0.03</formula>
    </cfRule>
  </conditionalFormatting>
  <conditionalFormatting sqref="AF51:AH51">
    <cfRule type="cellIs" dxfId="5513" priority="1077" operator="greaterThan">
      <formula>0.03</formula>
    </cfRule>
    <cfRule type="cellIs" dxfId="5512" priority="1078" stopIfTrue="1" operator="lessThan">
      <formula>-0.03</formula>
    </cfRule>
  </conditionalFormatting>
  <conditionalFormatting sqref="AF57:AH57 AF53:AH55">
    <cfRule type="cellIs" dxfId="5511" priority="1075" operator="greaterThan">
      <formula>0.03</formula>
    </cfRule>
    <cfRule type="cellIs" dxfId="5510" priority="1076" stopIfTrue="1" operator="lessThan">
      <formula>-0.03</formula>
    </cfRule>
  </conditionalFormatting>
  <conditionalFormatting sqref="AF56:AH56">
    <cfRule type="cellIs" dxfId="5509" priority="1073" operator="greaterThan">
      <formula>0.03</formula>
    </cfRule>
    <cfRule type="cellIs" dxfId="5508" priority="1074" stopIfTrue="1" operator="lessThan">
      <formula>-0.03</formula>
    </cfRule>
  </conditionalFormatting>
  <conditionalFormatting sqref="AF62:AH62 AF58:AH60">
    <cfRule type="cellIs" dxfId="5507" priority="1071" operator="greaterThan">
      <formula>0.03</formula>
    </cfRule>
    <cfRule type="cellIs" dxfId="5506" priority="1072" stopIfTrue="1" operator="lessThan">
      <formula>-0.03</formula>
    </cfRule>
  </conditionalFormatting>
  <conditionalFormatting sqref="AF61:AH61">
    <cfRule type="cellIs" dxfId="5505" priority="1069" operator="greaterThan">
      <formula>0.03</formula>
    </cfRule>
    <cfRule type="cellIs" dxfId="5504" priority="1070" stopIfTrue="1" operator="lessThan">
      <formula>-0.03</formula>
    </cfRule>
  </conditionalFormatting>
  <conditionalFormatting sqref="AF67:AH67 AF63:AH65">
    <cfRule type="cellIs" dxfId="5503" priority="1067" operator="greaterThan">
      <formula>0.03</formula>
    </cfRule>
    <cfRule type="cellIs" dxfId="5502" priority="1068" stopIfTrue="1" operator="lessThan">
      <formula>-0.03</formula>
    </cfRule>
  </conditionalFormatting>
  <conditionalFormatting sqref="AF66:AH66">
    <cfRule type="cellIs" dxfId="5501" priority="1065" operator="greaterThan">
      <formula>0.03</formula>
    </cfRule>
    <cfRule type="cellIs" dxfId="5500" priority="1066" stopIfTrue="1" operator="lessThan">
      <formula>-0.03</formula>
    </cfRule>
  </conditionalFormatting>
  <conditionalFormatting sqref="AF72:AH72 AF68:AH70">
    <cfRule type="cellIs" dxfId="5499" priority="1063" operator="greaterThan">
      <formula>0.03</formula>
    </cfRule>
    <cfRule type="cellIs" dxfId="5498" priority="1064" stopIfTrue="1" operator="lessThan">
      <formula>-0.03</formula>
    </cfRule>
  </conditionalFormatting>
  <conditionalFormatting sqref="AF71:AH71">
    <cfRule type="cellIs" dxfId="5497" priority="1061" operator="greaterThan">
      <formula>0.03</formula>
    </cfRule>
    <cfRule type="cellIs" dxfId="5496" priority="1062" stopIfTrue="1" operator="lessThan">
      <formula>-0.03</formula>
    </cfRule>
  </conditionalFormatting>
  <conditionalFormatting sqref="AF77:AH77 AF73:AH75">
    <cfRule type="cellIs" dxfId="5495" priority="1059" operator="greaterThan">
      <formula>0.03</formula>
    </cfRule>
    <cfRule type="cellIs" dxfId="5494" priority="1060" stopIfTrue="1" operator="lessThan">
      <formula>-0.03</formula>
    </cfRule>
  </conditionalFormatting>
  <conditionalFormatting sqref="AF76:AH76">
    <cfRule type="cellIs" dxfId="5493" priority="1057" operator="greaterThan">
      <formula>0.03</formula>
    </cfRule>
    <cfRule type="cellIs" dxfId="5492" priority="1058" stopIfTrue="1" operator="lessThan">
      <formula>-0.03</formula>
    </cfRule>
  </conditionalFormatting>
  <conditionalFormatting sqref="AF82:AH82 AF78:AH80">
    <cfRule type="cellIs" dxfId="5491" priority="1055" operator="greaterThan">
      <formula>0.03</formula>
    </cfRule>
    <cfRule type="cellIs" dxfId="5490" priority="1056" stopIfTrue="1" operator="lessThan">
      <formula>-0.03</formula>
    </cfRule>
  </conditionalFormatting>
  <conditionalFormatting sqref="AF81:AH81">
    <cfRule type="cellIs" dxfId="5489" priority="1053" operator="greaterThan">
      <formula>0.03</formula>
    </cfRule>
    <cfRule type="cellIs" dxfId="5488" priority="1054" stopIfTrue="1" operator="lessThan">
      <formula>-0.03</formula>
    </cfRule>
  </conditionalFormatting>
  <conditionalFormatting sqref="AF87:AH87 AF83:AH85">
    <cfRule type="cellIs" dxfId="5487" priority="1051" operator="greaterThan">
      <formula>0.03</formula>
    </cfRule>
    <cfRule type="cellIs" dxfId="5486" priority="1052" stopIfTrue="1" operator="lessThan">
      <formula>-0.03</formula>
    </cfRule>
  </conditionalFormatting>
  <conditionalFormatting sqref="AF86:AH86">
    <cfRule type="cellIs" dxfId="5485" priority="1049" operator="greaterThan">
      <formula>0.03</formula>
    </cfRule>
    <cfRule type="cellIs" dxfId="5484" priority="1050" stopIfTrue="1" operator="lessThan">
      <formula>-0.03</formula>
    </cfRule>
  </conditionalFormatting>
  <conditionalFormatting sqref="AF92:AH92 AF88:AH90">
    <cfRule type="cellIs" dxfId="5483" priority="1047" operator="greaterThan">
      <formula>0.03</formula>
    </cfRule>
    <cfRule type="cellIs" dxfId="5482" priority="1048" stopIfTrue="1" operator="lessThan">
      <formula>-0.03</formula>
    </cfRule>
  </conditionalFormatting>
  <conditionalFormatting sqref="AF91:AH91">
    <cfRule type="cellIs" dxfId="5481" priority="1045" operator="greaterThan">
      <formula>0.03</formula>
    </cfRule>
    <cfRule type="cellIs" dxfId="5480" priority="1046" stopIfTrue="1" operator="lessThan">
      <formula>-0.03</formula>
    </cfRule>
  </conditionalFormatting>
  <conditionalFormatting sqref="AF97:AH97 AF93:AH95">
    <cfRule type="cellIs" dxfId="5479" priority="1043" operator="greaterThan">
      <formula>0.03</formula>
    </cfRule>
    <cfRule type="cellIs" dxfId="5478" priority="1044" stopIfTrue="1" operator="lessThan">
      <formula>-0.03</formula>
    </cfRule>
  </conditionalFormatting>
  <conditionalFormatting sqref="AF96:AH96">
    <cfRule type="cellIs" dxfId="5477" priority="1041" operator="greaterThan">
      <formula>0.03</formula>
    </cfRule>
    <cfRule type="cellIs" dxfId="5476" priority="1042" stopIfTrue="1" operator="lessThan">
      <formula>-0.03</formula>
    </cfRule>
  </conditionalFormatting>
  <conditionalFormatting sqref="AF102:AH102 AF98:AH100">
    <cfRule type="cellIs" dxfId="5475" priority="1039" operator="greaterThan">
      <formula>0.03</formula>
    </cfRule>
    <cfRule type="cellIs" dxfId="5474" priority="1040" stopIfTrue="1" operator="lessThan">
      <formula>-0.03</formula>
    </cfRule>
  </conditionalFormatting>
  <conditionalFormatting sqref="AF101:AH101">
    <cfRule type="cellIs" dxfId="5473" priority="1037" operator="greaterThan">
      <formula>0.03</formula>
    </cfRule>
    <cfRule type="cellIs" dxfId="5472" priority="1038" stopIfTrue="1" operator="lessThan">
      <formula>-0.03</formula>
    </cfRule>
  </conditionalFormatting>
  <conditionalFormatting sqref="AF107:AH107 AF103:AH105">
    <cfRule type="cellIs" dxfId="5471" priority="1035" operator="greaterThan">
      <formula>0.03</formula>
    </cfRule>
    <cfRule type="cellIs" dxfId="5470" priority="1036" stopIfTrue="1" operator="lessThan">
      <formula>-0.03</formula>
    </cfRule>
  </conditionalFormatting>
  <conditionalFormatting sqref="AF106:AH106">
    <cfRule type="cellIs" dxfId="5469" priority="1033" operator="greaterThan">
      <formula>0.03</formula>
    </cfRule>
    <cfRule type="cellIs" dxfId="5468" priority="1034" stopIfTrue="1" operator="lessThan">
      <formula>-0.03</formula>
    </cfRule>
  </conditionalFormatting>
  <conditionalFormatting sqref="AF112:AH112 AF108:AH110">
    <cfRule type="cellIs" dxfId="5467" priority="1031" operator="greaterThan">
      <formula>0.03</formula>
    </cfRule>
    <cfRule type="cellIs" dxfId="5466" priority="1032" stopIfTrue="1" operator="lessThan">
      <formula>-0.03</formula>
    </cfRule>
  </conditionalFormatting>
  <conditionalFormatting sqref="AF111:AH111">
    <cfRule type="cellIs" dxfId="5465" priority="1029" operator="greaterThan">
      <formula>0.03</formula>
    </cfRule>
    <cfRule type="cellIs" dxfId="5464" priority="1030" stopIfTrue="1" operator="lessThan">
      <formula>-0.03</formula>
    </cfRule>
  </conditionalFormatting>
  <conditionalFormatting sqref="AF117:AH117 AF113:AH115">
    <cfRule type="cellIs" dxfId="5463" priority="1027" operator="greaterThan">
      <formula>0.03</formula>
    </cfRule>
    <cfRule type="cellIs" dxfId="5462" priority="1028" stopIfTrue="1" operator="lessThan">
      <formula>-0.03</formula>
    </cfRule>
  </conditionalFormatting>
  <conditionalFormatting sqref="AF116:AH116">
    <cfRule type="cellIs" dxfId="5461" priority="1025" operator="greaterThan">
      <formula>0.03</formula>
    </cfRule>
    <cfRule type="cellIs" dxfId="5460" priority="1026" stopIfTrue="1" operator="lessThan">
      <formula>-0.03</formula>
    </cfRule>
  </conditionalFormatting>
  <conditionalFormatting sqref="AF122:AH122 AF118:AH120">
    <cfRule type="cellIs" dxfId="5459" priority="1023" operator="greaterThan">
      <formula>0.03</formula>
    </cfRule>
    <cfRule type="cellIs" dxfId="5458" priority="1024" stopIfTrue="1" operator="lessThan">
      <formula>-0.03</formula>
    </cfRule>
  </conditionalFormatting>
  <conditionalFormatting sqref="AF121:AH121">
    <cfRule type="cellIs" dxfId="5457" priority="1021" operator="greaterThan">
      <formula>0.03</formula>
    </cfRule>
    <cfRule type="cellIs" dxfId="5456" priority="1022" stopIfTrue="1" operator="lessThan">
      <formula>-0.03</formula>
    </cfRule>
  </conditionalFormatting>
  <conditionalFormatting sqref="AF127:AH127 AF123:AH125">
    <cfRule type="cellIs" dxfId="5455" priority="1019" operator="greaterThan">
      <formula>0.03</formula>
    </cfRule>
    <cfRule type="cellIs" dxfId="5454" priority="1020" stopIfTrue="1" operator="lessThan">
      <formula>-0.03</formula>
    </cfRule>
  </conditionalFormatting>
  <conditionalFormatting sqref="AF126:AH126">
    <cfRule type="cellIs" dxfId="5453" priority="1017" operator="greaterThan">
      <formula>0.03</formula>
    </cfRule>
    <cfRule type="cellIs" dxfId="5452" priority="1018" stopIfTrue="1" operator="lessThan">
      <formula>-0.03</formula>
    </cfRule>
  </conditionalFormatting>
  <conditionalFormatting sqref="AF132:AH132 AF128:AH130">
    <cfRule type="cellIs" dxfId="5451" priority="1015" operator="greaterThan">
      <formula>0.03</formula>
    </cfRule>
    <cfRule type="cellIs" dxfId="5450" priority="1016" stopIfTrue="1" operator="lessThan">
      <formula>-0.03</formula>
    </cfRule>
  </conditionalFormatting>
  <conditionalFormatting sqref="AF131:AH131">
    <cfRule type="cellIs" dxfId="5449" priority="1013" operator="greaterThan">
      <formula>0.03</formula>
    </cfRule>
    <cfRule type="cellIs" dxfId="5448" priority="1014" stopIfTrue="1" operator="lessThan">
      <formula>-0.03</formula>
    </cfRule>
  </conditionalFormatting>
  <conditionalFormatting sqref="AL8:AN8 AL5:AN6">
    <cfRule type="cellIs" dxfId="5447" priority="1011" operator="greaterThan">
      <formula>0.03</formula>
    </cfRule>
    <cfRule type="cellIs" dxfId="5446" priority="1012" stopIfTrue="1" operator="lessThan">
      <formula>-0.03</formula>
    </cfRule>
  </conditionalFormatting>
  <conditionalFormatting sqref="AL156:AN156">
    <cfRule type="cellIs" dxfId="5445" priority="1003" operator="greaterThan">
      <formula>0.03</formula>
    </cfRule>
    <cfRule type="cellIs" dxfId="5444" priority="1004" stopIfTrue="1" operator="lessThan">
      <formula>-0.03</formula>
    </cfRule>
  </conditionalFormatting>
  <conditionalFormatting sqref="AL159:AN159">
    <cfRule type="cellIs" dxfId="5443" priority="1001" operator="greaterThan">
      <formula>0.03</formula>
    </cfRule>
    <cfRule type="cellIs" dxfId="5442" priority="1002" stopIfTrue="1" operator="lessThan">
      <formula>-0.03</formula>
    </cfRule>
  </conditionalFormatting>
  <conditionalFormatting sqref="AL161:AN161">
    <cfRule type="cellIs" dxfId="5441" priority="1009" operator="greaterThan">
      <formula>0.03</formula>
    </cfRule>
    <cfRule type="cellIs" dxfId="5440" priority="1010" stopIfTrue="1" operator="lessThan">
      <formula>-0.03</formula>
    </cfRule>
  </conditionalFormatting>
  <conditionalFormatting sqref="AL153:AN153 AL155:AN155">
    <cfRule type="cellIs" dxfId="5439" priority="1005" operator="greaterThan">
      <formula>0.03</formula>
    </cfRule>
    <cfRule type="cellIs" dxfId="5438" priority="1006" stopIfTrue="1" operator="lessThan">
      <formula>-0.03</formula>
    </cfRule>
  </conditionalFormatting>
  <conditionalFormatting sqref="AL157:AN158">
    <cfRule type="cellIs" dxfId="5437" priority="1007" operator="greaterThan">
      <formula>0.03</formula>
    </cfRule>
    <cfRule type="cellIs" dxfId="5436" priority="1008" stopIfTrue="1" operator="lessThan">
      <formula>-0.03</formula>
    </cfRule>
  </conditionalFormatting>
  <conditionalFormatting sqref="AL154:AN154">
    <cfRule type="cellIs" dxfId="5435" priority="999" operator="greaterThan">
      <formula>0.03</formula>
    </cfRule>
    <cfRule type="cellIs" dxfId="5434" priority="1000" stopIfTrue="1" operator="lessThan">
      <formula>-0.03</formula>
    </cfRule>
  </conditionalFormatting>
  <conditionalFormatting sqref="AL7:AN7">
    <cfRule type="cellIs" dxfId="5433" priority="997" operator="greaterThan">
      <formula>0.03</formula>
    </cfRule>
    <cfRule type="cellIs" dxfId="5432" priority="998" stopIfTrue="1" operator="lessThan">
      <formula>-0.03</formula>
    </cfRule>
  </conditionalFormatting>
  <conditionalFormatting sqref="AL13:AN13 AL10:AN11">
    <cfRule type="cellIs" dxfId="5431" priority="995" operator="greaterThan">
      <formula>0.03</formula>
    </cfRule>
    <cfRule type="cellIs" dxfId="5430" priority="996" stopIfTrue="1" operator="lessThan">
      <formula>-0.03</formula>
    </cfRule>
  </conditionalFormatting>
  <conditionalFormatting sqref="AL12:AN12">
    <cfRule type="cellIs" dxfId="5429" priority="993" operator="greaterThan">
      <formula>0.03</formula>
    </cfRule>
    <cfRule type="cellIs" dxfId="5428" priority="994" stopIfTrue="1" operator="lessThan">
      <formula>-0.03</formula>
    </cfRule>
  </conditionalFormatting>
  <conditionalFormatting sqref="AL18:AN18 AL15:AN16">
    <cfRule type="cellIs" dxfId="5427" priority="991" operator="greaterThan">
      <formula>0.03</formula>
    </cfRule>
    <cfRule type="cellIs" dxfId="5426" priority="992" stopIfTrue="1" operator="lessThan">
      <formula>-0.03</formula>
    </cfRule>
  </conditionalFormatting>
  <conditionalFormatting sqref="AL17:AN17">
    <cfRule type="cellIs" dxfId="5425" priority="989" operator="greaterThan">
      <formula>0.03</formula>
    </cfRule>
    <cfRule type="cellIs" dxfId="5424" priority="990" stopIfTrue="1" operator="lessThan">
      <formula>-0.03</formula>
    </cfRule>
  </conditionalFormatting>
  <conditionalFormatting sqref="AL23:AN23 AL20:AN21">
    <cfRule type="cellIs" dxfId="5423" priority="987" operator="greaterThan">
      <formula>0.03</formula>
    </cfRule>
    <cfRule type="cellIs" dxfId="5422" priority="988" stopIfTrue="1" operator="lessThan">
      <formula>-0.03</formula>
    </cfRule>
  </conditionalFormatting>
  <conditionalFormatting sqref="AL22:AN22">
    <cfRule type="cellIs" dxfId="5421" priority="985" operator="greaterThan">
      <formula>0.03</formula>
    </cfRule>
    <cfRule type="cellIs" dxfId="5420" priority="986" stopIfTrue="1" operator="lessThan">
      <formula>-0.03</formula>
    </cfRule>
  </conditionalFormatting>
  <conditionalFormatting sqref="AL28:AN28 AL25:AN26">
    <cfRule type="cellIs" dxfId="5419" priority="983" operator="greaterThan">
      <formula>0.03</formula>
    </cfRule>
    <cfRule type="cellIs" dxfId="5418" priority="984" stopIfTrue="1" operator="lessThan">
      <formula>-0.03</formula>
    </cfRule>
  </conditionalFormatting>
  <conditionalFormatting sqref="AL27:AN27">
    <cfRule type="cellIs" dxfId="5417" priority="981" operator="greaterThan">
      <formula>0.03</formula>
    </cfRule>
    <cfRule type="cellIs" dxfId="5416" priority="982" stopIfTrue="1" operator="lessThan">
      <formula>-0.03</formula>
    </cfRule>
  </conditionalFormatting>
  <conditionalFormatting sqref="AL33:AN33 AL30:AN31">
    <cfRule type="cellIs" dxfId="5415" priority="979" operator="greaterThan">
      <formula>0.03</formula>
    </cfRule>
    <cfRule type="cellIs" dxfId="5414" priority="980" stopIfTrue="1" operator="lessThan">
      <formula>-0.03</formula>
    </cfRule>
  </conditionalFormatting>
  <conditionalFormatting sqref="AL32:AN32">
    <cfRule type="cellIs" dxfId="5413" priority="977" operator="greaterThan">
      <formula>0.03</formula>
    </cfRule>
    <cfRule type="cellIs" dxfId="5412" priority="978" stopIfTrue="1" operator="lessThan">
      <formula>-0.03</formula>
    </cfRule>
  </conditionalFormatting>
  <conditionalFormatting sqref="AL38:AN38 AL35:AN36">
    <cfRule type="cellIs" dxfId="5411" priority="975" operator="greaterThan">
      <formula>0.03</formula>
    </cfRule>
    <cfRule type="cellIs" dxfId="5410" priority="976" stopIfTrue="1" operator="lessThan">
      <formula>-0.03</formula>
    </cfRule>
  </conditionalFormatting>
  <conditionalFormatting sqref="AL37:AN37">
    <cfRule type="cellIs" dxfId="5409" priority="973" operator="greaterThan">
      <formula>0.03</formula>
    </cfRule>
    <cfRule type="cellIs" dxfId="5408" priority="974" stopIfTrue="1" operator="lessThan">
      <formula>-0.03</formula>
    </cfRule>
  </conditionalFormatting>
  <conditionalFormatting sqref="AL43:AN43 AL40:AN41">
    <cfRule type="cellIs" dxfId="5407" priority="971" operator="greaterThan">
      <formula>0.03</formula>
    </cfRule>
    <cfRule type="cellIs" dxfId="5406" priority="972" stopIfTrue="1" operator="lessThan">
      <formula>-0.03</formula>
    </cfRule>
  </conditionalFormatting>
  <conditionalFormatting sqref="AL42:AN42">
    <cfRule type="cellIs" dxfId="5405" priority="969" operator="greaterThan">
      <formula>0.03</formula>
    </cfRule>
    <cfRule type="cellIs" dxfId="5404" priority="970" stopIfTrue="1" operator="lessThan">
      <formula>-0.03</formula>
    </cfRule>
  </conditionalFormatting>
  <conditionalFormatting sqref="AL48:AN48 AL45:AN46">
    <cfRule type="cellIs" dxfId="5403" priority="967" operator="greaterThan">
      <formula>0.03</formula>
    </cfRule>
    <cfRule type="cellIs" dxfId="5402" priority="968" stopIfTrue="1" operator="lessThan">
      <formula>-0.03</formula>
    </cfRule>
  </conditionalFormatting>
  <conditionalFormatting sqref="AL47:AN47">
    <cfRule type="cellIs" dxfId="5401" priority="965" operator="greaterThan">
      <formula>0.03</formula>
    </cfRule>
    <cfRule type="cellIs" dxfId="5400" priority="966" stopIfTrue="1" operator="lessThan">
      <formula>-0.03</formula>
    </cfRule>
  </conditionalFormatting>
  <conditionalFormatting sqref="AL53:AN53 AL50:AN51">
    <cfRule type="cellIs" dxfId="5399" priority="963" operator="greaterThan">
      <formula>0.03</formula>
    </cfRule>
    <cfRule type="cellIs" dxfId="5398" priority="964" stopIfTrue="1" operator="lessThan">
      <formula>-0.03</formula>
    </cfRule>
  </conditionalFormatting>
  <conditionalFormatting sqref="AL52:AN52">
    <cfRule type="cellIs" dxfId="5397" priority="961" operator="greaterThan">
      <formula>0.03</formula>
    </cfRule>
    <cfRule type="cellIs" dxfId="5396" priority="962" stopIfTrue="1" operator="lessThan">
      <formula>-0.03</formula>
    </cfRule>
  </conditionalFormatting>
  <conditionalFormatting sqref="AL58:AN58 AL55:AN56">
    <cfRule type="cellIs" dxfId="5395" priority="959" operator="greaterThan">
      <formula>0.03</formula>
    </cfRule>
    <cfRule type="cellIs" dxfId="5394" priority="960" stopIfTrue="1" operator="lessThan">
      <formula>-0.03</formula>
    </cfRule>
  </conditionalFormatting>
  <conditionalFormatting sqref="AL57:AN57">
    <cfRule type="cellIs" dxfId="5393" priority="957" operator="greaterThan">
      <formula>0.03</formula>
    </cfRule>
    <cfRule type="cellIs" dxfId="5392" priority="958" stopIfTrue="1" operator="lessThan">
      <formula>-0.03</formula>
    </cfRule>
  </conditionalFormatting>
  <conditionalFormatting sqref="AL63:AN63 AL60:AN61">
    <cfRule type="cellIs" dxfId="5391" priority="955" operator="greaterThan">
      <formula>0.03</formula>
    </cfRule>
    <cfRule type="cellIs" dxfId="5390" priority="956" stopIfTrue="1" operator="lessThan">
      <formula>-0.03</formula>
    </cfRule>
  </conditionalFormatting>
  <conditionalFormatting sqref="AL62:AN62">
    <cfRule type="cellIs" dxfId="5389" priority="953" operator="greaterThan">
      <formula>0.03</formula>
    </cfRule>
    <cfRule type="cellIs" dxfId="5388" priority="954" stopIfTrue="1" operator="lessThan">
      <formula>-0.03</formula>
    </cfRule>
  </conditionalFormatting>
  <conditionalFormatting sqref="AL68:AN68 AL65:AN66">
    <cfRule type="cellIs" dxfId="5387" priority="951" operator="greaterThan">
      <formula>0.03</formula>
    </cfRule>
    <cfRule type="cellIs" dxfId="5386" priority="952" stopIfTrue="1" operator="lessThan">
      <formula>-0.03</formula>
    </cfRule>
  </conditionalFormatting>
  <conditionalFormatting sqref="AL67:AN67">
    <cfRule type="cellIs" dxfId="5385" priority="949" operator="greaterThan">
      <formula>0.03</formula>
    </cfRule>
    <cfRule type="cellIs" dxfId="5384" priority="950" stopIfTrue="1" operator="lessThan">
      <formula>-0.03</formula>
    </cfRule>
  </conditionalFormatting>
  <conditionalFormatting sqref="AL73:AN73 AL70:AN71">
    <cfRule type="cellIs" dxfId="5383" priority="947" operator="greaterThan">
      <formula>0.03</formula>
    </cfRule>
    <cfRule type="cellIs" dxfId="5382" priority="948" stopIfTrue="1" operator="lessThan">
      <formula>-0.03</formula>
    </cfRule>
  </conditionalFormatting>
  <conditionalFormatting sqref="AL72:AN72">
    <cfRule type="cellIs" dxfId="5381" priority="945" operator="greaterThan">
      <formula>0.03</formula>
    </cfRule>
    <cfRule type="cellIs" dxfId="5380" priority="946" stopIfTrue="1" operator="lessThan">
      <formula>-0.03</formula>
    </cfRule>
  </conditionalFormatting>
  <conditionalFormatting sqref="AL78:AN78 AL75:AN76">
    <cfRule type="cellIs" dxfId="5379" priority="943" operator="greaterThan">
      <formula>0.03</formula>
    </cfRule>
    <cfRule type="cellIs" dxfId="5378" priority="944" stopIfTrue="1" operator="lessThan">
      <formula>-0.03</formula>
    </cfRule>
  </conditionalFormatting>
  <conditionalFormatting sqref="AL77:AN77">
    <cfRule type="cellIs" dxfId="5377" priority="941" operator="greaterThan">
      <formula>0.03</formula>
    </cfRule>
    <cfRule type="cellIs" dxfId="5376" priority="942" stopIfTrue="1" operator="lessThan">
      <formula>-0.03</formula>
    </cfRule>
  </conditionalFormatting>
  <conditionalFormatting sqref="AL83:AN83 AL80:AN81">
    <cfRule type="cellIs" dxfId="5375" priority="939" operator="greaterThan">
      <formula>0.03</formula>
    </cfRule>
    <cfRule type="cellIs" dxfId="5374" priority="940" stopIfTrue="1" operator="lessThan">
      <formula>-0.03</formula>
    </cfRule>
  </conditionalFormatting>
  <conditionalFormatting sqref="AL82:AN82">
    <cfRule type="cellIs" dxfId="5373" priority="937" operator="greaterThan">
      <formula>0.03</formula>
    </cfRule>
    <cfRule type="cellIs" dxfId="5372" priority="938" stopIfTrue="1" operator="lessThan">
      <formula>-0.03</formula>
    </cfRule>
  </conditionalFormatting>
  <conditionalFormatting sqref="AL88:AN88 AL85:AN86">
    <cfRule type="cellIs" dxfId="5371" priority="935" operator="greaterThan">
      <formula>0.03</formula>
    </cfRule>
    <cfRule type="cellIs" dxfId="5370" priority="936" stopIfTrue="1" operator="lessThan">
      <formula>-0.03</formula>
    </cfRule>
  </conditionalFormatting>
  <conditionalFormatting sqref="AL87:AN87">
    <cfRule type="cellIs" dxfId="5369" priority="933" operator="greaterThan">
      <formula>0.03</formula>
    </cfRule>
    <cfRule type="cellIs" dxfId="5368" priority="934" stopIfTrue="1" operator="lessThan">
      <formula>-0.03</formula>
    </cfRule>
  </conditionalFormatting>
  <conditionalFormatting sqref="AL93:AN93 AL90:AN91">
    <cfRule type="cellIs" dxfId="5367" priority="931" operator="greaterThan">
      <formula>0.03</formula>
    </cfRule>
    <cfRule type="cellIs" dxfId="5366" priority="932" stopIfTrue="1" operator="lessThan">
      <formula>-0.03</formula>
    </cfRule>
  </conditionalFormatting>
  <conditionalFormatting sqref="AL92:AN92">
    <cfRule type="cellIs" dxfId="5365" priority="929" operator="greaterThan">
      <formula>0.03</formula>
    </cfRule>
    <cfRule type="cellIs" dxfId="5364" priority="930" stopIfTrue="1" operator="lessThan">
      <formula>-0.03</formula>
    </cfRule>
  </conditionalFormatting>
  <conditionalFormatting sqref="AL98:AN98 AL95:AN96">
    <cfRule type="cellIs" dxfId="5363" priority="927" operator="greaterThan">
      <formula>0.03</formula>
    </cfRule>
    <cfRule type="cellIs" dxfId="5362" priority="928" stopIfTrue="1" operator="lessThan">
      <formula>-0.03</formula>
    </cfRule>
  </conditionalFormatting>
  <conditionalFormatting sqref="AL97:AN97">
    <cfRule type="cellIs" dxfId="5361" priority="925" operator="greaterThan">
      <formula>0.03</formula>
    </cfRule>
    <cfRule type="cellIs" dxfId="5360" priority="926" stopIfTrue="1" operator="lessThan">
      <formula>-0.03</formula>
    </cfRule>
  </conditionalFormatting>
  <conditionalFormatting sqref="AL103:AN103 AL100:AN101">
    <cfRule type="cellIs" dxfId="5359" priority="923" operator="greaterThan">
      <formula>0.03</formula>
    </cfRule>
    <cfRule type="cellIs" dxfId="5358" priority="924" stopIfTrue="1" operator="lessThan">
      <formula>-0.03</formula>
    </cfRule>
  </conditionalFormatting>
  <conditionalFormatting sqref="AL102:AN102">
    <cfRule type="cellIs" dxfId="5357" priority="921" operator="greaterThan">
      <formula>0.03</formula>
    </cfRule>
    <cfRule type="cellIs" dxfId="5356" priority="922" stopIfTrue="1" operator="lessThan">
      <formula>-0.03</formula>
    </cfRule>
  </conditionalFormatting>
  <conditionalFormatting sqref="AL108:AN108 AL105:AN106">
    <cfRule type="cellIs" dxfId="5355" priority="919" operator="greaterThan">
      <formula>0.03</formula>
    </cfRule>
    <cfRule type="cellIs" dxfId="5354" priority="920" stopIfTrue="1" operator="lessThan">
      <formula>-0.03</formula>
    </cfRule>
  </conditionalFormatting>
  <conditionalFormatting sqref="AL107:AN107">
    <cfRule type="cellIs" dxfId="5353" priority="917" operator="greaterThan">
      <formula>0.03</formula>
    </cfRule>
    <cfRule type="cellIs" dxfId="5352" priority="918" stopIfTrue="1" operator="lessThan">
      <formula>-0.03</formula>
    </cfRule>
  </conditionalFormatting>
  <conditionalFormatting sqref="AL113:AN113 AL110:AN111">
    <cfRule type="cellIs" dxfId="5351" priority="915" operator="greaterThan">
      <formula>0.03</formula>
    </cfRule>
    <cfRule type="cellIs" dxfId="5350" priority="916" stopIfTrue="1" operator="lessThan">
      <formula>-0.03</formula>
    </cfRule>
  </conditionalFormatting>
  <conditionalFormatting sqref="AL112:AN112">
    <cfRule type="cellIs" dxfId="5349" priority="913" operator="greaterThan">
      <formula>0.03</formula>
    </cfRule>
    <cfRule type="cellIs" dxfId="5348" priority="914" stopIfTrue="1" operator="lessThan">
      <formula>-0.03</formula>
    </cfRule>
  </conditionalFormatting>
  <conditionalFormatting sqref="AL118:AN118 AL115:AN116">
    <cfRule type="cellIs" dxfId="5347" priority="911" operator="greaterThan">
      <formula>0.03</formula>
    </cfRule>
    <cfRule type="cellIs" dxfId="5346" priority="912" stopIfTrue="1" operator="lessThan">
      <formula>-0.03</formula>
    </cfRule>
  </conditionalFormatting>
  <conditionalFormatting sqref="AL117:AN117">
    <cfRule type="cellIs" dxfId="5345" priority="909" operator="greaterThan">
      <formula>0.03</formula>
    </cfRule>
    <cfRule type="cellIs" dxfId="5344" priority="910" stopIfTrue="1" operator="lessThan">
      <formula>-0.03</formula>
    </cfRule>
  </conditionalFormatting>
  <conditionalFormatting sqref="AL123:AN123 AL120:AN121">
    <cfRule type="cellIs" dxfId="5343" priority="907" operator="greaterThan">
      <formula>0.03</formula>
    </cfRule>
    <cfRule type="cellIs" dxfId="5342" priority="908" stopIfTrue="1" operator="lessThan">
      <formula>-0.03</formula>
    </cfRule>
  </conditionalFormatting>
  <conditionalFormatting sqref="AL122:AN122">
    <cfRule type="cellIs" dxfId="5341" priority="905" operator="greaterThan">
      <formula>0.03</formula>
    </cfRule>
    <cfRule type="cellIs" dxfId="5340" priority="906" stopIfTrue="1" operator="lessThan">
      <formula>-0.03</formula>
    </cfRule>
  </conditionalFormatting>
  <conditionalFormatting sqref="AL128:AN128 AL125:AN126">
    <cfRule type="cellIs" dxfId="5339" priority="903" operator="greaterThan">
      <formula>0.03</formula>
    </cfRule>
    <cfRule type="cellIs" dxfId="5338" priority="904" stopIfTrue="1" operator="lessThan">
      <formula>-0.03</formula>
    </cfRule>
  </conditionalFormatting>
  <conditionalFormatting sqref="AL127:AN127">
    <cfRule type="cellIs" dxfId="5337" priority="901" operator="greaterThan">
      <formula>0.03</formula>
    </cfRule>
    <cfRule type="cellIs" dxfId="5336" priority="902" stopIfTrue="1" operator="lessThan">
      <formula>-0.03</formula>
    </cfRule>
  </conditionalFormatting>
  <conditionalFormatting sqref="AL130:AN132">
    <cfRule type="cellIs" dxfId="5335" priority="899" operator="greaterThan">
      <formula>0.03</formula>
    </cfRule>
    <cfRule type="cellIs" dxfId="5334" priority="900" stopIfTrue="1" operator="lessThan">
      <formula>-0.03</formula>
    </cfRule>
  </conditionalFormatting>
  <conditionalFormatting sqref="AR7:AS7">
    <cfRule type="cellIs" dxfId="5333" priority="897" operator="greaterThan">
      <formula>0.03</formula>
    </cfRule>
    <cfRule type="cellIs" dxfId="5332" priority="898" stopIfTrue="1" operator="lessThan">
      <formula>-0.03</formula>
    </cfRule>
  </conditionalFormatting>
  <conditionalFormatting sqref="AR156:AT156">
    <cfRule type="cellIs" dxfId="5331" priority="889" operator="greaterThan">
      <formula>0.03</formula>
    </cfRule>
    <cfRule type="cellIs" dxfId="5330" priority="890" stopIfTrue="1" operator="lessThan">
      <formula>-0.03</formula>
    </cfRule>
  </conditionalFormatting>
  <conditionalFormatting sqref="AR159:AT159">
    <cfRule type="cellIs" dxfId="5329" priority="887" operator="greaterThan">
      <formula>0.03</formula>
    </cfRule>
    <cfRule type="cellIs" dxfId="5328" priority="888" stopIfTrue="1" operator="lessThan">
      <formula>-0.03</formula>
    </cfRule>
  </conditionalFormatting>
  <conditionalFormatting sqref="AR161:AT161">
    <cfRule type="cellIs" dxfId="5327" priority="895" operator="greaterThan">
      <formula>0.03</formula>
    </cfRule>
    <cfRule type="cellIs" dxfId="5326" priority="896" stopIfTrue="1" operator="lessThan">
      <formula>-0.03</formula>
    </cfRule>
  </conditionalFormatting>
  <conditionalFormatting sqref="AR155:AT155 AR153:AT153">
    <cfRule type="cellIs" dxfId="5325" priority="891" operator="greaterThan">
      <formula>0.03</formula>
    </cfRule>
    <cfRule type="cellIs" dxfId="5324" priority="892" stopIfTrue="1" operator="lessThan">
      <formula>-0.03</formula>
    </cfRule>
  </conditionalFormatting>
  <conditionalFormatting sqref="AR157:AT158">
    <cfRule type="cellIs" dxfId="5323" priority="893" operator="greaterThan">
      <formula>0.03</formula>
    </cfRule>
    <cfRule type="cellIs" dxfId="5322" priority="894" stopIfTrue="1" operator="lessThan">
      <formula>-0.03</formula>
    </cfRule>
  </conditionalFormatting>
  <conditionalFormatting sqref="AR154:AT154">
    <cfRule type="cellIs" dxfId="5321" priority="885" operator="greaterThan">
      <formula>0.03</formula>
    </cfRule>
    <cfRule type="cellIs" dxfId="5320" priority="886" stopIfTrue="1" operator="lessThan">
      <formula>-0.03</formula>
    </cfRule>
  </conditionalFormatting>
  <conditionalFormatting sqref="AR3:AT3">
    <cfRule type="cellIs" dxfId="5319" priority="883" operator="greaterThan">
      <formula>0.03</formula>
    </cfRule>
    <cfRule type="cellIs" dxfId="5318" priority="884" stopIfTrue="1" operator="lessThan">
      <formula>-0.03</formula>
    </cfRule>
  </conditionalFormatting>
  <conditionalFormatting sqref="AR12:AS12">
    <cfRule type="cellIs" dxfId="5317" priority="881" operator="greaterThan">
      <formula>0.03</formula>
    </cfRule>
    <cfRule type="cellIs" dxfId="5316" priority="882" stopIfTrue="1" operator="lessThan">
      <formula>-0.03</formula>
    </cfRule>
  </conditionalFormatting>
  <conditionalFormatting sqref="AR8:AT8">
    <cfRule type="cellIs" dxfId="5315" priority="879" operator="greaterThan">
      <formula>0.03</formula>
    </cfRule>
    <cfRule type="cellIs" dxfId="5314" priority="880" stopIfTrue="1" operator="lessThan">
      <formula>-0.03</formula>
    </cfRule>
  </conditionalFormatting>
  <conditionalFormatting sqref="AR17:AS17">
    <cfRule type="cellIs" dxfId="5313" priority="877" operator="greaterThan">
      <formula>0.03</formula>
    </cfRule>
    <cfRule type="cellIs" dxfId="5312" priority="878" stopIfTrue="1" operator="lessThan">
      <formula>-0.03</formula>
    </cfRule>
  </conditionalFormatting>
  <conditionalFormatting sqref="AR13:AT13">
    <cfRule type="cellIs" dxfId="5311" priority="875" operator="greaterThan">
      <formula>0.03</formula>
    </cfRule>
    <cfRule type="cellIs" dxfId="5310" priority="876" stopIfTrue="1" operator="lessThan">
      <formula>-0.03</formula>
    </cfRule>
  </conditionalFormatting>
  <conditionalFormatting sqref="AR22:AS22">
    <cfRule type="cellIs" dxfId="5309" priority="873" operator="greaterThan">
      <formula>0.03</formula>
    </cfRule>
    <cfRule type="cellIs" dxfId="5308" priority="874" stopIfTrue="1" operator="lessThan">
      <formula>-0.03</formula>
    </cfRule>
  </conditionalFormatting>
  <conditionalFormatting sqref="AR18:AT18">
    <cfRule type="cellIs" dxfId="5307" priority="871" operator="greaterThan">
      <formula>0.03</formula>
    </cfRule>
    <cfRule type="cellIs" dxfId="5306" priority="872" stopIfTrue="1" operator="lessThan">
      <formula>-0.03</formula>
    </cfRule>
  </conditionalFormatting>
  <conditionalFormatting sqref="AR27:AS27">
    <cfRule type="cellIs" dxfId="5305" priority="869" operator="greaterThan">
      <formula>0.03</formula>
    </cfRule>
    <cfRule type="cellIs" dxfId="5304" priority="870" stopIfTrue="1" operator="lessThan">
      <formula>-0.03</formula>
    </cfRule>
  </conditionalFormatting>
  <conditionalFormatting sqref="AR23:AT23">
    <cfRule type="cellIs" dxfId="5303" priority="867" operator="greaterThan">
      <formula>0.03</formula>
    </cfRule>
    <cfRule type="cellIs" dxfId="5302" priority="868" stopIfTrue="1" operator="lessThan">
      <formula>-0.03</formula>
    </cfRule>
  </conditionalFormatting>
  <conditionalFormatting sqref="AR32:AS32">
    <cfRule type="cellIs" dxfId="5301" priority="865" operator="greaterThan">
      <formula>0.03</formula>
    </cfRule>
    <cfRule type="cellIs" dxfId="5300" priority="866" stopIfTrue="1" operator="lessThan">
      <formula>-0.03</formula>
    </cfRule>
  </conditionalFormatting>
  <conditionalFormatting sqref="AR28:AT28">
    <cfRule type="cellIs" dxfId="5299" priority="863" operator="greaterThan">
      <formula>0.03</formula>
    </cfRule>
    <cfRule type="cellIs" dxfId="5298" priority="864" stopIfTrue="1" operator="lessThan">
      <formula>-0.03</formula>
    </cfRule>
  </conditionalFormatting>
  <conditionalFormatting sqref="AR37:AS37">
    <cfRule type="cellIs" dxfId="5297" priority="861" operator="greaterThan">
      <formula>0.03</formula>
    </cfRule>
    <cfRule type="cellIs" dxfId="5296" priority="862" stopIfTrue="1" operator="lessThan">
      <formula>-0.03</formula>
    </cfRule>
  </conditionalFormatting>
  <conditionalFormatting sqref="AR33:AT33">
    <cfRule type="cellIs" dxfId="5295" priority="859" operator="greaterThan">
      <formula>0.03</formula>
    </cfRule>
    <cfRule type="cellIs" dxfId="5294" priority="860" stopIfTrue="1" operator="lessThan">
      <formula>-0.03</formula>
    </cfRule>
  </conditionalFormatting>
  <conditionalFormatting sqref="AR42:AS42">
    <cfRule type="cellIs" dxfId="5293" priority="857" operator="greaterThan">
      <formula>0.03</formula>
    </cfRule>
    <cfRule type="cellIs" dxfId="5292" priority="858" stopIfTrue="1" operator="lessThan">
      <formula>-0.03</formula>
    </cfRule>
  </conditionalFormatting>
  <conditionalFormatting sqref="AR38:AT38">
    <cfRule type="cellIs" dxfId="5291" priority="855" operator="greaterThan">
      <formula>0.03</formula>
    </cfRule>
    <cfRule type="cellIs" dxfId="5290" priority="856" stopIfTrue="1" operator="lessThan">
      <formula>-0.03</formula>
    </cfRule>
  </conditionalFormatting>
  <conditionalFormatting sqref="AR47:AS47">
    <cfRule type="cellIs" dxfId="5289" priority="853" operator="greaterThan">
      <formula>0.03</formula>
    </cfRule>
    <cfRule type="cellIs" dxfId="5288" priority="854" stopIfTrue="1" operator="lessThan">
      <formula>-0.03</formula>
    </cfRule>
  </conditionalFormatting>
  <conditionalFormatting sqref="AR43:AT43">
    <cfRule type="cellIs" dxfId="5287" priority="851" operator="greaterThan">
      <formula>0.03</formula>
    </cfRule>
    <cfRule type="cellIs" dxfId="5286" priority="852" stopIfTrue="1" operator="lessThan">
      <formula>-0.03</formula>
    </cfRule>
  </conditionalFormatting>
  <conditionalFormatting sqref="AR52:AS52">
    <cfRule type="cellIs" dxfId="5285" priority="849" operator="greaterThan">
      <formula>0.03</formula>
    </cfRule>
    <cfRule type="cellIs" dxfId="5284" priority="850" stopIfTrue="1" operator="lessThan">
      <formula>-0.03</formula>
    </cfRule>
  </conditionalFormatting>
  <conditionalFormatting sqref="AR48:AT48">
    <cfRule type="cellIs" dxfId="5283" priority="847" operator="greaterThan">
      <formula>0.03</formula>
    </cfRule>
    <cfRule type="cellIs" dxfId="5282" priority="848" stopIfTrue="1" operator="lessThan">
      <formula>-0.03</formula>
    </cfRule>
  </conditionalFormatting>
  <conditionalFormatting sqref="AR57:AS57">
    <cfRule type="cellIs" dxfId="5281" priority="845" operator="greaterThan">
      <formula>0.03</formula>
    </cfRule>
    <cfRule type="cellIs" dxfId="5280" priority="846" stopIfTrue="1" operator="lessThan">
      <formula>-0.03</formula>
    </cfRule>
  </conditionalFormatting>
  <conditionalFormatting sqref="AR53:AT53">
    <cfRule type="cellIs" dxfId="5279" priority="843" operator="greaterThan">
      <formula>0.03</formula>
    </cfRule>
    <cfRule type="cellIs" dxfId="5278" priority="844" stopIfTrue="1" operator="lessThan">
      <formula>-0.03</formula>
    </cfRule>
  </conditionalFormatting>
  <conditionalFormatting sqref="AR62:AS62">
    <cfRule type="cellIs" dxfId="5277" priority="841" operator="greaterThan">
      <formula>0.03</formula>
    </cfRule>
    <cfRule type="cellIs" dxfId="5276" priority="842" stopIfTrue="1" operator="lessThan">
      <formula>-0.03</formula>
    </cfRule>
  </conditionalFormatting>
  <conditionalFormatting sqref="AR58:AT58">
    <cfRule type="cellIs" dxfId="5275" priority="839" operator="greaterThan">
      <formula>0.03</formula>
    </cfRule>
    <cfRule type="cellIs" dxfId="5274" priority="840" stopIfTrue="1" operator="lessThan">
      <formula>-0.03</formula>
    </cfRule>
  </conditionalFormatting>
  <conditionalFormatting sqref="AR67:AS67">
    <cfRule type="cellIs" dxfId="5273" priority="837" operator="greaterThan">
      <formula>0.03</formula>
    </cfRule>
    <cfRule type="cellIs" dxfId="5272" priority="838" stopIfTrue="1" operator="lessThan">
      <formula>-0.03</formula>
    </cfRule>
  </conditionalFormatting>
  <conditionalFormatting sqref="AR63:AT63">
    <cfRule type="cellIs" dxfId="5271" priority="835" operator="greaterThan">
      <formula>0.03</formula>
    </cfRule>
    <cfRule type="cellIs" dxfId="5270" priority="836" stopIfTrue="1" operator="lessThan">
      <formula>-0.03</formula>
    </cfRule>
  </conditionalFormatting>
  <conditionalFormatting sqref="AR72:AS72">
    <cfRule type="cellIs" dxfId="5269" priority="833" operator="greaterThan">
      <formula>0.03</formula>
    </cfRule>
    <cfRule type="cellIs" dxfId="5268" priority="834" stopIfTrue="1" operator="lessThan">
      <formula>-0.03</formula>
    </cfRule>
  </conditionalFormatting>
  <conditionalFormatting sqref="AR68:AT68">
    <cfRule type="cellIs" dxfId="5267" priority="831" operator="greaterThan">
      <formula>0.03</formula>
    </cfRule>
    <cfRule type="cellIs" dxfId="5266" priority="832" stopIfTrue="1" operator="lessThan">
      <formula>-0.03</formula>
    </cfRule>
  </conditionalFormatting>
  <conditionalFormatting sqref="AR77:AS77">
    <cfRule type="cellIs" dxfId="5265" priority="829" operator="greaterThan">
      <formula>0.03</formula>
    </cfRule>
    <cfRule type="cellIs" dxfId="5264" priority="830" stopIfTrue="1" operator="lessThan">
      <formula>-0.03</formula>
    </cfRule>
  </conditionalFormatting>
  <conditionalFormatting sqref="AR73:AT73">
    <cfRule type="cellIs" dxfId="5263" priority="827" operator="greaterThan">
      <formula>0.03</formula>
    </cfRule>
    <cfRule type="cellIs" dxfId="5262" priority="828" stopIfTrue="1" operator="lessThan">
      <formula>-0.03</formula>
    </cfRule>
  </conditionalFormatting>
  <conditionalFormatting sqref="AR82:AS82">
    <cfRule type="cellIs" dxfId="5261" priority="825" operator="greaterThan">
      <formula>0.03</formula>
    </cfRule>
    <cfRule type="cellIs" dxfId="5260" priority="826" stopIfTrue="1" operator="lessThan">
      <formula>-0.03</formula>
    </cfRule>
  </conditionalFormatting>
  <conditionalFormatting sqref="AR78:AT78">
    <cfRule type="cellIs" dxfId="5259" priority="823" operator="greaterThan">
      <formula>0.03</formula>
    </cfRule>
    <cfRule type="cellIs" dxfId="5258" priority="824" stopIfTrue="1" operator="lessThan">
      <formula>-0.03</formula>
    </cfRule>
  </conditionalFormatting>
  <conditionalFormatting sqref="AR87:AS87">
    <cfRule type="cellIs" dxfId="5257" priority="821" operator="greaterThan">
      <formula>0.03</formula>
    </cfRule>
    <cfRule type="cellIs" dxfId="5256" priority="822" stopIfTrue="1" operator="lessThan">
      <formula>-0.03</formula>
    </cfRule>
  </conditionalFormatting>
  <conditionalFormatting sqref="AR83:AT83">
    <cfRule type="cellIs" dxfId="5255" priority="819" operator="greaterThan">
      <formula>0.03</formula>
    </cfRule>
    <cfRule type="cellIs" dxfId="5254" priority="820" stopIfTrue="1" operator="lessThan">
      <formula>-0.03</formula>
    </cfRule>
  </conditionalFormatting>
  <conditionalFormatting sqref="AR92:AS92">
    <cfRule type="cellIs" dxfId="5253" priority="817" operator="greaterThan">
      <formula>0.03</formula>
    </cfRule>
    <cfRule type="cellIs" dxfId="5252" priority="818" stopIfTrue="1" operator="lessThan">
      <formula>-0.03</formula>
    </cfRule>
  </conditionalFormatting>
  <conditionalFormatting sqref="AR88:AT88">
    <cfRule type="cellIs" dxfId="5251" priority="815" operator="greaterThan">
      <formula>0.03</formula>
    </cfRule>
    <cfRule type="cellIs" dxfId="5250" priority="816" stopIfTrue="1" operator="lessThan">
      <formula>-0.03</formula>
    </cfRule>
  </conditionalFormatting>
  <conditionalFormatting sqref="AR97:AS97">
    <cfRule type="cellIs" dxfId="5249" priority="813" operator="greaterThan">
      <formula>0.03</formula>
    </cfRule>
    <cfRule type="cellIs" dxfId="5248" priority="814" stopIfTrue="1" operator="lessThan">
      <formula>-0.03</formula>
    </cfRule>
  </conditionalFormatting>
  <conditionalFormatting sqref="AR93:AT93">
    <cfRule type="cellIs" dxfId="5247" priority="811" operator="greaterThan">
      <formula>0.03</formula>
    </cfRule>
    <cfRule type="cellIs" dxfId="5246" priority="812" stopIfTrue="1" operator="lessThan">
      <formula>-0.03</formula>
    </cfRule>
  </conditionalFormatting>
  <conditionalFormatting sqref="AR102:AS102">
    <cfRule type="cellIs" dxfId="5245" priority="809" operator="greaterThan">
      <formula>0.03</formula>
    </cfRule>
    <cfRule type="cellIs" dxfId="5244" priority="810" stopIfTrue="1" operator="lessThan">
      <formula>-0.03</formula>
    </cfRule>
  </conditionalFormatting>
  <conditionalFormatting sqref="AR98:AT98">
    <cfRule type="cellIs" dxfId="5243" priority="807" operator="greaterThan">
      <formula>0.03</formula>
    </cfRule>
    <cfRule type="cellIs" dxfId="5242" priority="808" stopIfTrue="1" operator="lessThan">
      <formula>-0.03</formula>
    </cfRule>
  </conditionalFormatting>
  <conditionalFormatting sqref="AR107:AS107">
    <cfRule type="cellIs" dxfId="5241" priority="805" operator="greaterThan">
      <formula>0.03</formula>
    </cfRule>
    <cfRule type="cellIs" dxfId="5240" priority="806" stopIfTrue="1" operator="lessThan">
      <formula>-0.03</formula>
    </cfRule>
  </conditionalFormatting>
  <conditionalFormatting sqref="AR103:AT103">
    <cfRule type="cellIs" dxfId="5239" priority="803" operator="greaterThan">
      <formula>0.03</formula>
    </cfRule>
    <cfRule type="cellIs" dxfId="5238" priority="804" stopIfTrue="1" operator="lessThan">
      <formula>-0.03</formula>
    </cfRule>
  </conditionalFormatting>
  <conditionalFormatting sqref="AR112:AS112">
    <cfRule type="cellIs" dxfId="5237" priority="801" operator="greaterThan">
      <formula>0.03</formula>
    </cfRule>
    <cfRule type="cellIs" dxfId="5236" priority="802" stopIfTrue="1" operator="lessThan">
      <formula>-0.03</formula>
    </cfRule>
  </conditionalFormatting>
  <conditionalFormatting sqref="AR108:AT108">
    <cfRule type="cellIs" dxfId="5235" priority="799" operator="greaterThan">
      <formula>0.03</formula>
    </cfRule>
    <cfRule type="cellIs" dxfId="5234" priority="800" stopIfTrue="1" operator="lessThan">
      <formula>-0.03</formula>
    </cfRule>
  </conditionalFormatting>
  <conditionalFormatting sqref="AR117:AS117">
    <cfRule type="cellIs" dxfId="5233" priority="797" operator="greaterThan">
      <formula>0.03</formula>
    </cfRule>
    <cfRule type="cellIs" dxfId="5232" priority="798" stopIfTrue="1" operator="lessThan">
      <formula>-0.03</formula>
    </cfRule>
  </conditionalFormatting>
  <conditionalFormatting sqref="AR113:AT113">
    <cfRule type="cellIs" dxfId="5231" priority="795" operator="greaterThan">
      <formula>0.03</formula>
    </cfRule>
    <cfRule type="cellIs" dxfId="5230" priority="796" stopIfTrue="1" operator="lessThan">
      <formula>-0.03</formula>
    </cfRule>
  </conditionalFormatting>
  <conditionalFormatting sqref="AR122:AS122">
    <cfRule type="cellIs" dxfId="5229" priority="793" operator="greaterThan">
      <formula>0.03</formula>
    </cfRule>
    <cfRule type="cellIs" dxfId="5228" priority="794" stopIfTrue="1" operator="lessThan">
      <formula>-0.03</formula>
    </cfRule>
  </conditionalFormatting>
  <conditionalFormatting sqref="AR118:AT118">
    <cfRule type="cellIs" dxfId="5227" priority="791" operator="greaterThan">
      <formula>0.03</formula>
    </cfRule>
    <cfRule type="cellIs" dxfId="5226" priority="792" stopIfTrue="1" operator="lessThan">
      <formula>-0.03</formula>
    </cfRule>
  </conditionalFormatting>
  <conditionalFormatting sqref="AR127:AS127">
    <cfRule type="cellIs" dxfId="5225" priority="789" operator="greaterThan">
      <formula>0.03</formula>
    </cfRule>
    <cfRule type="cellIs" dxfId="5224" priority="790" stopIfTrue="1" operator="lessThan">
      <formula>-0.03</formula>
    </cfRule>
  </conditionalFormatting>
  <conditionalFormatting sqref="AR123:AT123">
    <cfRule type="cellIs" dxfId="5223" priority="787" operator="greaterThan">
      <formula>0.03</formula>
    </cfRule>
    <cfRule type="cellIs" dxfId="5222" priority="788" stopIfTrue="1" operator="lessThan">
      <formula>-0.03</formula>
    </cfRule>
  </conditionalFormatting>
  <conditionalFormatting sqref="AR132:AS132">
    <cfRule type="cellIs" dxfId="5221" priority="785" operator="greaterThan">
      <formula>0.03</formula>
    </cfRule>
    <cfRule type="cellIs" dxfId="5220" priority="786" stopIfTrue="1" operator="lessThan">
      <formula>-0.03</formula>
    </cfRule>
  </conditionalFormatting>
  <conditionalFormatting sqref="AR128:AT128">
    <cfRule type="cellIs" dxfId="5219" priority="783" operator="greaterThan">
      <formula>0.03</formula>
    </cfRule>
    <cfRule type="cellIs" dxfId="5218" priority="784" stopIfTrue="1" operator="lessThan">
      <formula>-0.03</formula>
    </cfRule>
  </conditionalFormatting>
  <conditionalFormatting sqref="AO133:AQ133">
    <cfRule type="cellIs" dxfId="5217" priority="781" operator="greaterThan">
      <formula>0.03</formula>
    </cfRule>
    <cfRule type="cellIs" dxfId="5216" priority="782" stopIfTrue="1" operator="lessThan">
      <formula>-0.03</formula>
    </cfRule>
  </conditionalFormatting>
  <conditionalFormatting sqref="AO137:AQ137">
    <cfRule type="cellIs" dxfId="5215" priority="775" operator="greaterThan">
      <formula>0.03</formula>
    </cfRule>
    <cfRule type="cellIs" dxfId="5214" priority="776" stopIfTrue="1" operator="lessThan">
      <formula>-0.03</formula>
    </cfRule>
  </conditionalFormatting>
  <conditionalFormatting sqref="AI137:AK137 AI133:AK135">
    <cfRule type="cellIs" dxfId="5213" priority="773" operator="greaterThan">
      <formula>0.03</formula>
    </cfRule>
    <cfRule type="cellIs" dxfId="5212" priority="774" stopIfTrue="1" operator="lessThan">
      <formula>-0.03</formula>
    </cfRule>
  </conditionalFormatting>
  <conditionalFormatting sqref="AU137:AV137">
    <cfRule type="cellIs" dxfId="5211" priority="777" operator="greaterThan">
      <formula>0.03</formula>
    </cfRule>
    <cfRule type="cellIs" dxfId="5210" priority="778" stopIfTrue="1" operator="lessThan">
      <formula>-0.03</formula>
    </cfRule>
  </conditionalFormatting>
  <conditionalFormatting sqref="AO138:AQ138 AO135:AQ136">
    <cfRule type="cellIs" dxfId="5209" priority="779" operator="greaterThan">
      <formula>0.03</formula>
    </cfRule>
    <cfRule type="cellIs" dxfId="5208" priority="780" stopIfTrue="1" operator="lessThan">
      <formula>-0.03</formula>
    </cfRule>
  </conditionalFormatting>
  <conditionalFormatting sqref="AI136:AK136">
    <cfRule type="cellIs" dxfId="5207" priority="771" operator="greaterThan">
      <formula>0.03</formula>
    </cfRule>
    <cfRule type="cellIs" dxfId="5206" priority="772" stopIfTrue="1" operator="lessThan">
      <formula>-0.03</formula>
    </cfRule>
  </conditionalFormatting>
  <conditionalFormatting sqref="AU133:AW133">
    <cfRule type="cellIs" dxfId="5205" priority="769" operator="greaterThan">
      <formula>0.03</formula>
    </cfRule>
    <cfRule type="cellIs" dxfId="5204" priority="770" stopIfTrue="1" operator="lessThan">
      <formula>-0.03</formula>
    </cfRule>
  </conditionalFormatting>
  <conditionalFormatting sqref="AO143:AQ143 AO140:AQ141">
    <cfRule type="cellIs" dxfId="5203" priority="767" operator="greaterThan">
      <formula>0.03</formula>
    </cfRule>
    <cfRule type="cellIs" dxfId="5202" priority="768" stopIfTrue="1" operator="lessThan">
      <formula>-0.03</formula>
    </cfRule>
  </conditionalFormatting>
  <conditionalFormatting sqref="AU142:AV142">
    <cfRule type="cellIs" dxfId="5201" priority="765" operator="greaterThan">
      <formula>0.03</formula>
    </cfRule>
    <cfRule type="cellIs" dxfId="5200" priority="766" stopIfTrue="1" operator="lessThan">
      <formula>-0.03</formula>
    </cfRule>
  </conditionalFormatting>
  <conditionalFormatting sqref="AO142:AQ142">
    <cfRule type="cellIs" dxfId="5199" priority="763" operator="greaterThan">
      <formula>0.03</formula>
    </cfRule>
    <cfRule type="cellIs" dxfId="5198" priority="764" stopIfTrue="1" operator="lessThan">
      <formula>-0.03</formula>
    </cfRule>
  </conditionalFormatting>
  <conditionalFormatting sqref="AI142:AK142 AI138:AK140">
    <cfRule type="cellIs" dxfId="5197" priority="761" operator="greaterThan">
      <formula>0.03</formula>
    </cfRule>
    <cfRule type="cellIs" dxfId="5196" priority="762" stopIfTrue="1" operator="lessThan">
      <formula>-0.03</formula>
    </cfRule>
  </conditionalFormatting>
  <conditionalFormatting sqref="AI141:AK141">
    <cfRule type="cellIs" dxfId="5195" priority="759" operator="greaterThan">
      <formula>0.03</formula>
    </cfRule>
    <cfRule type="cellIs" dxfId="5194" priority="760" stopIfTrue="1" operator="lessThan">
      <formula>-0.03</formula>
    </cfRule>
  </conditionalFormatting>
  <conditionalFormatting sqref="AU138:AW138">
    <cfRule type="cellIs" dxfId="5193" priority="757" operator="greaterThan">
      <formula>0.03</formula>
    </cfRule>
    <cfRule type="cellIs" dxfId="5192" priority="758" stopIfTrue="1" operator="lessThan">
      <formula>-0.03</formula>
    </cfRule>
  </conditionalFormatting>
  <conditionalFormatting sqref="AO148:AQ148 AO145:AQ146">
    <cfRule type="cellIs" dxfId="5191" priority="755" operator="greaterThan">
      <formula>0.03</formula>
    </cfRule>
    <cfRule type="cellIs" dxfId="5190" priority="756" stopIfTrue="1" operator="lessThan">
      <formula>-0.03</formula>
    </cfRule>
  </conditionalFormatting>
  <conditionalFormatting sqref="AU147:AV147">
    <cfRule type="cellIs" dxfId="5189" priority="753" operator="greaterThan">
      <formula>0.03</formula>
    </cfRule>
    <cfRule type="cellIs" dxfId="5188" priority="754" stopIfTrue="1" operator="lessThan">
      <formula>-0.03</formula>
    </cfRule>
  </conditionalFormatting>
  <conditionalFormatting sqref="AO147:AQ147">
    <cfRule type="cellIs" dxfId="5187" priority="751" operator="greaterThan">
      <formula>0.03</formula>
    </cfRule>
    <cfRule type="cellIs" dxfId="5186" priority="752" stopIfTrue="1" operator="lessThan">
      <formula>-0.03</formula>
    </cfRule>
  </conditionalFormatting>
  <conditionalFormatting sqref="AI147:AK147 AI143:AK145">
    <cfRule type="cellIs" dxfId="5185" priority="749" operator="greaterThan">
      <formula>0.03</formula>
    </cfRule>
    <cfRule type="cellIs" dxfId="5184" priority="750" stopIfTrue="1" operator="lessThan">
      <formula>-0.03</formula>
    </cfRule>
  </conditionalFormatting>
  <conditionalFormatting sqref="AI146:AK146">
    <cfRule type="cellIs" dxfId="5183" priority="747" operator="greaterThan">
      <formula>0.03</formula>
    </cfRule>
    <cfRule type="cellIs" dxfId="5182" priority="748" stopIfTrue="1" operator="lessThan">
      <formula>-0.03</formula>
    </cfRule>
  </conditionalFormatting>
  <conditionalFormatting sqref="AU143:AW143">
    <cfRule type="cellIs" dxfId="5181" priority="745" operator="greaterThan">
      <formula>0.03</formula>
    </cfRule>
    <cfRule type="cellIs" dxfId="5180" priority="746" stopIfTrue="1" operator="lessThan">
      <formula>-0.03</formula>
    </cfRule>
  </conditionalFormatting>
  <conditionalFormatting sqref="AO150:AQ152">
    <cfRule type="cellIs" dxfId="5179" priority="743" operator="greaterThan">
      <formula>0.03</formula>
    </cfRule>
    <cfRule type="cellIs" dxfId="5178" priority="744" stopIfTrue="1" operator="lessThan">
      <formula>-0.03</formula>
    </cfRule>
  </conditionalFormatting>
  <conditionalFormatting sqref="AU152:AV152">
    <cfRule type="cellIs" dxfId="5177" priority="741" operator="greaterThan">
      <formula>0.03</formula>
    </cfRule>
    <cfRule type="cellIs" dxfId="5176" priority="742" stopIfTrue="1" operator="lessThan">
      <formula>-0.03</formula>
    </cfRule>
  </conditionalFormatting>
  <conditionalFormatting sqref="AI152:AK152 AI148:AK150">
    <cfRule type="cellIs" dxfId="5175" priority="739" operator="greaterThan">
      <formula>0.03</formula>
    </cfRule>
    <cfRule type="cellIs" dxfId="5174" priority="740" stopIfTrue="1" operator="lessThan">
      <formula>-0.03</formula>
    </cfRule>
  </conditionalFormatting>
  <conditionalFormatting sqref="AI151:AK151">
    <cfRule type="cellIs" dxfId="5173" priority="737" operator="greaterThan">
      <formula>0.03</formula>
    </cfRule>
    <cfRule type="cellIs" dxfId="5172" priority="738" stopIfTrue="1" operator="lessThan">
      <formula>-0.03</formula>
    </cfRule>
  </conditionalFormatting>
  <conditionalFormatting sqref="AU148:AW148">
    <cfRule type="cellIs" dxfId="5171" priority="735" operator="greaterThan">
      <formula>0.03</formula>
    </cfRule>
    <cfRule type="cellIs" dxfId="5170" priority="736" stopIfTrue="1" operator="lessThan">
      <formula>-0.03</formula>
    </cfRule>
  </conditionalFormatting>
  <conditionalFormatting sqref="AF137:AH137 AF133:AH135">
    <cfRule type="cellIs" dxfId="5169" priority="733" operator="greaterThan">
      <formula>0.03</formula>
    </cfRule>
    <cfRule type="cellIs" dxfId="5168" priority="734" stopIfTrue="1" operator="lessThan">
      <formula>-0.03</formula>
    </cfRule>
  </conditionalFormatting>
  <conditionalFormatting sqref="AF136:AH136">
    <cfRule type="cellIs" dxfId="5167" priority="731" operator="greaterThan">
      <formula>0.03</formula>
    </cfRule>
    <cfRule type="cellIs" dxfId="5166" priority="732" stopIfTrue="1" operator="lessThan">
      <formula>-0.03</formula>
    </cfRule>
  </conditionalFormatting>
  <conditionalFormatting sqref="AF142:AH142 AF138:AH140">
    <cfRule type="cellIs" dxfId="5165" priority="729" operator="greaterThan">
      <formula>0.03</formula>
    </cfRule>
    <cfRule type="cellIs" dxfId="5164" priority="730" stopIfTrue="1" operator="lessThan">
      <formula>-0.03</formula>
    </cfRule>
  </conditionalFormatting>
  <conditionalFormatting sqref="AF141:AH141">
    <cfRule type="cellIs" dxfId="5163" priority="727" operator="greaterThan">
      <formula>0.03</formula>
    </cfRule>
    <cfRule type="cellIs" dxfId="5162" priority="728" stopIfTrue="1" operator="lessThan">
      <formula>-0.03</formula>
    </cfRule>
  </conditionalFormatting>
  <conditionalFormatting sqref="AF147:AH147 AF143:AH145">
    <cfRule type="cellIs" dxfId="5161" priority="725" operator="greaterThan">
      <formula>0.03</formula>
    </cfRule>
    <cfRule type="cellIs" dxfId="5160" priority="726" stopIfTrue="1" operator="lessThan">
      <formula>-0.03</formula>
    </cfRule>
  </conditionalFormatting>
  <conditionalFormatting sqref="AF146:AH146">
    <cfRule type="cellIs" dxfId="5159" priority="723" operator="greaterThan">
      <formula>0.03</formula>
    </cfRule>
    <cfRule type="cellIs" dxfId="5158" priority="724" stopIfTrue="1" operator="lessThan">
      <formula>-0.03</formula>
    </cfRule>
  </conditionalFormatting>
  <conditionalFormatting sqref="AF152:AH152 AF148:AH150">
    <cfRule type="cellIs" dxfId="5157" priority="721" operator="greaterThan">
      <formula>0.03</formula>
    </cfRule>
    <cfRule type="cellIs" dxfId="5156" priority="722" stopIfTrue="1" operator="lessThan">
      <formula>-0.03</formula>
    </cfRule>
  </conditionalFormatting>
  <conditionalFormatting sqref="AF151:AH151">
    <cfRule type="cellIs" dxfId="5155" priority="719" operator="greaterThan">
      <formula>0.03</formula>
    </cfRule>
    <cfRule type="cellIs" dxfId="5154" priority="720" stopIfTrue="1" operator="lessThan">
      <formula>-0.03</formula>
    </cfRule>
  </conditionalFormatting>
  <conditionalFormatting sqref="AL133:AN133">
    <cfRule type="cellIs" dxfId="5153" priority="717" operator="greaterThan">
      <formula>0.03</formula>
    </cfRule>
    <cfRule type="cellIs" dxfId="5152" priority="718" stopIfTrue="1" operator="lessThan">
      <formula>-0.03</formula>
    </cfRule>
  </conditionalFormatting>
  <conditionalFormatting sqref="AL138:AN138 AL135:AN136">
    <cfRule type="cellIs" dxfId="5151" priority="715" operator="greaterThan">
      <formula>0.03</formula>
    </cfRule>
    <cfRule type="cellIs" dxfId="5150" priority="716" stopIfTrue="1" operator="lessThan">
      <formula>-0.03</formula>
    </cfRule>
  </conditionalFormatting>
  <conditionalFormatting sqref="AL137:AN137">
    <cfRule type="cellIs" dxfId="5149" priority="713" operator="greaterThan">
      <formula>0.03</formula>
    </cfRule>
    <cfRule type="cellIs" dxfId="5148" priority="714" stopIfTrue="1" operator="lessThan">
      <formula>-0.03</formula>
    </cfRule>
  </conditionalFormatting>
  <conditionalFormatting sqref="AL143:AN143 AL140:AN141">
    <cfRule type="cellIs" dxfId="5147" priority="711" operator="greaterThan">
      <formula>0.03</formula>
    </cfRule>
    <cfRule type="cellIs" dxfId="5146" priority="712" stopIfTrue="1" operator="lessThan">
      <formula>-0.03</formula>
    </cfRule>
  </conditionalFormatting>
  <conditionalFormatting sqref="AL142:AN142">
    <cfRule type="cellIs" dxfId="5145" priority="709" operator="greaterThan">
      <formula>0.03</formula>
    </cfRule>
    <cfRule type="cellIs" dxfId="5144" priority="710" stopIfTrue="1" operator="lessThan">
      <formula>-0.03</formula>
    </cfRule>
  </conditionalFormatting>
  <conditionalFormatting sqref="AL148:AN148 AL145:AN146">
    <cfRule type="cellIs" dxfId="5143" priority="707" operator="greaterThan">
      <formula>0.03</formula>
    </cfRule>
    <cfRule type="cellIs" dxfId="5142" priority="708" stopIfTrue="1" operator="lessThan">
      <formula>-0.03</formula>
    </cfRule>
  </conditionalFormatting>
  <conditionalFormatting sqref="AL147:AN147">
    <cfRule type="cellIs" dxfId="5141" priority="705" operator="greaterThan">
      <formula>0.03</formula>
    </cfRule>
    <cfRule type="cellIs" dxfId="5140" priority="706" stopIfTrue="1" operator="lessThan">
      <formula>-0.03</formula>
    </cfRule>
  </conditionalFormatting>
  <conditionalFormatting sqref="AL150:AN152">
    <cfRule type="cellIs" dxfId="5139" priority="703" operator="greaterThan">
      <formula>0.03</formula>
    </cfRule>
    <cfRule type="cellIs" dxfId="5138" priority="704" stopIfTrue="1" operator="lessThan">
      <formula>-0.03</formula>
    </cfRule>
  </conditionalFormatting>
  <conditionalFormatting sqref="AR137:AS137">
    <cfRule type="cellIs" dxfId="5137" priority="701" operator="greaterThan">
      <formula>0.03</formula>
    </cfRule>
    <cfRule type="cellIs" dxfId="5136" priority="702" stopIfTrue="1" operator="lessThan">
      <formula>-0.03</formula>
    </cfRule>
  </conditionalFormatting>
  <conditionalFormatting sqref="AR133:AT133">
    <cfRule type="cellIs" dxfId="5135" priority="699" operator="greaterThan">
      <formula>0.03</formula>
    </cfRule>
    <cfRule type="cellIs" dxfId="5134" priority="700" stopIfTrue="1" operator="lessThan">
      <formula>-0.03</formula>
    </cfRule>
  </conditionalFormatting>
  <conditionalFormatting sqref="AR142:AS142">
    <cfRule type="cellIs" dxfId="5133" priority="697" operator="greaterThan">
      <formula>0.03</formula>
    </cfRule>
    <cfRule type="cellIs" dxfId="5132" priority="698" stopIfTrue="1" operator="lessThan">
      <formula>-0.03</formula>
    </cfRule>
  </conditionalFormatting>
  <conditionalFormatting sqref="AR138:AT138">
    <cfRule type="cellIs" dxfId="5131" priority="695" operator="greaterThan">
      <formula>0.03</formula>
    </cfRule>
    <cfRule type="cellIs" dxfId="5130" priority="696" stopIfTrue="1" operator="lessThan">
      <formula>-0.03</formula>
    </cfRule>
  </conditionalFormatting>
  <conditionalFormatting sqref="AR147:AS147">
    <cfRule type="cellIs" dxfId="5129" priority="693" operator="greaterThan">
      <formula>0.03</formula>
    </cfRule>
    <cfRule type="cellIs" dxfId="5128" priority="694" stopIfTrue="1" operator="lessThan">
      <formula>-0.03</formula>
    </cfRule>
  </conditionalFormatting>
  <conditionalFormatting sqref="AR143:AT143">
    <cfRule type="cellIs" dxfId="5127" priority="691" operator="greaterThan">
      <formula>0.03</formula>
    </cfRule>
    <cfRule type="cellIs" dxfId="5126" priority="692" stopIfTrue="1" operator="lessThan">
      <formula>-0.03</formula>
    </cfRule>
  </conditionalFormatting>
  <conditionalFormatting sqref="AR152:AS152">
    <cfRule type="cellIs" dxfId="5125" priority="689" operator="greaterThan">
      <formula>0.03</formula>
    </cfRule>
    <cfRule type="cellIs" dxfId="5124" priority="690" stopIfTrue="1" operator="lessThan">
      <formula>-0.03</formula>
    </cfRule>
  </conditionalFormatting>
  <conditionalFormatting sqref="AR148:AT148">
    <cfRule type="cellIs" dxfId="5123" priority="687" operator="greaterThan">
      <formula>0.03</formula>
    </cfRule>
    <cfRule type="cellIs" dxfId="5122" priority="688" stopIfTrue="1" operator="lessThan">
      <formula>-0.03</formula>
    </cfRule>
  </conditionalFormatting>
  <conditionalFormatting sqref="AO19:AQ19">
    <cfRule type="cellIs" dxfId="5121" priority="567" operator="greaterThan">
      <formula>0.03</formula>
    </cfRule>
    <cfRule type="cellIs" dxfId="5120" priority="568" stopIfTrue="1" operator="lessThan">
      <formula>-0.03</formula>
    </cfRule>
  </conditionalFormatting>
  <conditionalFormatting sqref="AF160:AH160">
    <cfRule type="cellIs" dxfId="5119" priority="685" operator="greaterThan">
      <formula>0.03</formula>
    </cfRule>
    <cfRule type="cellIs" dxfId="5118" priority="686" stopIfTrue="1" operator="lessThan">
      <formula>-0.03</formula>
    </cfRule>
  </conditionalFormatting>
  <conditionalFormatting sqref="AI160:AK160">
    <cfRule type="cellIs" dxfId="5117" priority="683" operator="greaterThan">
      <formula>0.03</formula>
    </cfRule>
    <cfRule type="cellIs" dxfId="5116" priority="684" stopIfTrue="1" operator="lessThan">
      <formula>-0.03</formula>
    </cfRule>
  </conditionalFormatting>
  <conditionalFormatting sqref="AL160:AN160">
    <cfRule type="cellIs" dxfId="5115" priority="681" operator="greaterThan">
      <formula>0.03</formula>
    </cfRule>
    <cfRule type="cellIs" dxfId="5114" priority="682" stopIfTrue="1" operator="lessThan">
      <formula>-0.03</formula>
    </cfRule>
  </conditionalFormatting>
  <conditionalFormatting sqref="AO160:AQ160">
    <cfRule type="cellIs" dxfId="5113" priority="679" operator="greaterThan">
      <formula>0.03</formula>
    </cfRule>
    <cfRule type="cellIs" dxfId="5112" priority="680" stopIfTrue="1" operator="lessThan">
      <formula>-0.03</formula>
    </cfRule>
  </conditionalFormatting>
  <conditionalFormatting sqref="AR160:AT160">
    <cfRule type="cellIs" dxfId="5111" priority="677" operator="greaterThan">
      <formula>0.03</formula>
    </cfRule>
    <cfRule type="cellIs" dxfId="5110" priority="678" stopIfTrue="1" operator="lessThan">
      <formula>-0.03</formula>
    </cfRule>
  </conditionalFormatting>
  <conditionalFormatting sqref="AO4:AQ4">
    <cfRule type="cellIs" dxfId="5109" priority="555" operator="greaterThan">
      <formula>0.03</formula>
    </cfRule>
    <cfRule type="cellIs" dxfId="5108" priority="556" stopIfTrue="1" operator="lessThan">
      <formula>-0.03</formula>
    </cfRule>
  </conditionalFormatting>
  <conditionalFormatting sqref="AU160:AW160">
    <cfRule type="cellIs" dxfId="5107" priority="675" operator="greaterThan">
      <formula>0.03</formula>
    </cfRule>
    <cfRule type="cellIs" dxfId="5106" priority="676" stopIfTrue="1" operator="lessThan">
      <formula>-0.03</formula>
    </cfRule>
  </conditionalFormatting>
  <conditionalFormatting sqref="AL29:AN29">
    <cfRule type="cellIs" dxfId="5105" priority="577" operator="greaterThan">
      <formula>0.03</formula>
    </cfRule>
    <cfRule type="cellIs" dxfId="5104" priority="578" stopIfTrue="1" operator="lessThan">
      <formula>-0.03</formula>
    </cfRule>
  </conditionalFormatting>
  <conditionalFormatting sqref="AO59:AQ59">
    <cfRule type="cellIs" dxfId="5103" priority="599" operator="greaterThan">
      <formula>0.03</formula>
    </cfRule>
    <cfRule type="cellIs" dxfId="5102" priority="600" stopIfTrue="1" operator="lessThan">
      <formula>-0.03</formula>
    </cfRule>
  </conditionalFormatting>
  <conditionalFormatting sqref="AO49:AQ49">
    <cfRule type="cellIs" dxfId="5101" priority="591" operator="greaterThan">
      <formula>0.03</formula>
    </cfRule>
    <cfRule type="cellIs" dxfId="5100" priority="592" stopIfTrue="1" operator="lessThan">
      <formula>-0.03</formula>
    </cfRule>
  </conditionalFormatting>
  <conditionalFormatting sqref="AO39:AQ39">
    <cfRule type="cellIs" dxfId="5099" priority="583" operator="greaterThan">
      <formula>0.03</formula>
    </cfRule>
    <cfRule type="cellIs" dxfId="5098" priority="584" stopIfTrue="1" operator="lessThan">
      <formula>-0.03</formula>
    </cfRule>
  </conditionalFormatting>
  <conditionalFormatting sqref="AL49:AN49">
    <cfRule type="cellIs" dxfId="5097" priority="593" operator="greaterThan">
      <formula>0.03</formula>
    </cfRule>
    <cfRule type="cellIs" dxfId="5096" priority="594" stopIfTrue="1" operator="lessThan">
      <formula>-0.03</formula>
    </cfRule>
  </conditionalFormatting>
  <conditionalFormatting sqref="AL134:AN134">
    <cfRule type="cellIs" dxfId="5095" priority="673" operator="greaterThan">
      <formula>0.03</formula>
    </cfRule>
    <cfRule type="cellIs" dxfId="5094" priority="674" stopIfTrue="1" operator="lessThan">
      <formula>-0.03</formula>
    </cfRule>
  </conditionalFormatting>
  <conditionalFormatting sqref="AO134:AQ134">
    <cfRule type="cellIs" dxfId="5093" priority="671" operator="greaterThan">
      <formula>0.03</formula>
    </cfRule>
    <cfRule type="cellIs" dxfId="5092" priority="672" stopIfTrue="1" operator="lessThan">
      <formula>-0.03</formula>
    </cfRule>
  </conditionalFormatting>
  <conditionalFormatting sqref="AL24:AN24">
    <cfRule type="cellIs" dxfId="5091" priority="573" operator="greaterThan">
      <formula>0.03</formula>
    </cfRule>
    <cfRule type="cellIs" dxfId="5090" priority="574" stopIfTrue="1" operator="lessThan">
      <formula>-0.03</formula>
    </cfRule>
  </conditionalFormatting>
  <conditionalFormatting sqref="AO24:AQ24">
    <cfRule type="cellIs" dxfId="5089" priority="571" operator="greaterThan">
      <formula>0.03</formula>
    </cfRule>
    <cfRule type="cellIs" dxfId="5088" priority="572" stopIfTrue="1" operator="lessThan">
      <formula>-0.03</formula>
    </cfRule>
  </conditionalFormatting>
  <conditionalFormatting sqref="AL14:AN14">
    <cfRule type="cellIs" dxfId="5087" priority="565" operator="greaterThan">
      <formula>0.03</formula>
    </cfRule>
    <cfRule type="cellIs" dxfId="5086" priority="566" stopIfTrue="1" operator="lessThan">
      <formula>-0.03</formula>
    </cfRule>
  </conditionalFormatting>
  <conditionalFormatting sqref="AO14:AQ14">
    <cfRule type="cellIs" dxfId="5085" priority="563" operator="greaterThan">
      <formula>0.03</formula>
    </cfRule>
    <cfRule type="cellIs" dxfId="5084" priority="564" stopIfTrue="1" operator="lessThan">
      <formula>-0.03</formula>
    </cfRule>
  </conditionalFormatting>
  <conditionalFormatting sqref="AL149:AN149">
    <cfRule type="cellIs" dxfId="5083" priority="669" operator="greaterThan">
      <formula>0.03</formula>
    </cfRule>
    <cfRule type="cellIs" dxfId="5082" priority="670" stopIfTrue="1" operator="lessThan">
      <formula>-0.03</formula>
    </cfRule>
  </conditionalFormatting>
  <conditionalFormatting sqref="AO149:AQ149">
    <cfRule type="cellIs" dxfId="5081" priority="667" operator="greaterThan">
      <formula>0.03</formula>
    </cfRule>
    <cfRule type="cellIs" dxfId="5080" priority="668" stopIfTrue="1" operator="lessThan">
      <formula>-0.03</formula>
    </cfRule>
  </conditionalFormatting>
  <conditionalFormatting sqref="AL144:AN144">
    <cfRule type="cellIs" dxfId="5079" priority="665" operator="greaterThan">
      <formula>0.03</formula>
    </cfRule>
    <cfRule type="cellIs" dxfId="5078" priority="666" stopIfTrue="1" operator="lessThan">
      <formula>-0.03</formula>
    </cfRule>
  </conditionalFormatting>
  <conditionalFormatting sqref="AO144:AQ144">
    <cfRule type="cellIs" dxfId="5077" priority="663" operator="greaterThan">
      <formula>0.03</formula>
    </cfRule>
    <cfRule type="cellIs" dxfId="5076" priority="664" stopIfTrue="1" operator="lessThan">
      <formula>-0.03</formula>
    </cfRule>
  </conditionalFormatting>
  <conditionalFormatting sqref="AL139:AN139">
    <cfRule type="cellIs" dxfId="5075" priority="661" operator="greaterThan">
      <formula>0.03</formula>
    </cfRule>
    <cfRule type="cellIs" dxfId="5074" priority="662" stopIfTrue="1" operator="lessThan">
      <formula>-0.03</formula>
    </cfRule>
  </conditionalFormatting>
  <conditionalFormatting sqref="AO139:AQ139">
    <cfRule type="cellIs" dxfId="5073" priority="659" operator="greaterThan">
      <formula>0.03</formula>
    </cfRule>
    <cfRule type="cellIs" dxfId="5072" priority="660" stopIfTrue="1" operator="lessThan">
      <formula>-0.03</formula>
    </cfRule>
  </conditionalFormatting>
  <conditionalFormatting sqref="AL129:AN129">
    <cfRule type="cellIs" dxfId="5071" priority="657" operator="greaterThan">
      <formula>0.03</formula>
    </cfRule>
    <cfRule type="cellIs" dxfId="5070" priority="658" stopIfTrue="1" operator="lessThan">
      <formula>-0.03</formula>
    </cfRule>
  </conditionalFormatting>
  <conditionalFormatting sqref="AO129:AQ129">
    <cfRule type="cellIs" dxfId="5069" priority="655" operator="greaterThan">
      <formula>0.03</formula>
    </cfRule>
    <cfRule type="cellIs" dxfId="5068" priority="656" stopIfTrue="1" operator="lessThan">
      <formula>-0.03</formula>
    </cfRule>
  </conditionalFormatting>
  <conditionalFormatting sqref="AL124:AN124">
    <cfRule type="cellIs" dxfId="5067" priority="653" operator="greaterThan">
      <formula>0.03</formula>
    </cfRule>
    <cfRule type="cellIs" dxfId="5066" priority="654" stopIfTrue="1" operator="lessThan">
      <formula>-0.03</formula>
    </cfRule>
  </conditionalFormatting>
  <conditionalFormatting sqref="AO124:AQ124">
    <cfRule type="cellIs" dxfId="5065" priority="651" operator="greaterThan">
      <formula>0.03</formula>
    </cfRule>
    <cfRule type="cellIs" dxfId="5064" priority="652" stopIfTrue="1" operator="lessThan">
      <formula>-0.03</formula>
    </cfRule>
  </conditionalFormatting>
  <conditionalFormatting sqref="AL119:AN119">
    <cfRule type="cellIs" dxfId="5063" priority="649" operator="greaterThan">
      <formula>0.03</formula>
    </cfRule>
    <cfRule type="cellIs" dxfId="5062" priority="650" stopIfTrue="1" operator="lessThan">
      <formula>-0.03</formula>
    </cfRule>
  </conditionalFormatting>
  <conditionalFormatting sqref="AO119:AQ119">
    <cfRule type="cellIs" dxfId="5061" priority="647" operator="greaterThan">
      <formula>0.03</formula>
    </cfRule>
    <cfRule type="cellIs" dxfId="5060" priority="648" stopIfTrue="1" operator="lessThan">
      <formula>-0.03</formula>
    </cfRule>
  </conditionalFormatting>
  <conditionalFormatting sqref="AL114:AN114">
    <cfRule type="cellIs" dxfId="5059" priority="645" operator="greaterThan">
      <formula>0.03</formula>
    </cfRule>
    <cfRule type="cellIs" dxfId="5058" priority="646" stopIfTrue="1" operator="lessThan">
      <formula>-0.03</formula>
    </cfRule>
  </conditionalFormatting>
  <conditionalFormatting sqref="AO114:AQ114">
    <cfRule type="cellIs" dxfId="5057" priority="643" operator="greaterThan">
      <formula>0.03</formula>
    </cfRule>
    <cfRule type="cellIs" dxfId="5056" priority="644" stopIfTrue="1" operator="lessThan">
      <formula>-0.03</formula>
    </cfRule>
  </conditionalFormatting>
  <conditionalFormatting sqref="AL109:AN109">
    <cfRule type="cellIs" dxfId="5055" priority="641" operator="greaterThan">
      <formula>0.03</formula>
    </cfRule>
    <cfRule type="cellIs" dxfId="5054" priority="642" stopIfTrue="1" operator="lessThan">
      <formula>-0.03</formula>
    </cfRule>
  </conditionalFormatting>
  <conditionalFormatting sqref="AO109:AQ109">
    <cfRule type="cellIs" dxfId="5053" priority="639" operator="greaterThan">
      <formula>0.03</formula>
    </cfRule>
    <cfRule type="cellIs" dxfId="5052" priority="640" stopIfTrue="1" operator="lessThan">
      <formula>-0.03</formula>
    </cfRule>
  </conditionalFormatting>
  <conditionalFormatting sqref="AL104:AN104">
    <cfRule type="cellIs" dxfId="5051" priority="637" operator="greaterThan">
      <formula>0.03</formula>
    </cfRule>
    <cfRule type="cellIs" dxfId="5050" priority="638" stopIfTrue="1" operator="lessThan">
      <formula>-0.03</formula>
    </cfRule>
  </conditionalFormatting>
  <conditionalFormatting sqref="AO104:AQ104">
    <cfRule type="cellIs" dxfId="5049" priority="635" operator="greaterThan">
      <formula>0.03</formula>
    </cfRule>
    <cfRule type="cellIs" dxfId="5048" priority="636" stopIfTrue="1" operator="lessThan">
      <formula>-0.03</formula>
    </cfRule>
  </conditionalFormatting>
  <conditionalFormatting sqref="AL99:AN99">
    <cfRule type="cellIs" dxfId="5047" priority="633" operator="greaterThan">
      <formula>0.03</formula>
    </cfRule>
    <cfRule type="cellIs" dxfId="5046" priority="634" stopIfTrue="1" operator="lessThan">
      <formula>-0.03</formula>
    </cfRule>
  </conditionalFormatting>
  <conditionalFormatting sqref="AO99:AQ99">
    <cfRule type="cellIs" dxfId="5045" priority="631" operator="greaterThan">
      <formula>0.03</formula>
    </cfRule>
    <cfRule type="cellIs" dxfId="5044" priority="632" stopIfTrue="1" operator="lessThan">
      <formula>-0.03</formula>
    </cfRule>
  </conditionalFormatting>
  <conditionalFormatting sqref="AL94:AN94">
    <cfRule type="cellIs" dxfId="5043" priority="629" operator="greaterThan">
      <formula>0.03</formula>
    </cfRule>
    <cfRule type="cellIs" dxfId="5042" priority="630" stopIfTrue="1" operator="lessThan">
      <formula>-0.03</formula>
    </cfRule>
  </conditionalFormatting>
  <conditionalFormatting sqref="AO94:AQ94">
    <cfRule type="cellIs" dxfId="5041" priority="627" operator="greaterThan">
      <formula>0.03</formula>
    </cfRule>
    <cfRule type="cellIs" dxfId="5040" priority="628" stopIfTrue="1" operator="lessThan">
      <formula>-0.03</formula>
    </cfRule>
  </conditionalFormatting>
  <conditionalFormatting sqref="AL89:AN89">
    <cfRule type="cellIs" dxfId="5039" priority="625" operator="greaterThan">
      <formula>0.03</formula>
    </cfRule>
    <cfRule type="cellIs" dxfId="5038" priority="626" stopIfTrue="1" operator="lessThan">
      <formula>-0.03</formula>
    </cfRule>
  </conditionalFormatting>
  <conditionalFormatting sqref="AO89:AQ89">
    <cfRule type="cellIs" dxfId="5037" priority="623" operator="greaterThan">
      <formula>0.03</formula>
    </cfRule>
    <cfRule type="cellIs" dxfId="5036" priority="624" stopIfTrue="1" operator="lessThan">
      <formula>-0.03</formula>
    </cfRule>
  </conditionalFormatting>
  <conditionalFormatting sqref="AL84:AN84">
    <cfRule type="cellIs" dxfId="5035" priority="621" operator="greaterThan">
      <formula>0.03</formula>
    </cfRule>
    <cfRule type="cellIs" dxfId="5034" priority="622" stopIfTrue="1" operator="lessThan">
      <formula>-0.03</formula>
    </cfRule>
  </conditionalFormatting>
  <conditionalFormatting sqref="AO84:AQ84">
    <cfRule type="cellIs" dxfId="5033" priority="619" operator="greaterThan">
      <formula>0.03</formula>
    </cfRule>
    <cfRule type="cellIs" dxfId="5032" priority="620" stopIfTrue="1" operator="lessThan">
      <formula>-0.03</formula>
    </cfRule>
  </conditionalFormatting>
  <conditionalFormatting sqref="AL79:AN79">
    <cfRule type="cellIs" dxfId="5031" priority="617" operator="greaterThan">
      <formula>0.03</formula>
    </cfRule>
    <cfRule type="cellIs" dxfId="5030" priority="618" stopIfTrue="1" operator="lessThan">
      <formula>-0.03</formula>
    </cfRule>
  </conditionalFormatting>
  <conditionalFormatting sqref="AO79:AQ79">
    <cfRule type="cellIs" dxfId="5029" priority="615" operator="greaterThan">
      <formula>0.03</formula>
    </cfRule>
    <cfRule type="cellIs" dxfId="5028" priority="616" stopIfTrue="1" operator="lessThan">
      <formula>-0.03</formula>
    </cfRule>
  </conditionalFormatting>
  <conditionalFormatting sqref="AL74:AN74">
    <cfRule type="cellIs" dxfId="5027" priority="613" operator="greaterThan">
      <formula>0.03</formula>
    </cfRule>
    <cfRule type="cellIs" dxfId="5026" priority="614" stopIfTrue="1" operator="lessThan">
      <formula>-0.03</formula>
    </cfRule>
  </conditionalFormatting>
  <conditionalFormatting sqref="AO74:AQ74">
    <cfRule type="cellIs" dxfId="5025" priority="611" operator="greaterThan">
      <formula>0.03</formula>
    </cfRule>
    <cfRule type="cellIs" dxfId="5024" priority="612" stopIfTrue="1" operator="lessThan">
      <formula>-0.03</formula>
    </cfRule>
  </conditionalFormatting>
  <conditionalFormatting sqref="AL69:AN69">
    <cfRule type="cellIs" dxfId="5023" priority="609" operator="greaterThan">
      <formula>0.03</formula>
    </cfRule>
    <cfRule type="cellIs" dxfId="5022" priority="610" stopIfTrue="1" operator="lessThan">
      <formula>-0.03</formula>
    </cfRule>
  </conditionalFormatting>
  <conditionalFormatting sqref="AO69:AQ69">
    <cfRule type="cellIs" dxfId="5021" priority="607" operator="greaterThan">
      <formula>0.03</formula>
    </cfRule>
    <cfRule type="cellIs" dxfId="5020" priority="608" stopIfTrue="1" operator="lessThan">
      <formula>-0.03</formula>
    </cfRule>
  </conditionalFormatting>
  <conditionalFormatting sqref="AL64:AN64">
    <cfRule type="cellIs" dxfId="5019" priority="605" operator="greaterThan">
      <formula>0.03</formula>
    </cfRule>
    <cfRule type="cellIs" dxfId="5018" priority="606" stopIfTrue="1" operator="lessThan">
      <formula>-0.03</formula>
    </cfRule>
  </conditionalFormatting>
  <conditionalFormatting sqref="AO64:AQ64">
    <cfRule type="cellIs" dxfId="5017" priority="603" operator="greaterThan">
      <formula>0.03</formula>
    </cfRule>
    <cfRule type="cellIs" dxfId="5016" priority="604" stopIfTrue="1" operator="lessThan">
      <formula>-0.03</formula>
    </cfRule>
  </conditionalFormatting>
  <conditionalFormatting sqref="AL59:AN59">
    <cfRule type="cellIs" dxfId="5015" priority="601" operator="greaterThan">
      <formula>0.03</formula>
    </cfRule>
    <cfRule type="cellIs" dxfId="5014" priority="602" stopIfTrue="1" operator="lessThan">
      <formula>-0.03</formula>
    </cfRule>
  </conditionalFormatting>
  <conditionalFormatting sqref="AL54:AN54">
    <cfRule type="cellIs" dxfId="5013" priority="597" operator="greaterThan">
      <formula>0.03</formula>
    </cfRule>
    <cfRule type="cellIs" dxfId="5012" priority="598" stopIfTrue="1" operator="lessThan">
      <formula>-0.03</formula>
    </cfRule>
  </conditionalFormatting>
  <conditionalFormatting sqref="AO54:AQ54">
    <cfRule type="cellIs" dxfId="5011" priority="595" operator="greaterThan">
      <formula>0.03</formula>
    </cfRule>
    <cfRule type="cellIs" dxfId="5010" priority="596" stopIfTrue="1" operator="lessThan">
      <formula>-0.03</formula>
    </cfRule>
  </conditionalFormatting>
  <conditionalFormatting sqref="AL44:AN44">
    <cfRule type="cellIs" dxfId="5009" priority="589" operator="greaterThan">
      <formula>0.03</formula>
    </cfRule>
    <cfRule type="cellIs" dxfId="5008" priority="590" stopIfTrue="1" operator="lessThan">
      <formula>-0.03</formula>
    </cfRule>
  </conditionalFormatting>
  <conditionalFormatting sqref="AO44:AQ44">
    <cfRule type="cellIs" dxfId="5007" priority="587" operator="greaterThan">
      <formula>0.03</formula>
    </cfRule>
    <cfRule type="cellIs" dxfId="5006" priority="588" stopIfTrue="1" operator="lessThan">
      <formula>-0.03</formula>
    </cfRule>
  </conditionalFormatting>
  <conditionalFormatting sqref="AL39:AN39">
    <cfRule type="cellIs" dxfId="5005" priority="585" operator="greaterThan">
      <formula>0.03</formula>
    </cfRule>
    <cfRule type="cellIs" dxfId="5004" priority="586" stopIfTrue="1" operator="lessThan">
      <formula>-0.03</formula>
    </cfRule>
  </conditionalFormatting>
  <conditionalFormatting sqref="AL34:AN34">
    <cfRule type="cellIs" dxfId="5003" priority="581" operator="greaterThan">
      <formula>0.03</formula>
    </cfRule>
    <cfRule type="cellIs" dxfId="5002" priority="582" stopIfTrue="1" operator="lessThan">
      <formula>-0.03</formula>
    </cfRule>
  </conditionalFormatting>
  <conditionalFormatting sqref="AO34:AQ34">
    <cfRule type="cellIs" dxfId="5001" priority="579" operator="greaterThan">
      <formula>0.03</formula>
    </cfRule>
    <cfRule type="cellIs" dxfId="5000" priority="580" stopIfTrue="1" operator="lessThan">
      <formula>-0.03</formula>
    </cfRule>
  </conditionalFormatting>
  <conditionalFormatting sqref="AO29:AQ29">
    <cfRule type="cellIs" dxfId="4999" priority="575" operator="greaterThan">
      <formula>0.03</formula>
    </cfRule>
    <cfRule type="cellIs" dxfId="4998" priority="576" stopIfTrue="1" operator="lessThan">
      <formula>-0.03</formula>
    </cfRule>
  </conditionalFormatting>
  <conditionalFormatting sqref="AL19:AN19">
    <cfRule type="cellIs" dxfId="4997" priority="569" operator="greaterThan">
      <formula>0.03</formula>
    </cfRule>
    <cfRule type="cellIs" dxfId="4996" priority="570" stopIfTrue="1" operator="lessThan">
      <formula>-0.03</formula>
    </cfRule>
  </conditionalFormatting>
  <conditionalFormatting sqref="AL9:AN9">
    <cfRule type="cellIs" dxfId="4995" priority="561" operator="greaterThan">
      <formula>0.03</formula>
    </cfRule>
    <cfRule type="cellIs" dxfId="4994" priority="562" stopIfTrue="1" operator="lessThan">
      <formula>-0.03</formula>
    </cfRule>
  </conditionalFormatting>
  <conditionalFormatting sqref="AO9:AQ9">
    <cfRule type="cellIs" dxfId="4993" priority="559" operator="greaterThan">
      <formula>0.03</formula>
    </cfRule>
    <cfRule type="cellIs" dxfId="4992" priority="560" stopIfTrue="1" operator="lessThan">
      <formula>-0.03</formula>
    </cfRule>
  </conditionalFormatting>
  <conditionalFormatting sqref="AL4:AN4">
    <cfRule type="cellIs" dxfId="4991" priority="557" operator="greaterThan">
      <formula>0.03</formula>
    </cfRule>
    <cfRule type="cellIs" dxfId="4990" priority="558" stopIfTrue="1" operator="lessThan">
      <formula>-0.03</formula>
    </cfRule>
  </conditionalFormatting>
  <conditionalFormatting sqref="AF3:AW168 AF213:AW222 AF205:AK212 AM205:AW206 AF255:AW1048576 AF223:AJ254 AV223:AW254 AN211:AW212 AM210:AW210 AN207:AW209 AF175:AW178 AF169:AG174 AK169:AW174 AF185:AW204 AF179:AF184 AJ179:AW184">
    <cfRule type="cellIs" dxfId="4989" priority="552" operator="greaterThan">
      <formula>0</formula>
    </cfRule>
    <cfRule type="cellIs" dxfId="4988" priority="553" operator="lessThan">
      <formula>0</formula>
    </cfRule>
    <cfRule type="cellIs" dxfId="4987" priority="554" operator="lessThan">
      <formula>0</formula>
    </cfRule>
  </conditionalFormatting>
  <conditionalFormatting sqref="AI8">
    <cfRule type="cellIs" dxfId="4986" priority="550" operator="greaterThan">
      <formula>0.03</formula>
    </cfRule>
    <cfRule type="cellIs" dxfId="4985" priority="551" stopIfTrue="1" operator="lessThan">
      <formula>-0.03</formula>
    </cfRule>
  </conditionalFormatting>
  <conditionalFormatting sqref="AI13">
    <cfRule type="cellIs" dxfId="4984" priority="548" operator="greaterThan">
      <formula>0.03</formula>
    </cfRule>
    <cfRule type="cellIs" dxfId="4983" priority="549" stopIfTrue="1" operator="lessThan">
      <formula>-0.03</formula>
    </cfRule>
  </conditionalFormatting>
  <conditionalFormatting sqref="AI13">
    <cfRule type="cellIs" dxfId="4982" priority="546" operator="greaterThan">
      <formula>0.03</formula>
    </cfRule>
    <cfRule type="cellIs" dxfId="4981" priority="547" stopIfTrue="1" operator="lessThan">
      <formula>-0.03</formula>
    </cfRule>
  </conditionalFormatting>
  <conditionalFormatting sqref="AI18">
    <cfRule type="cellIs" dxfId="4980" priority="544" operator="greaterThan">
      <formula>0.03</formula>
    </cfRule>
    <cfRule type="cellIs" dxfId="4979" priority="545" stopIfTrue="1" operator="lessThan">
      <formula>-0.03</formula>
    </cfRule>
  </conditionalFormatting>
  <conditionalFormatting sqref="AI18">
    <cfRule type="cellIs" dxfId="4978" priority="542" operator="greaterThan">
      <formula>0.03</formula>
    </cfRule>
    <cfRule type="cellIs" dxfId="4977" priority="543" stopIfTrue="1" operator="lessThan">
      <formula>-0.03</formula>
    </cfRule>
  </conditionalFormatting>
  <conditionalFormatting sqref="AI23">
    <cfRule type="cellIs" dxfId="4976" priority="540" operator="greaterThan">
      <formula>0.03</formula>
    </cfRule>
    <cfRule type="cellIs" dxfId="4975" priority="541" stopIfTrue="1" operator="lessThan">
      <formula>-0.03</formula>
    </cfRule>
  </conditionalFormatting>
  <conditionalFormatting sqref="AI23">
    <cfRule type="cellIs" dxfId="4974" priority="538" operator="greaterThan">
      <formula>0.03</formula>
    </cfRule>
    <cfRule type="cellIs" dxfId="4973" priority="539" stopIfTrue="1" operator="lessThan">
      <formula>-0.03</formula>
    </cfRule>
  </conditionalFormatting>
  <conditionalFormatting sqref="AI28">
    <cfRule type="cellIs" dxfId="4972" priority="536" operator="greaterThan">
      <formula>0.03</formula>
    </cfRule>
    <cfRule type="cellIs" dxfId="4971" priority="537" stopIfTrue="1" operator="lessThan">
      <formula>-0.03</formula>
    </cfRule>
  </conditionalFormatting>
  <conditionalFormatting sqref="AI28">
    <cfRule type="cellIs" dxfId="4970" priority="534" operator="greaterThan">
      <formula>0.03</formula>
    </cfRule>
    <cfRule type="cellIs" dxfId="4969" priority="535" stopIfTrue="1" operator="lessThan">
      <formula>-0.03</formula>
    </cfRule>
  </conditionalFormatting>
  <conditionalFormatting sqref="AI33">
    <cfRule type="cellIs" dxfId="4968" priority="532" operator="greaterThan">
      <formula>0.03</formula>
    </cfRule>
    <cfRule type="cellIs" dxfId="4967" priority="533" stopIfTrue="1" operator="lessThan">
      <formula>-0.03</formula>
    </cfRule>
  </conditionalFormatting>
  <conditionalFormatting sqref="AI33">
    <cfRule type="cellIs" dxfId="4966" priority="530" operator="greaterThan">
      <formula>0.03</formula>
    </cfRule>
    <cfRule type="cellIs" dxfId="4965" priority="531" stopIfTrue="1" operator="lessThan">
      <formula>-0.03</formula>
    </cfRule>
  </conditionalFormatting>
  <conditionalFormatting sqref="AI38">
    <cfRule type="cellIs" dxfId="4964" priority="528" operator="greaterThan">
      <formula>0.03</formula>
    </cfRule>
    <cfRule type="cellIs" dxfId="4963" priority="529" stopIfTrue="1" operator="lessThan">
      <formula>-0.03</formula>
    </cfRule>
  </conditionalFormatting>
  <conditionalFormatting sqref="AI38">
    <cfRule type="cellIs" dxfId="4962" priority="526" operator="greaterThan">
      <formula>0.03</formula>
    </cfRule>
    <cfRule type="cellIs" dxfId="4961" priority="527" stopIfTrue="1" operator="lessThan">
      <formula>-0.03</formula>
    </cfRule>
  </conditionalFormatting>
  <conditionalFormatting sqref="AI43">
    <cfRule type="cellIs" dxfId="4960" priority="524" operator="greaterThan">
      <formula>0.03</formula>
    </cfRule>
    <cfRule type="cellIs" dxfId="4959" priority="525" stopIfTrue="1" operator="lessThan">
      <formula>-0.03</formula>
    </cfRule>
  </conditionalFormatting>
  <conditionalFormatting sqref="AI43">
    <cfRule type="cellIs" dxfId="4958" priority="522" operator="greaterThan">
      <formula>0.03</formula>
    </cfRule>
    <cfRule type="cellIs" dxfId="4957" priority="523" stopIfTrue="1" operator="lessThan">
      <formula>-0.03</formula>
    </cfRule>
  </conditionalFormatting>
  <conditionalFormatting sqref="AI48">
    <cfRule type="cellIs" dxfId="4956" priority="520" operator="greaterThan">
      <formula>0.03</formula>
    </cfRule>
    <cfRule type="cellIs" dxfId="4955" priority="521" stopIfTrue="1" operator="lessThan">
      <formula>-0.03</formula>
    </cfRule>
  </conditionalFormatting>
  <conditionalFormatting sqref="AI48">
    <cfRule type="cellIs" dxfId="4954" priority="518" operator="greaterThan">
      <formula>0.03</formula>
    </cfRule>
    <cfRule type="cellIs" dxfId="4953" priority="519" stopIfTrue="1" operator="lessThan">
      <formula>-0.03</formula>
    </cfRule>
  </conditionalFormatting>
  <conditionalFormatting sqref="AI53">
    <cfRule type="cellIs" dxfId="4952" priority="516" operator="greaterThan">
      <formula>0.03</formula>
    </cfRule>
    <cfRule type="cellIs" dxfId="4951" priority="517" stopIfTrue="1" operator="lessThan">
      <formula>-0.03</formula>
    </cfRule>
  </conditionalFormatting>
  <conditionalFormatting sqref="AI53">
    <cfRule type="cellIs" dxfId="4950" priority="514" operator="greaterThan">
      <formula>0.03</formula>
    </cfRule>
    <cfRule type="cellIs" dxfId="4949" priority="515" stopIfTrue="1" operator="lessThan">
      <formula>-0.03</formula>
    </cfRule>
  </conditionalFormatting>
  <conditionalFormatting sqref="AI58">
    <cfRule type="cellIs" dxfId="4948" priority="512" operator="greaterThan">
      <formula>0.03</formula>
    </cfRule>
    <cfRule type="cellIs" dxfId="4947" priority="513" stopIfTrue="1" operator="lessThan">
      <formula>-0.03</formula>
    </cfRule>
  </conditionalFormatting>
  <conditionalFormatting sqref="AI58">
    <cfRule type="cellIs" dxfId="4946" priority="510" operator="greaterThan">
      <formula>0.03</formula>
    </cfRule>
    <cfRule type="cellIs" dxfId="4945" priority="511" stopIfTrue="1" operator="lessThan">
      <formula>-0.03</formula>
    </cfRule>
  </conditionalFormatting>
  <conditionalFormatting sqref="AI63">
    <cfRule type="cellIs" dxfId="4944" priority="508" operator="greaterThan">
      <formula>0.03</formula>
    </cfRule>
    <cfRule type="cellIs" dxfId="4943" priority="509" stopIfTrue="1" operator="lessThan">
      <formula>-0.03</formula>
    </cfRule>
  </conditionalFormatting>
  <conditionalFormatting sqref="AI63">
    <cfRule type="cellIs" dxfId="4942" priority="506" operator="greaterThan">
      <formula>0.03</formula>
    </cfRule>
    <cfRule type="cellIs" dxfId="4941" priority="507" stopIfTrue="1" operator="lessThan">
      <formula>-0.03</formula>
    </cfRule>
  </conditionalFormatting>
  <conditionalFormatting sqref="AI68">
    <cfRule type="cellIs" dxfId="4940" priority="504" operator="greaterThan">
      <formula>0.03</formula>
    </cfRule>
    <cfRule type="cellIs" dxfId="4939" priority="505" stopIfTrue="1" operator="lessThan">
      <formula>-0.03</formula>
    </cfRule>
  </conditionalFormatting>
  <conditionalFormatting sqref="AI68">
    <cfRule type="cellIs" dxfId="4938" priority="502" operator="greaterThan">
      <formula>0.03</formula>
    </cfRule>
    <cfRule type="cellIs" dxfId="4937" priority="503" stopIfTrue="1" operator="lessThan">
      <formula>-0.03</formula>
    </cfRule>
  </conditionalFormatting>
  <conditionalFormatting sqref="AI73">
    <cfRule type="cellIs" dxfId="4936" priority="500" operator="greaterThan">
      <formula>0.03</formula>
    </cfRule>
    <cfRule type="cellIs" dxfId="4935" priority="501" stopIfTrue="1" operator="lessThan">
      <formula>-0.03</formula>
    </cfRule>
  </conditionalFormatting>
  <conditionalFormatting sqref="AI73">
    <cfRule type="cellIs" dxfId="4934" priority="498" operator="greaterThan">
      <formula>0.03</formula>
    </cfRule>
    <cfRule type="cellIs" dxfId="4933" priority="499" stopIfTrue="1" operator="lessThan">
      <formula>-0.03</formula>
    </cfRule>
  </conditionalFormatting>
  <conditionalFormatting sqref="AI78">
    <cfRule type="cellIs" dxfId="4932" priority="496" operator="greaterThan">
      <formula>0.03</formula>
    </cfRule>
    <cfRule type="cellIs" dxfId="4931" priority="497" stopIfTrue="1" operator="lessThan">
      <formula>-0.03</formula>
    </cfRule>
  </conditionalFormatting>
  <conditionalFormatting sqref="AI78">
    <cfRule type="cellIs" dxfId="4930" priority="494" operator="greaterThan">
      <formula>0.03</formula>
    </cfRule>
    <cfRule type="cellIs" dxfId="4929" priority="495" stopIfTrue="1" operator="lessThan">
      <formula>-0.03</formula>
    </cfRule>
  </conditionalFormatting>
  <conditionalFormatting sqref="AI83">
    <cfRule type="cellIs" dxfId="4928" priority="492" operator="greaterThan">
      <formula>0.03</formula>
    </cfRule>
    <cfRule type="cellIs" dxfId="4927" priority="493" stopIfTrue="1" operator="lessThan">
      <formula>-0.03</formula>
    </cfRule>
  </conditionalFormatting>
  <conditionalFormatting sqref="AI83">
    <cfRule type="cellIs" dxfId="4926" priority="490" operator="greaterThan">
      <formula>0.03</formula>
    </cfRule>
    <cfRule type="cellIs" dxfId="4925" priority="491" stopIfTrue="1" operator="lessThan">
      <formula>-0.03</formula>
    </cfRule>
  </conditionalFormatting>
  <conditionalFormatting sqref="AI88">
    <cfRule type="cellIs" dxfId="4924" priority="488" operator="greaterThan">
      <formula>0.03</formula>
    </cfRule>
    <cfRule type="cellIs" dxfId="4923" priority="489" stopIfTrue="1" operator="lessThan">
      <formula>-0.03</formula>
    </cfRule>
  </conditionalFormatting>
  <conditionalFormatting sqref="AI88">
    <cfRule type="cellIs" dxfId="4922" priority="486" operator="greaterThan">
      <formula>0.03</formula>
    </cfRule>
    <cfRule type="cellIs" dxfId="4921" priority="487" stopIfTrue="1" operator="lessThan">
      <formula>-0.03</formula>
    </cfRule>
  </conditionalFormatting>
  <conditionalFormatting sqref="AI93">
    <cfRule type="cellIs" dxfId="4920" priority="484" operator="greaterThan">
      <formula>0.03</formula>
    </cfRule>
    <cfRule type="cellIs" dxfId="4919" priority="485" stopIfTrue="1" operator="lessThan">
      <formula>-0.03</formula>
    </cfRule>
  </conditionalFormatting>
  <conditionalFormatting sqref="AI93">
    <cfRule type="cellIs" dxfId="4918" priority="482" operator="greaterThan">
      <formula>0.03</formula>
    </cfRule>
    <cfRule type="cellIs" dxfId="4917" priority="483" stopIfTrue="1" operator="lessThan">
      <formula>-0.03</formula>
    </cfRule>
  </conditionalFormatting>
  <conditionalFormatting sqref="AI98">
    <cfRule type="cellIs" dxfId="4916" priority="480" operator="greaterThan">
      <formula>0.03</formula>
    </cfRule>
    <cfRule type="cellIs" dxfId="4915" priority="481" stopIfTrue="1" operator="lessThan">
      <formula>-0.03</formula>
    </cfRule>
  </conditionalFormatting>
  <conditionalFormatting sqref="AI98">
    <cfRule type="cellIs" dxfId="4914" priority="478" operator="greaterThan">
      <formula>0.03</formula>
    </cfRule>
    <cfRule type="cellIs" dxfId="4913" priority="479" stopIfTrue="1" operator="lessThan">
      <formula>-0.03</formula>
    </cfRule>
  </conditionalFormatting>
  <conditionalFormatting sqref="AI103">
    <cfRule type="cellIs" dxfId="4912" priority="476" operator="greaterThan">
      <formula>0.03</formula>
    </cfRule>
    <cfRule type="cellIs" dxfId="4911" priority="477" stopIfTrue="1" operator="lessThan">
      <formula>-0.03</formula>
    </cfRule>
  </conditionalFormatting>
  <conditionalFormatting sqref="AI103">
    <cfRule type="cellIs" dxfId="4910" priority="474" operator="greaterThan">
      <formula>0.03</formula>
    </cfRule>
    <cfRule type="cellIs" dxfId="4909" priority="475" stopIfTrue="1" operator="lessThan">
      <formula>-0.03</formula>
    </cfRule>
  </conditionalFormatting>
  <conditionalFormatting sqref="AI108">
    <cfRule type="cellIs" dxfId="4908" priority="472" operator="greaterThan">
      <formula>0.03</formula>
    </cfRule>
    <cfRule type="cellIs" dxfId="4907" priority="473" stopIfTrue="1" operator="lessThan">
      <formula>-0.03</formula>
    </cfRule>
  </conditionalFormatting>
  <conditionalFormatting sqref="AI108">
    <cfRule type="cellIs" dxfId="4906" priority="470" operator="greaterThan">
      <formula>0.03</formula>
    </cfRule>
    <cfRule type="cellIs" dxfId="4905" priority="471" stopIfTrue="1" operator="lessThan">
      <formula>-0.03</formula>
    </cfRule>
  </conditionalFormatting>
  <conditionalFormatting sqref="AI113">
    <cfRule type="cellIs" dxfId="4904" priority="468" operator="greaterThan">
      <formula>0.03</formula>
    </cfRule>
    <cfRule type="cellIs" dxfId="4903" priority="469" stopIfTrue="1" operator="lessThan">
      <formula>-0.03</formula>
    </cfRule>
  </conditionalFormatting>
  <conditionalFormatting sqref="AI113">
    <cfRule type="cellIs" dxfId="4902" priority="466" operator="greaterThan">
      <formula>0.03</formula>
    </cfRule>
    <cfRule type="cellIs" dxfId="4901" priority="467" stopIfTrue="1" operator="lessThan">
      <formula>-0.03</formula>
    </cfRule>
  </conditionalFormatting>
  <conditionalFormatting sqref="AI118">
    <cfRule type="cellIs" dxfId="4900" priority="464" operator="greaterThan">
      <formula>0.03</formula>
    </cfRule>
    <cfRule type="cellIs" dxfId="4899" priority="465" stopIfTrue="1" operator="lessThan">
      <formula>-0.03</formula>
    </cfRule>
  </conditionalFormatting>
  <conditionalFormatting sqref="AI118">
    <cfRule type="cellIs" dxfId="4898" priority="462" operator="greaterThan">
      <formula>0.03</formula>
    </cfRule>
    <cfRule type="cellIs" dxfId="4897" priority="463" stopIfTrue="1" operator="lessThan">
      <formula>-0.03</formula>
    </cfRule>
  </conditionalFormatting>
  <conditionalFormatting sqref="AI123">
    <cfRule type="cellIs" dxfId="4896" priority="460" operator="greaterThan">
      <formula>0.03</formula>
    </cfRule>
    <cfRule type="cellIs" dxfId="4895" priority="461" stopIfTrue="1" operator="lessThan">
      <formula>-0.03</formula>
    </cfRule>
  </conditionalFormatting>
  <conditionalFormatting sqref="AI123">
    <cfRule type="cellIs" dxfId="4894" priority="458" operator="greaterThan">
      <formula>0.03</formula>
    </cfRule>
    <cfRule type="cellIs" dxfId="4893" priority="459" stopIfTrue="1" operator="lessThan">
      <formula>-0.03</formula>
    </cfRule>
  </conditionalFormatting>
  <conditionalFormatting sqref="AI128">
    <cfRule type="cellIs" dxfId="4892" priority="456" operator="greaterThan">
      <formula>0.03</formula>
    </cfRule>
    <cfRule type="cellIs" dxfId="4891" priority="457" stopIfTrue="1" operator="lessThan">
      <formula>-0.03</formula>
    </cfRule>
  </conditionalFormatting>
  <conditionalFormatting sqref="AI128">
    <cfRule type="cellIs" dxfId="4890" priority="454" operator="greaterThan">
      <formula>0.03</formula>
    </cfRule>
    <cfRule type="cellIs" dxfId="4889" priority="455" stopIfTrue="1" operator="lessThan">
      <formula>-0.03</formula>
    </cfRule>
  </conditionalFormatting>
  <conditionalFormatting sqref="AO9">
    <cfRule type="cellIs" dxfId="4888" priority="452" operator="greaterThan">
      <formula>0.03</formula>
    </cfRule>
    <cfRule type="cellIs" dxfId="4887" priority="453" stopIfTrue="1" operator="lessThan">
      <formula>-0.03</formula>
    </cfRule>
  </conditionalFormatting>
  <conditionalFormatting sqref="AO14">
    <cfRule type="cellIs" dxfId="4886" priority="450" operator="greaterThan">
      <formula>0.03</formula>
    </cfRule>
    <cfRule type="cellIs" dxfId="4885" priority="451" stopIfTrue="1" operator="lessThan">
      <formula>-0.03</formula>
    </cfRule>
  </conditionalFormatting>
  <conditionalFormatting sqref="AO19">
    <cfRule type="cellIs" dxfId="4884" priority="448" operator="greaterThan">
      <formula>0.03</formula>
    </cfRule>
    <cfRule type="cellIs" dxfId="4883" priority="449" stopIfTrue="1" operator="lessThan">
      <formula>-0.03</formula>
    </cfRule>
  </conditionalFormatting>
  <conditionalFormatting sqref="AO24">
    <cfRule type="cellIs" dxfId="4882" priority="446" operator="greaterThan">
      <formula>0.03</formula>
    </cfRule>
    <cfRule type="cellIs" dxfId="4881" priority="447" stopIfTrue="1" operator="lessThan">
      <formula>-0.03</formula>
    </cfRule>
  </conditionalFormatting>
  <conditionalFormatting sqref="AO29">
    <cfRule type="cellIs" dxfId="4880" priority="444" operator="greaterThan">
      <formula>0.03</formula>
    </cfRule>
    <cfRule type="cellIs" dxfId="4879" priority="445" stopIfTrue="1" operator="lessThan">
      <formula>-0.03</formula>
    </cfRule>
  </conditionalFormatting>
  <conditionalFormatting sqref="AO34">
    <cfRule type="cellIs" dxfId="4878" priority="442" operator="greaterThan">
      <formula>0.03</formula>
    </cfRule>
    <cfRule type="cellIs" dxfId="4877" priority="443" stopIfTrue="1" operator="lessThan">
      <formula>-0.03</formula>
    </cfRule>
  </conditionalFormatting>
  <conditionalFormatting sqref="AO39">
    <cfRule type="cellIs" dxfId="4876" priority="440" operator="greaterThan">
      <formula>0.03</formula>
    </cfRule>
    <cfRule type="cellIs" dxfId="4875" priority="441" stopIfTrue="1" operator="lessThan">
      <formula>-0.03</formula>
    </cfRule>
  </conditionalFormatting>
  <conditionalFormatting sqref="AO44">
    <cfRule type="cellIs" dxfId="4874" priority="438" operator="greaterThan">
      <formula>0.03</formula>
    </cfRule>
    <cfRule type="cellIs" dxfId="4873" priority="439" stopIfTrue="1" operator="lessThan">
      <formula>-0.03</formula>
    </cfRule>
  </conditionalFormatting>
  <conditionalFormatting sqref="AO49">
    <cfRule type="cellIs" dxfId="4872" priority="436" operator="greaterThan">
      <formula>0.03</formula>
    </cfRule>
    <cfRule type="cellIs" dxfId="4871" priority="437" stopIfTrue="1" operator="lessThan">
      <formula>-0.03</formula>
    </cfRule>
  </conditionalFormatting>
  <conditionalFormatting sqref="AO54">
    <cfRule type="cellIs" dxfId="4870" priority="434" operator="greaterThan">
      <formula>0.03</formula>
    </cfRule>
    <cfRule type="cellIs" dxfId="4869" priority="435" stopIfTrue="1" operator="lessThan">
      <formula>-0.03</formula>
    </cfRule>
  </conditionalFormatting>
  <conditionalFormatting sqref="AO59">
    <cfRule type="cellIs" dxfId="4868" priority="432" operator="greaterThan">
      <formula>0.03</formula>
    </cfRule>
    <cfRule type="cellIs" dxfId="4867" priority="433" stopIfTrue="1" operator="lessThan">
      <formula>-0.03</formula>
    </cfRule>
  </conditionalFormatting>
  <conditionalFormatting sqref="AO64">
    <cfRule type="cellIs" dxfId="4866" priority="430" operator="greaterThan">
      <formula>0.03</formula>
    </cfRule>
    <cfRule type="cellIs" dxfId="4865" priority="431" stopIfTrue="1" operator="lessThan">
      <formula>-0.03</formula>
    </cfRule>
  </conditionalFormatting>
  <conditionalFormatting sqref="AO69">
    <cfRule type="cellIs" dxfId="4864" priority="428" operator="greaterThan">
      <formula>0.03</formula>
    </cfRule>
    <cfRule type="cellIs" dxfId="4863" priority="429" stopIfTrue="1" operator="lessThan">
      <formula>-0.03</formula>
    </cfRule>
  </conditionalFormatting>
  <conditionalFormatting sqref="AO74">
    <cfRule type="cellIs" dxfId="4862" priority="426" operator="greaterThan">
      <formula>0.03</formula>
    </cfRule>
    <cfRule type="cellIs" dxfId="4861" priority="427" stopIfTrue="1" operator="lessThan">
      <formula>-0.03</formula>
    </cfRule>
  </conditionalFormatting>
  <conditionalFormatting sqref="AO79">
    <cfRule type="cellIs" dxfId="4860" priority="424" operator="greaterThan">
      <formula>0.03</formula>
    </cfRule>
    <cfRule type="cellIs" dxfId="4859" priority="425" stopIfTrue="1" operator="lessThan">
      <formula>-0.03</formula>
    </cfRule>
  </conditionalFormatting>
  <conditionalFormatting sqref="AO84">
    <cfRule type="cellIs" dxfId="4858" priority="422" operator="greaterThan">
      <formula>0.03</formula>
    </cfRule>
    <cfRule type="cellIs" dxfId="4857" priority="423" stopIfTrue="1" operator="lessThan">
      <formula>-0.03</formula>
    </cfRule>
  </conditionalFormatting>
  <conditionalFormatting sqref="AO89">
    <cfRule type="cellIs" dxfId="4856" priority="420" operator="greaterThan">
      <formula>0.03</formula>
    </cfRule>
    <cfRule type="cellIs" dxfId="4855" priority="421" stopIfTrue="1" operator="lessThan">
      <formula>-0.03</formula>
    </cfRule>
  </conditionalFormatting>
  <conditionalFormatting sqref="AO94">
    <cfRule type="cellIs" dxfId="4854" priority="418" operator="greaterThan">
      <formula>0.03</formula>
    </cfRule>
    <cfRule type="cellIs" dxfId="4853" priority="419" stopIfTrue="1" operator="lessThan">
      <formula>-0.03</formula>
    </cfRule>
  </conditionalFormatting>
  <conditionalFormatting sqref="AO99">
    <cfRule type="cellIs" dxfId="4852" priority="416" operator="greaterThan">
      <formula>0.03</formula>
    </cfRule>
    <cfRule type="cellIs" dxfId="4851" priority="417" stopIfTrue="1" operator="lessThan">
      <formula>-0.03</formula>
    </cfRule>
  </conditionalFormatting>
  <conditionalFormatting sqref="AO104">
    <cfRule type="cellIs" dxfId="4850" priority="414" operator="greaterThan">
      <formula>0.03</formula>
    </cfRule>
    <cfRule type="cellIs" dxfId="4849" priority="415" stopIfTrue="1" operator="lessThan">
      <formula>-0.03</formula>
    </cfRule>
  </conditionalFormatting>
  <conditionalFormatting sqref="AO109">
    <cfRule type="cellIs" dxfId="4848" priority="412" operator="greaterThan">
      <formula>0.03</formula>
    </cfRule>
    <cfRule type="cellIs" dxfId="4847" priority="413" stopIfTrue="1" operator="lessThan">
      <formula>-0.03</formula>
    </cfRule>
  </conditionalFormatting>
  <conditionalFormatting sqref="AO114">
    <cfRule type="cellIs" dxfId="4846" priority="410" operator="greaterThan">
      <formula>0.03</formula>
    </cfRule>
    <cfRule type="cellIs" dxfId="4845" priority="411" stopIfTrue="1" operator="lessThan">
      <formula>-0.03</formula>
    </cfRule>
  </conditionalFormatting>
  <conditionalFormatting sqref="AO119">
    <cfRule type="cellIs" dxfId="4844" priority="408" operator="greaterThan">
      <formula>0.03</formula>
    </cfRule>
    <cfRule type="cellIs" dxfId="4843" priority="409" stopIfTrue="1" operator="lessThan">
      <formula>-0.03</formula>
    </cfRule>
  </conditionalFormatting>
  <conditionalFormatting sqref="AO124">
    <cfRule type="cellIs" dxfId="4842" priority="406" operator="greaterThan">
      <formula>0.03</formula>
    </cfRule>
    <cfRule type="cellIs" dxfId="4841" priority="407" stopIfTrue="1" operator="lessThan">
      <formula>-0.03</formula>
    </cfRule>
  </conditionalFormatting>
  <conditionalFormatting sqref="AO129">
    <cfRule type="cellIs" dxfId="4840" priority="404" operator="greaterThan">
      <formula>0.03</formula>
    </cfRule>
    <cfRule type="cellIs" dxfId="4839" priority="405" stopIfTrue="1" operator="lessThan">
      <formula>-0.03</formula>
    </cfRule>
  </conditionalFormatting>
  <conditionalFormatting sqref="AU8">
    <cfRule type="cellIs" dxfId="4838" priority="402" operator="greaterThan">
      <formula>0.03</formula>
    </cfRule>
    <cfRule type="cellIs" dxfId="4837" priority="403" stopIfTrue="1" operator="lessThan">
      <formula>-0.03</formula>
    </cfRule>
  </conditionalFormatting>
  <conditionalFormatting sqref="AU13">
    <cfRule type="cellIs" dxfId="4836" priority="400" operator="greaterThan">
      <formula>0.03</formula>
    </cfRule>
    <cfRule type="cellIs" dxfId="4835" priority="401" stopIfTrue="1" operator="lessThan">
      <formula>-0.03</formula>
    </cfRule>
  </conditionalFormatting>
  <conditionalFormatting sqref="AU18">
    <cfRule type="cellIs" dxfId="4834" priority="398" operator="greaterThan">
      <formula>0.03</formula>
    </cfRule>
    <cfRule type="cellIs" dxfId="4833" priority="399" stopIfTrue="1" operator="lessThan">
      <formula>-0.03</formula>
    </cfRule>
  </conditionalFormatting>
  <conditionalFormatting sqref="AU23">
    <cfRule type="cellIs" dxfId="4832" priority="396" operator="greaterThan">
      <formula>0.03</formula>
    </cfRule>
    <cfRule type="cellIs" dxfId="4831" priority="397" stopIfTrue="1" operator="lessThan">
      <formula>-0.03</formula>
    </cfRule>
  </conditionalFormatting>
  <conditionalFormatting sqref="AU28">
    <cfRule type="cellIs" dxfId="4830" priority="394" operator="greaterThan">
      <formula>0.03</formula>
    </cfRule>
    <cfRule type="cellIs" dxfId="4829" priority="395" stopIfTrue="1" operator="lessThan">
      <formula>-0.03</formula>
    </cfRule>
  </conditionalFormatting>
  <conditionalFormatting sqref="AU33">
    <cfRule type="cellIs" dxfId="4828" priority="392" operator="greaterThan">
      <formula>0.03</formula>
    </cfRule>
    <cfRule type="cellIs" dxfId="4827" priority="393" stopIfTrue="1" operator="lessThan">
      <formula>-0.03</formula>
    </cfRule>
  </conditionalFormatting>
  <conditionalFormatting sqref="AU38">
    <cfRule type="cellIs" dxfId="4826" priority="390" operator="greaterThan">
      <formula>0.03</formula>
    </cfRule>
    <cfRule type="cellIs" dxfId="4825" priority="391" stopIfTrue="1" operator="lessThan">
      <formula>-0.03</formula>
    </cfRule>
  </conditionalFormatting>
  <conditionalFormatting sqref="AU43">
    <cfRule type="cellIs" dxfId="4824" priority="388" operator="greaterThan">
      <formula>0.03</formula>
    </cfRule>
    <cfRule type="cellIs" dxfId="4823" priority="389" stopIfTrue="1" operator="lessThan">
      <formula>-0.03</formula>
    </cfRule>
  </conditionalFormatting>
  <conditionalFormatting sqref="AU48">
    <cfRule type="cellIs" dxfId="4822" priority="386" operator="greaterThan">
      <formula>0.03</formula>
    </cfRule>
    <cfRule type="cellIs" dxfId="4821" priority="387" stopIfTrue="1" operator="lessThan">
      <formula>-0.03</formula>
    </cfRule>
  </conditionalFormatting>
  <conditionalFormatting sqref="AU53">
    <cfRule type="cellIs" dxfId="4820" priority="384" operator="greaterThan">
      <formula>0.03</formula>
    </cfRule>
    <cfRule type="cellIs" dxfId="4819" priority="385" stopIfTrue="1" operator="lessThan">
      <formula>-0.03</formula>
    </cfRule>
  </conditionalFormatting>
  <conditionalFormatting sqref="AU58">
    <cfRule type="cellIs" dxfId="4818" priority="382" operator="greaterThan">
      <formula>0.03</formula>
    </cfRule>
    <cfRule type="cellIs" dxfId="4817" priority="383" stopIfTrue="1" operator="lessThan">
      <formula>-0.03</formula>
    </cfRule>
  </conditionalFormatting>
  <conditionalFormatting sqref="AU63">
    <cfRule type="cellIs" dxfId="4816" priority="380" operator="greaterThan">
      <formula>0.03</formula>
    </cfRule>
    <cfRule type="cellIs" dxfId="4815" priority="381" stopIfTrue="1" operator="lessThan">
      <formula>-0.03</formula>
    </cfRule>
  </conditionalFormatting>
  <conditionalFormatting sqref="AU68">
    <cfRule type="cellIs" dxfId="4814" priority="378" operator="greaterThan">
      <formula>0.03</formula>
    </cfRule>
    <cfRule type="cellIs" dxfId="4813" priority="379" stopIfTrue="1" operator="lessThan">
      <formula>-0.03</formula>
    </cfRule>
  </conditionalFormatting>
  <conditionalFormatting sqref="AU73">
    <cfRule type="cellIs" dxfId="4812" priority="376" operator="greaterThan">
      <formula>0.03</formula>
    </cfRule>
    <cfRule type="cellIs" dxfId="4811" priority="377" stopIfTrue="1" operator="lessThan">
      <formula>-0.03</formula>
    </cfRule>
  </conditionalFormatting>
  <conditionalFormatting sqref="AU78">
    <cfRule type="cellIs" dxfId="4810" priority="374" operator="greaterThan">
      <formula>0.03</formula>
    </cfRule>
    <cfRule type="cellIs" dxfId="4809" priority="375" stopIfTrue="1" operator="lessThan">
      <formula>-0.03</formula>
    </cfRule>
  </conditionalFormatting>
  <conditionalFormatting sqref="AU83">
    <cfRule type="cellIs" dxfId="4808" priority="372" operator="greaterThan">
      <formula>0.03</formula>
    </cfRule>
    <cfRule type="cellIs" dxfId="4807" priority="373" stopIfTrue="1" operator="lessThan">
      <formula>-0.03</formula>
    </cfRule>
  </conditionalFormatting>
  <conditionalFormatting sqref="AU88">
    <cfRule type="cellIs" dxfId="4806" priority="370" operator="greaterThan">
      <formula>0.03</formula>
    </cfRule>
    <cfRule type="cellIs" dxfId="4805" priority="371" stopIfTrue="1" operator="lessThan">
      <formula>-0.03</formula>
    </cfRule>
  </conditionalFormatting>
  <conditionalFormatting sqref="AU93">
    <cfRule type="cellIs" dxfId="4804" priority="368" operator="greaterThan">
      <formula>0.03</formula>
    </cfRule>
    <cfRule type="cellIs" dxfId="4803" priority="369" stopIfTrue="1" operator="lessThan">
      <formula>-0.03</formula>
    </cfRule>
  </conditionalFormatting>
  <conditionalFormatting sqref="AU98">
    <cfRule type="cellIs" dxfId="4802" priority="366" operator="greaterThan">
      <formula>0.03</formula>
    </cfRule>
    <cfRule type="cellIs" dxfId="4801" priority="367" stopIfTrue="1" operator="lessThan">
      <formula>-0.03</formula>
    </cfRule>
  </conditionalFormatting>
  <conditionalFormatting sqref="AU103">
    <cfRule type="cellIs" dxfId="4800" priority="364" operator="greaterThan">
      <formula>0.03</formula>
    </cfRule>
    <cfRule type="cellIs" dxfId="4799" priority="365" stopIfTrue="1" operator="lessThan">
      <formula>-0.03</formula>
    </cfRule>
  </conditionalFormatting>
  <conditionalFormatting sqref="AU108">
    <cfRule type="cellIs" dxfId="4798" priority="362" operator="greaterThan">
      <formula>0.03</formula>
    </cfRule>
    <cfRule type="cellIs" dxfId="4797" priority="363" stopIfTrue="1" operator="lessThan">
      <formula>-0.03</formula>
    </cfRule>
  </conditionalFormatting>
  <conditionalFormatting sqref="AU113">
    <cfRule type="cellIs" dxfId="4796" priority="360" operator="greaterThan">
      <formula>0.03</formula>
    </cfRule>
    <cfRule type="cellIs" dxfId="4795" priority="361" stopIfTrue="1" operator="lessThan">
      <formula>-0.03</formula>
    </cfRule>
  </conditionalFormatting>
  <conditionalFormatting sqref="AU118">
    <cfRule type="cellIs" dxfId="4794" priority="358" operator="greaterThan">
      <formula>0.03</formula>
    </cfRule>
    <cfRule type="cellIs" dxfId="4793" priority="359" stopIfTrue="1" operator="lessThan">
      <formula>-0.03</formula>
    </cfRule>
  </conditionalFormatting>
  <conditionalFormatting sqref="AU123">
    <cfRule type="cellIs" dxfId="4792" priority="356" operator="greaterThan">
      <formula>0.03</formula>
    </cfRule>
    <cfRule type="cellIs" dxfId="4791" priority="357" stopIfTrue="1" operator="lessThan">
      <formula>-0.03</formula>
    </cfRule>
  </conditionalFormatting>
  <conditionalFormatting sqref="AU128">
    <cfRule type="cellIs" dxfId="4790" priority="354" operator="greaterThan">
      <formula>0.03</formula>
    </cfRule>
    <cfRule type="cellIs" dxfId="4789" priority="355" stopIfTrue="1" operator="lessThan">
      <formula>-0.03</formula>
    </cfRule>
  </conditionalFormatting>
  <conditionalFormatting sqref="AG73">
    <cfRule type="cellIs" dxfId="4788" priority="352" operator="equal">
      <formula>0</formula>
    </cfRule>
    <cfRule type="cellIs" dxfId="4787" priority="353" operator="equal">
      <formula>0</formula>
    </cfRule>
  </conditionalFormatting>
  <conditionalFormatting sqref="AP9">
    <cfRule type="cellIs" dxfId="4786" priority="350" operator="greaterThan">
      <formula>0.03</formula>
    </cfRule>
    <cfRule type="cellIs" dxfId="4785" priority="351" stopIfTrue="1" operator="lessThan">
      <formula>-0.03</formula>
    </cfRule>
  </conditionalFormatting>
  <conditionalFormatting sqref="AP14">
    <cfRule type="cellIs" dxfId="4784" priority="348" operator="greaterThan">
      <formula>0.03</formula>
    </cfRule>
    <cfRule type="cellIs" dxfId="4783" priority="349" stopIfTrue="1" operator="lessThan">
      <formula>-0.03</formula>
    </cfRule>
  </conditionalFormatting>
  <conditionalFormatting sqref="AP19">
    <cfRule type="cellIs" dxfId="4782" priority="346" operator="greaterThan">
      <formula>0.03</formula>
    </cfRule>
    <cfRule type="cellIs" dxfId="4781" priority="347" stopIfTrue="1" operator="lessThan">
      <formula>-0.03</formula>
    </cfRule>
  </conditionalFormatting>
  <conditionalFormatting sqref="AP24">
    <cfRule type="cellIs" dxfId="4780" priority="344" operator="greaterThan">
      <formula>0.03</formula>
    </cfRule>
    <cfRule type="cellIs" dxfId="4779" priority="345" stopIfTrue="1" operator="lessThan">
      <formula>-0.03</formula>
    </cfRule>
  </conditionalFormatting>
  <conditionalFormatting sqref="AP29">
    <cfRule type="cellIs" dxfId="4778" priority="342" operator="greaterThan">
      <formula>0.03</formula>
    </cfRule>
    <cfRule type="cellIs" dxfId="4777" priority="343" stopIfTrue="1" operator="lessThan">
      <formula>-0.03</formula>
    </cfRule>
  </conditionalFormatting>
  <conditionalFormatting sqref="AP34">
    <cfRule type="cellIs" dxfId="4776" priority="340" operator="greaterThan">
      <formula>0.03</formula>
    </cfRule>
    <cfRule type="cellIs" dxfId="4775" priority="341" stopIfTrue="1" operator="lessThan">
      <formula>-0.03</formula>
    </cfRule>
  </conditionalFormatting>
  <conditionalFormatting sqref="AP39">
    <cfRule type="cellIs" dxfId="4774" priority="338" operator="greaterThan">
      <formula>0.03</formula>
    </cfRule>
    <cfRule type="cellIs" dxfId="4773" priority="339" stopIfTrue="1" operator="lessThan">
      <formula>-0.03</formula>
    </cfRule>
  </conditionalFormatting>
  <conditionalFormatting sqref="AP44">
    <cfRule type="cellIs" dxfId="4772" priority="336" operator="greaterThan">
      <formula>0.03</formula>
    </cfRule>
    <cfRule type="cellIs" dxfId="4771" priority="337" stopIfTrue="1" operator="lessThan">
      <formula>-0.03</formula>
    </cfRule>
  </conditionalFormatting>
  <conditionalFormatting sqref="AP49">
    <cfRule type="cellIs" dxfId="4770" priority="334" operator="greaterThan">
      <formula>0.03</formula>
    </cfRule>
    <cfRule type="cellIs" dxfId="4769" priority="335" stopIfTrue="1" operator="lessThan">
      <formula>-0.03</formula>
    </cfRule>
  </conditionalFormatting>
  <conditionalFormatting sqref="AP54">
    <cfRule type="cellIs" dxfId="4768" priority="332" operator="greaterThan">
      <formula>0.03</formula>
    </cfRule>
    <cfRule type="cellIs" dxfId="4767" priority="333" stopIfTrue="1" operator="lessThan">
      <formula>-0.03</formula>
    </cfRule>
  </conditionalFormatting>
  <conditionalFormatting sqref="AP59">
    <cfRule type="cellIs" dxfId="4766" priority="330" operator="greaterThan">
      <formula>0.03</formula>
    </cfRule>
    <cfRule type="cellIs" dxfId="4765" priority="331" stopIfTrue="1" operator="lessThan">
      <formula>-0.03</formula>
    </cfRule>
  </conditionalFormatting>
  <conditionalFormatting sqref="AP64">
    <cfRule type="cellIs" dxfId="4764" priority="328" operator="greaterThan">
      <formula>0.03</formula>
    </cfRule>
    <cfRule type="cellIs" dxfId="4763" priority="329" stopIfTrue="1" operator="lessThan">
      <formula>-0.03</formula>
    </cfRule>
  </conditionalFormatting>
  <conditionalFormatting sqref="AP69">
    <cfRule type="cellIs" dxfId="4762" priority="326" operator="greaterThan">
      <formula>0.03</formula>
    </cfRule>
    <cfRule type="cellIs" dxfId="4761" priority="327" stopIfTrue="1" operator="lessThan">
      <formula>-0.03</formula>
    </cfRule>
  </conditionalFormatting>
  <conditionalFormatting sqref="AP74">
    <cfRule type="cellIs" dxfId="4760" priority="324" operator="greaterThan">
      <formula>0.03</formula>
    </cfRule>
    <cfRule type="cellIs" dxfId="4759" priority="325" stopIfTrue="1" operator="lessThan">
      <formula>-0.03</formula>
    </cfRule>
  </conditionalFormatting>
  <conditionalFormatting sqref="AP79">
    <cfRule type="cellIs" dxfId="4758" priority="322" operator="greaterThan">
      <formula>0.03</formula>
    </cfRule>
    <cfRule type="cellIs" dxfId="4757" priority="323" stopIfTrue="1" operator="lessThan">
      <formula>-0.03</formula>
    </cfRule>
  </conditionalFormatting>
  <conditionalFormatting sqref="AP84">
    <cfRule type="cellIs" dxfId="4756" priority="320" operator="greaterThan">
      <formula>0.03</formula>
    </cfRule>
    <cfRule type="cellIs" dxfId="4755" priority="321" stopIfTrue="1" operator="lessThan">
      <formula>-0.03</formula>
    </cfRule>
  </conditionalFormatting>
  <conditionalFormatting sqref="AP89">
    <cfRule type="cellIs" dxfId="4754" priority="318" operator="greaterThan">
      <formula>0.03</formula>
    </cfRule>
    <cfRule type="cellIs" dxfId="4753" priority="319" stopIfTrue="1" operator="lessThan">
      <formula>-0.03</formula>
    </cfRule>
  </conditionalFormatting>
  <conditionalFormatting sqref="AP94">
    <cfRule type="cellIs" dxfId="4752" priority="316" operator="greaterThan">
      <formula>0.03</formula>
    </cfRule>
    <cfRule type="cellIs" dxfId="4751" priority="317" stopIfTrue="1" operator="lessThan">
      <formula>-0.03</formula>
    </cfRule>
  </conditionalFormatting>
  <conditionalFormatting sqref="AP99">
    <cfRule type="cellIs" dxfId="4750" priority="314" operator="greaterThan">
      <formula>0.03</formula>
    </cfRule>
    <cfRule type="cellIs" dxfId="4749" priority="315" stopIfTrue="1" operator="lessThan">
      <formula>-0.03</formula>
    </cfRule>
  </conditionalFormatting>
  <conditionalFormatting sqref="AP104">
    <cfRule type="cellIs" dxfId="4748" priority="312" operator="greaterThan">
      <formula>0.03</formula>
    </cfRule>
    <cfRule type="cellIs" dxfId="4747" priority="313" stopIfTrue="1" operator="lessThan">
      <formula>-0.03</formula>
    </cfRule>
  </conditionalFormatting>
  <conditionalFormatting sqref="AP109">
    <cfRule type="cellIs" dxfId="4746" priority="310" operator="greaterThan">
      <formula>0.03</formula>
    </cfRule>
    <cfRule type="cellIs" dxfId="4745" priority="311" stopIfTrue="1" operator="lessThan">
      <formula>-0.03</formula>
    </cfRule>
  </conditionalFormatting>
  <conditionalFormatting sqref="AP114">
    <cfRule type="cellIs" dxfId="4744" priority="308" operator="greaterThan">
      <formula>0.03</formula>
    </cfRule>
    <cfRule type="cellIs" dxfId="4743" priority="309" stopIfTrue="1" operator="lessThan">
      <formula>-0.03</formula>
    </cfRule>
  </conditionalFormatting>
  <conditionalFormatting sqref="AP119">
    <cfRule type="cellIs" dxfId="4742" priority="306" operator="greaterThan">
      <formula>0.03</formula>
    </cfRule>
    <cfRule type="cellIs" dxfId="4741" priority="307" stopIfTrue="1" operator="lessThan">
      <formula>-0.03</formula>
    </cfRule>
  </conditionalFormatting>
  <conditionalFormatting sqref="AP124">
    <cfRule type="cellIs" dxfId="4740" priority="304" operator="greaterThan">
      <formula>0.03</formula>
    </cfRule>
    <cfRule type="cellIs" dxfId="4739" priority="305" stopIfTrue="1" operator="lessThan">
      <formula>-0.03</formula>
    </cfRule>
  </conditionalFormatting>
  <conditionalFormatting sqref="AP129">
    <cfRule type="cellIs" dxfId="4738" priority="302" operator="greaterThan">
      <formula>0.03</formula>
    </cfRule>
    <cfRule type="cellIs" dxfId="4737" priority="303" stopIfTrue="1" operator="lessThan">
      <formula>-0.03</formula>
    </cfRule>
  </conditionalFormatting>
  <conditionalFormatting sqref="AI8:AK8">
    <cfRule type="cellIs" dxfId="4736" priority="300" operator="greaterThan">
      <formula>0.03</formula>
    </cfRule>
    <cfRule type="cellIs" dxfId="4735" priority="301" stopIfTrue="1" operator="lessThan">
      <formula>-0.03</formula>
    </cfRule>
  </conditionalFormatting>
  <conditionalFormatting sqref="AF8:AH8">
    <cfRule type="cellIs" dxfId="4734" priority="298" operator="greaterThan">
      <formula>0.03</formula>
    </cfRule>
    <cfRule type="cellIs" dxfId="4733" priority="299" stopIfTrue="1" operator="lessThan">
      <formula>-0.03</formula>
    </cfRule>
  </conditionalFormatting>
  <conditionalFormatting sqref="AI13:AK13">
    <cfRule type="cellIs" dxfId="4732" priority="296" operator="greaterThan">
      <formula>0.03</formula>
    </cfRule>
    <cfRule type="cellIs" dxfId="4731" priority="297" stopIfTrue="1" operator="lessThan">
      <formula>-0.03</formula>
    </cfRule>
  </conditionalFormatting>
  <conditionalFormatting sqref="AF13:AH13">
    <cfRule type="cellIs" dxfId="4730" priority="294" operator="greaterThan">
      <formula>0.03</formula>
    </cfRule>
    <cfRule type="cellIs" dxfId="4729" priority="295" stopIfTrue="1" operator="lessThan">
      <formula>-0.03</formula>
    </cfRule>
  </conditionalFormatting>
  <conditionalFormatting sqref="AI18:AK18">
    <cfRule type="cellIs" dxfId="4728" priority="292" operator="greaterThan">
      <formula>0.03</formula>
    </cfRule>
    <cfRule type="cellIs" dxfId="4727" priority="293" stopIfTrue="1" operator="lessThan">
      <formula>-0.03</formula>
    </cfRule>
  </conditionalFormatting>
  <conditionalFormatting sqref="AF18:AH18">
    <cfRule type="cellIs" dxfId="4726" priority="290" operator="greaterThan">
      <formula>0.03</formula>
    </cfRule>
    <cfRule type="cellIs" dxfId="4725" priority="291" stopIfTrue="1" operator="lessThan">
      <formula>-0.03</formula>
    </cfRule>
  </conditionalFormatting>
  <conditionalFormatting sqref="AI23:AK23">
    <cfRule type="cellIs" dxfId="4724" priority="288" operator="greaterThan">
      <formula>0.03</formula>
    </cfRule>
    <cfRule type="cellIs" dxfId="4723" priority="289" stopIfTrue="1" operator="lessThan">
      <formula>-0.03</formula>
    </cfRule>
  </conditionalFormatting>
  <conditionalFormatting sqref="AF23:AH23">
    <cfRule type="cellIs" dxfId="4722" priority="286" operator="greaterThan">
      <formula>0.03</formula>
    </cfRule>
    <cfRule type="cellIs" dxfId="4721" priority="287" stopIfTrue="1" operator="lessThan">
      <formula>-0.03</formula>
    </cfRule>
  </conditionalFormatting>
  <conditionalFormatting sqref="AI28:AK28">
    <cfRule type="cellIs" dxfId="4720" priority="284" operator="greaterThan">
      <formula>0.03</formula>
    </cfRule>
    <cfRule type="cellIs" dxfId="4719" priority="285" stopIfTrue="1" operator="lessThan">
      <formula>-0.03</formula>
    </cfRule>
  </conditionalFormatting>
  <conditionalFormatting sqref="AF28:AH28">
    <cfRule type="cellIs" dxfId="4718" priority="282" operator="greaterThan">
      <formula>0.03</formula>
    </cfRule>
    <cfRule type="cellIs" dxfId="4717" priority="283" stopIfTrue="1" operator="lessThan">
      <formula>-0.03</formula>
    </cfRule>
  </conditionalFormatting>
  <conditionalFormatting sqref="AI33:AK33">
    <cfRule type="cellIs" dxfId="4716" priority="280" operator="greaterThan">
      <formula>0.03</formula>
    </cfRule>
    <cfRule type="cellIs" dxfId="4715" priority="281" stopIfTrue="1" operator="lessThan">
      <formula>-0.03</formula>
    </cfRule>
  </conditionalFormatting>
  <conditionalFormatting sqref="AF33:AH33">
    <cfRule type="cellIs" dxfId="4714" priority="278" operator="greaterThan">
      <formula>0.03</formula>
    </cfRule>
    <cfRule type="cellIs" dxfId="4713" priority="279" stopIfTrue="1" operator="lessThan">
      <formula>-0.03</formula>
    </cfRule>
  </conditionalFormatting>
  <conditionalFormatting sqref="AI38:AK38">
    <cfRule type="cellIs" dxfId="4712" priority="276" operator="greaterThan">
      <formula>0.03</formula>
    </cfRule>
    <cfRule type="cellIs" dxfId="4711" priority="277" stopIfTrue="1" operator="lessThan">
      <formula>-0.03</formula>
    </cfRule>
  </conditionalFormatting>
  <conditionalFormatting sqref="AF38:AH38">
    <cfRule type="cellIs" dxfId="4710" priority="274" operator="greaterThan">
      <formula>0.03</formula>
    </cfRule>
    <cfRule type="cellIs" dxfId="4709" priority="275" stopIfTrue="1" operator="lessThan">
      <formula>-0.03</formula>
    </cfRule>
  </conditionalFormatting>
  <conditionalFormatting sqref="AI43:AK43">
    <cfRule type="cellIs" dxfId="4708" priority="272" operator="greaterThan">
      <formula>0.03</formula>
    </cfRule>
    <cfRule type="cellIs" dxfId="4707" priority="273" stopIfTrue="1" operator="lessThan">
      <formula>-0.03</formula>
    </cfRule>
  </conditionalFormatting>
  <conditionalFormatting sqref="AF43:AH43">
    <cfRule type="cellIs" dxfId="4706" priority="270" operator="greaterThan">
      <formula>0.03</formula>
    </cfRule>
    <cfRule type="cellIs" dxfId="4705" priority="271" stopIfTrue="1" operator="lessThan">
      <formula>-0.03</formula>
    </cfRule>
  </conditionalFormatting>
  <conditionalFormatting sqref="AI48:AK48">
    <cfRule type="cellIs" dxfId="4704" priority="268" operator="greaterThan">
      <formula>0.03</formula>
    </cfRule>
    <cfRule type="cellIs" dxfId="4703" priority="269" stopIfTrue="1" operator="lessThan">
      <formula>-0.03</formula>
    </cfRule>
  </conditionalFormatting>
  <conditionalFormatting sqref="AF48:AH48">
    <cfRule type="cellIs" dxfId="4702" priority="266" operator="greaterThan">
      <formula>0.03</formula>
    </cfRule>
    <cfRule type="cellIs" dxfId="4701" priority="267" stopIfTrue="1" operator="lessThan">
      <formula>-0.03</formula>
    </cfRule>
  </conditionalFormatting>
  <conditionalFormatting sqref="AI53:AK53">
    <cfRule type="cellIs" dxfId="4700" priority="264" operator="greaterThan">
      <formula>0.03</formula>
    </cfRule>
    <cfRule type="cellIs" dxfId="4699" priority="265" stopIfTrue="1" operator="lessThan">
      <formula>-0.03</formula>
    </cfRule>
  </conditionalFormatting>
  <conditionalFormatting sqref="AF53:AH53">
    <cfRule type="cellIs" dxfId="4698" priority="262" operator="greaterThan">
      <formula>0.03</formula>
    </cfRule>
    <cfRule type="cellIs" dxfId="4697" priority="263" stopIfTrue="1" operator="lessThan">
      <formula>-0.03</formula>
    </cfRule>
  </conditionalFormatting>
  <conditionalFormatting sqref="AI58:AK58">
    <cfRule type="cellIs" dxfId="4696" priority="260" operator="greaterThan">
      <formula>0.03</formula>
    </cfRule>
    <cfRule type="cellIs" dxfId="4695" priority="261" stopIfTrue="1" operator="lessThan">
      <formula>-0.03</formula>
    </cfRule>
  </conditionalFormatting>
  <conditionalFormatting sqref="AF58:AH58">
    <cfRule type="cellIs" dxfId="4694" priority="258" operator="greaterThan">
      <formula>0.03</formula>
    </cfRule>
    <cfRule type="cellIs" dxfId="4693" priority="259" stopIfTrue="1" operator="lessThan">
      <formula>-0.03</formula>
    </cfRule>
  </conditionalFormatting>
  <conditionalFormatting sqref="AI63:AK63">
    <cfRule type="cellIs" dxfId="4692" priority="256" operator="greaterThan">
      <formula>0.03</formula>
    </cfRule>
    <cfRule type="cellIs" dxfId="4691" priority="257" stopIfTrue="1" operator="lessThan">
      <formula>-0.03</formula>
    </cfRule>
  </conditionalFormatting>
  <conditionalFormatting sqref="AF63:AH63">
    <cfRule type="cellIs" dxfId="4690" priority="254" operator="greaterThan">
      <formula>0.03</formula>
    </cfRule>
    <cfRule type="cellIs" dxfId="4689" priority="255" stopIfTrue="1" operator="lessThan">
      <formula>-0.03</formula>
    </cfRule>
  </conditionalFormatting>
  <conditionalFormatting sqref="AI68:AK68">
    <cfRule type="cellIs" dxfId="4688" priority="252" operator="greaterThan">
      <formula>0.03</formula>
    </cfRule>
    <cfRule type="cellIs" dxfId="4687" priority="253" stopIfTrue="1" operator="lessThan">
      <formula>-0.03</formula>
    </cfRule>
  </conditionalFormatting>
  <conditionalFormatting sqref="AF68:AH68">
    <cfRule type="cellIs" dxfId="4686" priority="250" operator="greaterThan">
      <formula>0.03</formula>
    </cfRule>
    <cfRule type="cellIs" dxfId="4685" priority="251" stopIfTrue="1" operator="lessThan">
      <formula>-0.03</formula>
    </cfRule>
  </conditionalFormatting>
  <conditionalFormatting sqref="AI73:AK73">
    <cfRule type="cellIs" dxfId="4684" priority="248" operator="greaterThan">
      <formula>0.03</formula>
    </cfRule>
    <cfRule type="cellIs" dxfId="4683" priority="249" stopIfTrue="1" operator="lessThan">
      <formula>-0.03</formula>
    </cfRule>
  </conditionalFormatting>
  <conditionalFormatting sqref="AF73:AH73">
    <cfRule type="cellIs" dxfId="4682" priority="246" operator="greaterThan">
      <formula>0.03</formula>
    </cfRule>
    <cfRule type="cellIs" dxfId="4681" priority="247" stopIfTrue="1" operator="lessThan">
      <formula>-0.03</formula>
    </cfRule>
  </conditionalFormatting>
  <conditionalFormatting sqref="AI78:AK78">
    <cfRule type="cellIs" dxfId="4680" priority="244" operator="greaterThan">
      <formula>0.03</formula>
    </cfRule>
    <cfRule type="cellIs" dxfId="4679" priority="245" stopIfTrue="1" operator="lessThan">
      <formula>-0.03</formula>
    </cfRule>
  </conditionalFormatting>
  <conditionalFormatting sqref="AF78:AH78">
    <cfRule type="cellIs" dxfId="4678" priority="242" operator="greaterThan">
      <formula>0.03</formula>
    </cfRule>
    <cfRule type="cellIs" dxfId="4677" priority="243" stopIfTrue="1" operator="lessThan">
      <formula>-0.03</formula>
    </cfRule>
  </conditionalFormatting>
  <conditionalFormatting sqref="AI83:AK83">
    <cfRule type="cellIs" dxfId="4676" priority="240" operator="greaterThan">
      <formula>0.03</formula>
    </cfRule>
    <cfRule type="cellIs" dxfId="4675" priority="241" stopIfTrue="1" operator="lessThan">
      <formula>-0.03</formula>
    </cfRule>
  </conditionalFormatting>
  <conditionalFormatting sqref="AF83:AH83">
    <cfRule type="cellIs" dxfId="4674" priority="238" operator="greaterThan">
      <formula>0.03</formula>
    </cfRule>
    <cfRule type="cellIs" dxfId="4673" priority="239" stopIfTrue="1" operator="lessThan">
      <formula>-0.03</formula>
    </cfRule>
  </conditionalFormatting>
  <conditionalFormatting sqref="AI88:AK88">
    <cfRule type="cellIs" dxfId="4672" priority="236" operator="greaterThan">
      <formula>0.03</formula>
    </cfRule>
    <cfRule type="cellIs" dxfId="4671" priority="237" stopIfTrue="1" operator="lessThan">
      <formula>-0.03</formula>
    </cfRule>
  </conditionalFormatting>
  <conditionalFormatting sqref="AF88:AH88">
    <cfRule type="cellIs" dxfId="4670" priority="234" operator="greaterThan">
      <formula>0.03</formula>
    </cfRule>
    <cfRule type="cellIs" dxfId="4669" priority="235" stopIfTrue="1" operator="lessThan">
      <formula>-0.03</formula>
    </cfRule>
  </conditionalFormatting>
  <conditionalFormatting sqref="AI93:AK93">
    <cfRule type="cellIs" dxfId="4668" priority="232" operator="greaterThan">
      <formula>0.03</formula>
    </cfRule>
    <cfRule type="cellIs" dxfId="4667" priority="233" stopIfTrue="1" operator="lessThan">
      <formula>-0.03</formula>
    </cfRule>
  </conditionalFormatting>
  <conditionalFormatting sqref="AF93:AH93">
    <cfRule type="cellIs" dxfId="4666" priority="230" operator="greaterThan">
      <formula>0.03</formula>
    </cfRule>
    <cfRule type="cellIs" dxfId="4665" priority="231" stopIfTrue="1" operator="lessThan">
      <formula>-0.03</formula>
    </cfRule>
  </conditionalFormatting>
  <conditionalFormatting sqref="AI98:AK98">
    <cfRule type="cellIs" dxfId="4664" priority="228" operator="greaterThan">
      <formula>0.03</formula>
    </cfRule>
    <cfRule type="cellIs" dxfId="4663" priority="229" stopIfTrue="1" operator="lessThan">
      <formula>-0.03</formula>
    </cfRule>
  </conditionalFormatting>
  <conditionalFormatting sqref="AF98:AH98">
    <cfRule type="cellIs" dxfId="4662" priority="226" operator="greaterThan">
      <formula>0.03</formula>
    </cfRule>
    <cfRule type="cellIs" dxfId="4661" priority="227" stopIfTrue="1" operator="lessThan">
      <formula>-0.03</formula>
    </cfRule>
  </conditionalFormatting>
  <conditionalFormatting sqref="AI103:AK103">
    <cfRule type="cellIs" dxfId="4660" priority="224" operator="greaterThan">
      <formula>0.03</formula>
    </cfRule>
    <cfRule type="cellIs" dxfId="4659" priority="225" stopIfTrue="1" operator="lessThan">
      <formula>-0.03</formula>
    </cfRule>
  </conditionalFormatting>
  <conditionalFormatting sqref="AF103:AH103">
    <cfRule type="cellIs" dxfId="4658" priority="222" operator="greaterThan">
      <formula>0.03</formula>
    </cfRule>
    <cfRule type="cellIs" dxfId="4657" priority="223" stopIfTrue="1" operator="lessThan">
      <formula>-0.03</formula>
    </cfRule>
  </conditionalFormatting>
  <conditionalFormatting sqref="AI108:AK108">
    <cfRule type="cellIs" dxfId="4656" priority="220" operator="greaterThan">
      <formula>0.03</formula>
    </cfRule>
    <cfRule type="cellIs" dxfId="4655" priority="221" stopIfTrue="1" operator="lessThan">
      <formula>-0.03</formula>
    </cfRule>
  </conditionalFormatting>
  <conditionalFormatting sqref="AF108:AH108">
    <cfRule type="cellIs" dxfId="4654" priority="218" operator="greaterThan">
      <formula>0.03</formula>
    </cfRule>
    <cfRule type="cellIs" dxfId="4653" priority="219" stopIfTrue="1" operator="lessThan">
      <formula>-0.03</formula>
    </cfRule>
  </conditionalFormatting>
  <conditionalFormatting sqref="AI113:AK113">
    <cfRule type="cellIs" dxfId="4652" priority="216" operator="greaterThan">
      <formula>0.03</formula>
    </cfRule>
    <cfRule type="cellIs" dxfId="4651" priority="217" stopIfTrue="1" operator="lessThan">
      <formula>-0.03</formula>
    </cfRule>
  </conditionalFormatting>
  <conditionalFormatting sqref="AF113:AH113">
    <cfRule type="cellIs" dxfId="4650" priority="214" operator="greaterThan">
      <formula>0.03</formula>
    </cfRule>
    <cfRule type="cellIs" dxfId="4649" priority="215" stopIfTrue="1" operator="lessThan">
      <formula>-0.03</formula>
    </cfRule>
  </conditionalFormatting>
  <conditionalFormatting sqref="AI118:AK118">
    <cfRule type="cellIs" dxfId="4648" priority="212" operator="greaterThan">
      <formula>0.03</formula>
    </cfRule>
    <cfRule type="cellIs" dxfId="4647" priority="213" stopIfTrue="1" operator="lessThan">
      <formula>-0.03</formula>
    </cfRule>
  </conditionalFormatting>
  <conditionalFormatting sqref="AF118:AH118">
    <cfRule type="cellIs" dxfId="4646" priority="210" operator="greaterThan">
      <formula>0.03</formula>
    </cfRule>
    <cfRule type="cellIs" dxfId="4645" priority="211" stopIfTrue="1" operator="lessThan">
      <formula>-0.03</formula>
    </cfRule>
  </conditionalFormatting>
  <conditionalFormatting sqref="AI123:AK123">
    <cfRule type="cellIs" dxfId="4644" priority="208" operator="greaterThan">
      <formula>0.03</formula>
    </cfRule>
    <cfRule type="cellIs" dxfId="4643" priority="209" stopIfTrue="1" operator="lessThan">
      <formula>-0.03</formula>
    </cfRule>
  </conditionalFormatting>
  <conditionalFormatting sqref="AF123:AH123">
    <cfRule type="cellIs" dxfId="4642" priority="206" operator="greaterThan">
      <formula>0.03</formula>
    </cfRule>
    <cfRule type="cellIs" dxfId="4641" priority="207" stopIfTrue="1" operator="lessThan">
      <formula>-0.03</formula>
    </cfRule>
  </conditionalFormatting>
  <conditionalFormatting sqref="AI128:AK128">
    <cfRule type="cellIs" dxfId="4640" priority="204" operator="greaterThan">
      <formula>0.03</formula>
    </cfRule>
    <cfRule type="cellIs" dxfId="4639" priority="205" stopIfTrue="1" operator="lessThan">
      <formula>-0.03</formula>
    </cfRule>
  </conditionalFormatting>
  <conditionalFormatting sqref="AF128:AH128">
    <cfRule type="cellIs" dxfId="4638" priority="202" operator="greaterThan">
      <formula>0.03</formula>
    </cfRule>
    <cfRule type="cellIs" dxfId="4637" priority="203" stopIfTrue="1" operator="lessThan">
      <formula>-0.03</formula>
    </cfRule>
  </conditionalFormatting>
  <conditionalFormatting sqref="AO9:AQ9">
    <cfRule type="cellIs" dxfId="4636" priority="198" operator="greaterThan">
      <formula>0.03</formula>
    </cfRule>
    <cfRule type="cellIs" dxfId="4635" priority="199" stopIfTrue="1" operator="lessThan">
      <formula>-0.03</formula>
    </cfRule>
  </conditionalFormatting>
  <conditionalFormatting sqref="AL9:AN9">
    <cfRule type="cellIs" dxfId="4634" priority="200" operator="greaterThan">
      <formula>0.03</formula>
    </cfRule>
    <cfRule type="cellIs" dxfId="4633" priority="201" stopIfTrue="1" operator="lessThan">
      <formula>-0.03</formula>
    </cfRule>
  </conditionalFormatting>
  <conditionalFormatting sqref="AO14:AQ14">
    <cfRule type="cellIs" dxfId="4632" priority="194" operator="greaterThan">
      <formula>0.03</formula>
    </cfRule>
    <cfRule type="cellIs" dxfId="4631" priority="195" stopIfTrue="1" operator="lessThan">
      <formula>-0.03</formula>
    </cfRule>
  </conditionalFormatting>
  <conditionalFormatting sqref="AL14:AN14">
    <cfRule type="cellIs" dxfId="4630" priority="196" operator="greaterThan">
      <formula>0.03</formula>
    </cfRule>
    <cfRule type="cellIs" dxfId="4629" priority="197" stopIfTrue="1" operator="lessThan">
      <formula>-0.03</formula>
    </cfRule>
  </conditionalFormatting>
  <conditionalFormatting sqref="AO19:AQ19">
    <cfRule type="cellIs" dxfId="4628" priority="190" operator="greaterThan">
      <formula>0.03</formula>
    </cfRule>
    <cfRule type="cellIs" dxfId="4627" priority="191" stopIfTrue="1" operator="lessThan">
      <formula>-0.03</formula>
    </cfRule>
  </conditionalFormatting>
  <conditionalFormatting sqref="AL19:AN19">
    <cfRule type="cellIs" dxfId="4626" priority="192" operator="greaterThan">
      <formula>0.03</formula>
    </cfRule>
    <cfRule type="cellIs" dxfId="4625" priority="193" stopIfTrue="1" operator="lessThan">
      <formula>-0.03</formula>
    </cfRule>
  </conditionalFormatting>
  <conditionalFormatting sqref="AO24:AQ24">
    <cfRule type="cellIs" dxfId="4624" priority="186" operator="greaterThan">
      <formula>0.03</formula>
    </cfRule>
    <cfRule type="cellIs" dxfId="4623" priority="187" stopIfTrue="1" operator="lessThan">
      <formula>-0.03</formula>
    </cfRule>
  </conditionalFormatting>
  <conditionalFormatting sqref="AL24:AN24">
    <cfRule type="cellIs" dxfId="4622" priority="188" operator="greaterThan">
      <formula>0.03</formula>
    </cfRule>
    <cfRule type="cellIs" dxfId="4621" priority="189" stopIfTrue="1" operator="lessThan">
      <formula>-0.03</formula>
    </cfRule>
  </conditionalFormatting>
  <conditionalFormatting sqref="AO29:AQ29">
    <cfRule type="cellIs" dxfId="4620" priority="182" operator="greaterThan">
      <formula>0.03</formula>
    </cfRule>
    <cfRule type="cellIs" dxfId="4619" priority="183" stopIfTrue="1" operator="lessThan">
      <formula>-0.03</formula>
    </cfRule>
  </conditionalFormatting>
  <conditionalFormatting sqref="AL29:AN29">
    <cfRule type="cellIs" dxfId="4618" priority="184" operator="greaterThan">
      <formula>0.03</formula>
    </cfRule>
    <cfRule type="cellIs" dxfId="4617" priority="185" stopIfTrue="1" operator="lessThan">
      <formula>-0.03</formula>
    </cfRule>
  </conditionalFormatting>
  <conditionalFormatting sqref="AO34:AQ34">
    <cfRule type="cellIs" dxfId="4616" priority="178" operator="greaterThan">
      <formula>0.03</formula>
    </cfRule>
    <cfRule type="cellIs" dxfId="4615" priority="179" stopIfTrue="1" operator="lessThan">
      <formula>-0.03</formula>
    </cfRule>
  </conditionalFormatting>
  <conditionalFormatting sqref="AL34:AN34">
    <cfRule type="cellIs" dxfId="4614" priority="180" operator="greaterThan">
      <formula>0.03</formula>
    </cfRule>
    <cfRule type="cellIs" dxfId="4613" priority="181" stopIfTrue="1" operator="lessThan">
      <formula>-0.03</formula>
    </cfRule>
  </conditionalFormatting>
  <conditionalFormatting sqref="AO39:AQ39">
    <cfRule type="cellIs" dxfId="4612" priority="174" operator="greaterThan">
      <formula>0.03</formula>
    </cfRule>
    <cfRule type="cellIs" dxfId="4611" priority="175" stopIfTrue="1" operator="lessThan">
      <formula>-0.03</formula>
    </cfRule>
  </conditionalFormatting>
  <conditionalFormatting sqref="AL39:AN39">
    <cfRule type="cellIs" dxfId="4610" priority="176" operator="greaterThan">
      <formula>0.03</formula>
    </cfRule>
    <cfRule type="cellIs" dxfId="4609" priority="177" stopIfTrue="1" operator="lessThan">
      <formula>-0.03</formula>
    </cfRule>
  </conditionalFormatting>
  <conditionalFormatting sqref="AO44:AQ44">
    <cfRule type="cellIs" dxfId="4608" priority="170" operator="greaterThan">
      <formula>0.03</formula>
    </cfRule>
    <cfRule type="cellIs" dxfId="4607" priority="171" stopIfTrue="1" operator="lessThan">
      <formula>-0.03</formula>
    </cfRule>
  </conditionalFormatting>
  <conditionalFormatting sqref="AL44:AN44">
    <cfRule type="cellIs" dxfId="4606" priority="172" operator="greaterThan">
      <formula>0.03</formula>
    </cfRule>
    <cfRule type="cellIs" dxfId="4605" priority="173" stopIfTrue="1" operator="lessThan">
      <formula>-0.03</formula>
    </cfRule>
  </conditionalFormatting>
  <conditionalFormatting sqref="AO49:AQ49">
    <cfRule type="cellIs" dxfId="4604" priority="166" operator="greaterThan">
      <formula>0.03</formula>
    </cfRule>
    <cfRule type="cellIs" dxfId="4603" priority="167" stopIfTrue="1" operator="lessThan">
      <formula>-0.03</formula>
    </cfRule>
  </conditionalFormatting>
  <conditionalFormatting sqref="AL49:AN49">
    <cfRule type="cellIs" dxfId="4602" priority="168" operator="greaterThan">
      <formula>0.03</formula>
    </cfRule>
    <cfRule type="cellIs" dxfId="4601" priority="169" stopIfTrue="1" operator="lessThan">
      <formula>-0.03</formula>
    </cfRule>
  </conditionalFormatting>
  <conditionalFormatting sqref="AO54:AQ54">
    <cfRule type="cellIs" dxfId="4600" priority="162" operator="greaterThan">
      <formula>0.03</formula>
    </cfRule>
    <cfRule type="cellIs" dxfId="4599" priority="163" stopIfTrue="1" operator="lessThan">
      <formula>-0.03</formula>
    </cfRule>
  </conditionalFormatting>
  <conditionalFormatting sqref="AL54:AN54">
    <cfRule type="cellIs" dxfId="4598" priority="164" operator="greaterThan">
      <formula>0.03</formula>
    </cfRule>
    <cfRule type="cellIs" dxfId="4597" priority="165" stopIfTrue="1" operator="lessThan">
      <formula>-0.03</formula>
    </cfRule>
  </conditionalFormatting>
  <conditionalFormatting sqref="AO59:AQ59">
    <cfRule type="cellIs" dxfId="4596" priority="158" operator="greaterThan">
      <formula>0.03</formula>
    </cfRule>
    <cfRule type="cellIs" dxfId="4595" priority="159" stopIfTrue="1" operator="lessThan">
      <formula>-0.03</formula>
    </cfRule>
  </conditionalFormatting>
  <conditionalFormatting sqref="AL59:AN59">
    <cfRule type="cellIs" dxfId="4594" priority="160" operator="greaterThan">
      <formula>0.03</formula>
    </cfRule>
    <cfRule type="cellIs" dxfId="4593" priority="161" stopIfTrue="1" operator="lessThan">
      <formula>-0.03</formula>
    </cfRule>
  </conditionalFormatting>
  <conditionalFormatting sqref="AO64:AQ64">
    <cfRule type="cellIs" dxfId="4592" priority="154" operator="greaterThan">
      <formula>0.03</formula>
    </cfRule>
    <cfRule type="cellIs" dxfId="4591" priority="155" stopIfTrue="1" operator="lessThan">
      <formula>-0.03</formula>
    </cfRule>
  </conditionalFormatting>
  <conditionalFormatting sqref="AL64:AN64">
    <cfRule type="cellIs" dxfId="4590" priority="156" operator="greaterThan">
      <formula>0.03</formula>
    </cfRule>
    <cfRule type="cellIs" dxfId="4589" priority="157" stopIfTrue="1" operator="lessThan">
      <formula>-0.03</formula>
    </cfRule>
  </conditionalFormatting>
  <conditionalFormatting sqref="AO69:AQ69">
    <cfRule type="cellIs" dxfId="4588" priority="150" operator="greaterThan">
      <formula>0.03</formula>
    </cfRule>
    <cfRule type="cellIs" dxfId="4587" priority="151" stopIfTrue="1" operator="lessThan">
      <formula>-0.03</formula>
    </cfRule>
  </conditionalFormatting>
  <conditionalFormatting sqref="AL69:AN69">
    <cfRule type="cellIs" dxfId="4586" priority="152" operator="greaterThan">
      <formula>0.03</formula>
    </cfRule>
    <cfRule type="cellIs" dxfId="4585" priority="153" stopIfTrue="1" operator="lessThan">
      <formula>-0.03</formula>
    </cfRule>
  </conditionalFormatting>
  <conditionalFormatting sqref="AO74:AQ74">
    <cfRule type="cellIs" dxfId="4584" priority="146" operator="greaterThan">
      <formula>0.03</formula>
    </cfRule>
    <cfRule type="cellIs" dxfId="4583" priority="147" stopIfTrue="1" operator="lessThan">
      <formula>-0.03</formula>
    </cfRule>
  </conditionalFormatting>
  <conditionalFormatting sqref="AL74:AN74">
    <cfRule type="cellIs" dxfId="4582" priority="148" operator="greaterThan">
      <formula>0.03</formula>
    </cfRule>
    <cfRule type="cellIs" dxfId="4581" priority="149" stopIfTrue="1" operator="lessThan">
      <formula>-0.03</formula>
    </cfRule>
  </conditionalFormatting>
  <conditionalFormatting sqref="AO79:AQ79">
    <cfRule type="cellIs" dxfId="4580" priority="142" operator="greaterThan">
      <formula>0.03</formula>
    </cfRule>
    <cfRule type="cellIs" dxfId="4579" priority="143" stopIfTrue="1" operator="lessThan">
      <formula>-0.03</formula>
    </cfRule>
  </conditionalFormatting>
  <conditionalFormatting sqref="AL79:AN79">
    <cfRule type="cellIs" dxfId="4578" priority="144" operator="greaterThan">
      <formula>0.03</formula>
    </cfRule>
    <cfRule type="cellIs" dxfId="4577" priority="145" stopIfTrue="1" operator="lessThan">
      <formula>-0.03</formula>
    </cfRule>
  </conditionalFormatting>
  <conditionalFormatting sqref="AO84:AQ84">
    <cfRule type="cellIs" dxfId="4576" priority="138" operator="greaterThan">
      <formula>0.03</formula>
    </cfRule>
    <cfRule type="cellIs" dxfId="4575" priority="139" stopIfTrue="1" operator="lessThan">
      <formula>-0.03</formula>
    </cfRule>
  </conditionalFormatting>
  <conditionalFormatting sqref="AL84:AN84">
    <cfRule type="cellIs" dxfId="4574" priority="140" operator="greaterThan">
      <formula>0.03</formula>
    </cfRule>
    <cfRule type="cellIs" dxfId="4573" priority="141" stopIfTrue="1" operator="lessThan">
      <formula>-0.03</formula>
    </cfRule>
  </conditionalFormatting>
  <conditionalFormatting sqref="AO89:AQ89">
    <cfRule type="cellIs" dxfId="4572" priority="134" operator="greaterThan">
      <formula>0.03</formula>
    </cfRule>
    <cfRule type="cellIs" dxfId="4571" priority="135" stopIfTrue="1" operator="lessThan">
      <formula>-0.03</formula>
    </cfRule>
  </conditionalFormatting>
  <conditionalFormatting sqref="AL89:AN89">
    <cfRule type="cellIs" dxfId="4570" priority="136" operator="greaterThan">
      <formula>0.03</formula>
    </cfRule>
    <cfRule type="cellIs" dxfId="4569" priority="137" stopIfTrue="1" operator="lessThan">
      <formula>-0.03</formula>
    </cfRule>
  </conditionalFormatting>
  <conditionalFormatting sqref="AO94:AQ94">
    <cfRule type="cellIs" dxfId="4568" priority="130" operator="greaterThan">
      <formula>0.03</formula>
    </cfRule>
    <cfRule type="cellIs" dxfId="4567" priority="131" stopIfTrue="1" operator="lessThan">
      <formula>-0.03</formula>
    </cfRule>
  </conditionalFormatting>
  <conditionalFormatting sqref="AL94:AN94">
    <cfRule type="cellIs" dxfId="4566" priority="132" operator="greaterThan">
      <formula>0.03</formula>
    </cfRule>
    <cfRule type="cellIs" dxfId="4565" priority="133" stopIfTrue="1" operator="lessThan">
      <formula>-0.03</formula>
    </cfRule>
  </conditionalFormatting>
  <conditionalFormatting sqref="AO99:AQ99">
    <cfRule type="cellIs" dxfId="4564" priority="126" operator="greaterThan">
      <formula>0.03</formula>
    </cfRule>
    <cfRule type="cellIs" dxfId="4563" priority="127" stopIfTrue="1" operator="lessThan">
      <formula>-0.03</formula>
    </cfRule>
  </conditionalFormatting>
  <conditionalFormatting sqref="AL99:AN99">
    <cfRule type="cellIs" dxfId="4562" priority="128" operator="greaterThan">
      <formula>0.03</formula>
    </cfRule>
    <cfRule type="cellIs" dxfId="4561" priority="129" stopIfTrue="1" operator="lessThan">
      <formula>-0.03</formula>
    </cfRule>
  </conditionalFormatting>
  <conditionalFormatting sqref="AO104:AQ104">
    <cfRule type="cellIs" dxfId="4560" priority="122" operator="greaterThan">
      <formula>0.03</formula>
    </cfRule>
    <cfRule type="cellIs" dxfId="4559" priority="123" stopIfTrue="1" operator="lessThan">
      <formula>-0.03</formula>
    </cfRule>
  </conditionalFormatting>
  <conditionalFormatting sqref="AL104:AN104">
    <cfRule type="cellIs" dxfId="4558" priority="124" operator="greaterThan">
      <formula>0.03</formula>
    </cfRule>
    <cfRule type="cellIs" dxfId="4557" priority="125" stopIfTrue="1" operator="lessThan">
      <formula>-0.03</formula>
    </cfRule>
  </conditionalFormatting>
  <conditionalFormatting sqref="AO109:AQ109">
    <cfRule type="cellIs" dxfId="4556" priority="118" operator="greaterThan">
      <formula>0.03</formula>
    </cfRule>
    <cfRule type="cellIs" dxfId="4555" priority="119" stopIfTrue="1" operator="lessThan">
      <formula>-0.03</formula>
    </cfRule>
  </conditionalFormatting>
  <conditionalFormatting sqref="AL109:AN109">
    <cfRule type="cellIs" dxfId="4554" priority="120" operator="greaterThan">
      <formula>0.03</formula>
    </cfRule>
    <cfRule type="cellIs" dxfId="4553" priority="121" stopIfTrue="1" operator="lessThan">
      <formula>-0.03</formula>
    </cfRule>
  </conditionalFormatting>
  <conditionalFormatting sqref="AO114:AQ114">
    <cfRule type="cellIs" dxfId="4552" priority="114" operator="greaterThan">
      <formula>0.03</formula>
    </cfRule>
    <cfRule type="cellIs" dxfId="4551" priority="115" stopIfTrue="1" operator="lessThan">
      <formula>-0.03</formula>
    </cfRule>
  </conditionalFormatting>
  <conditionalFormatting sqref="AL114:AN114">
    <cfRule type="cellIs" dxfId="4550" priority="116" operator="greaterThan">
      <formula>0.03</formula>
    </cfRule>
    <cfRule type="cellIs" dxfId="4549" priority="117" stopIfTrue="1" operator="lessThan">
      <formula>-0.03</formula>
    </cfRule>
  </conditionalFormatting>
  <conditionalFormatting sqref="AO119:AQ119">
    <cfRule type="cellIs" dxfId="4548" priority="110" operator="greaterThan">
      <formula>0.03</formula>
    </cfRule>
    <cfRule type="cellIs" dxfId="4547" priority="111" stopIfTrue="1" operator="lessThan">
      <formula>-0.03</formula>
    </cfRule>
  </conditionalFormatting>
  <conditionalFormatting sqref="AL119:AN119">
    <cfRule type="cellIs" dxfId="4546" priority="112" operator="greaterThan">
      <formula>0.03</formula>
    </cfRule>
    <cfRule type="cellIs" dxfId="4545" priority="113" stopIfTrue="1" operator="lessThan">
      <formula>-0.03</formula>
    </cfRule>
  </conditionalFormatting>
  <conditionalFormatting sqref="AO124:AQ124">
    <cfRule type="cellIs" dxfId="4544" priority="106" operator="greaterThan">
      <formula>0.03</formula>
    </cfRule>
    <cfRule type="cellIs" dxfId="4543" priority="107" stopIfTrue="1" operator="lessThan">
      <formula>-0.03</formula>
    </cfRule>
  </conditionalFormatting>
  <conditionalFormatting sqref="AL124:AN124">
    <cfRule type="cellIs" dxfId="4542" priority="108" operator="greaterThan">
      <formula>0.03</formula>
    </cfRule>
    <cfRule type="cellIs" dxfId="4541" priority="109" stopIfTrue="1" operator="lessThan">
      <formula>-0.03</formula>
    </cfRule>
  </conditionalFormatting>
  <conditionalFormatting sqref="AO129:AQ129">
    <cfRule type="cellIs" dxfId="4540" priority="102" operator="greaterThan">
      <formula>0.03</formula>
    </cfRule>
    <cfRule type="cellIs" dxfId="4539" priority="103" stopIfTrue="1" operator="lessThan">
      <formula>-0.03</formula>
    </cfRule>
  </conditionalFormatting>
  <conditionalFormatting sqref="AL129:AN129">
    <cfRule type="cellIs" dxfId="4538" priority="104" operator="greaterThan">
      <formula>0.03</formula>
    </cfRule>
    <cfRule type="cellIs" dxfId="4537" priority="105" stopIfTrue="1" operator="lessThan">
      <formula>-0.03</formula>
    </cfRule>
  </conditionalFormatting>
  <conditionalFormatting sqref="AU8:AW8">
    <cfRule type="cellIs" dxfId="4536" priority="100" operator="greaterThan">
      <formula>0.03</formula>
    </cfRule>
    <cfRule type="cellIs" dxfId="4535" priority="101" stopIfTrue="1" operator="lessThan">
      <formula>-0.03</formula>
    </cfRule>
  </conditionalFormatting>
  <conditionalFormatting sqref="AR8:AT8">
    <cfRule type="cellIs" dxfId="4534" priority="98" operator="greaterThan">
      <formula>0.03</formula>
    </cfRule>
    <cfRule type="cellIs" dxfId="4533" priority="99" stopIfTrue="1" operator="lessThan">
      <formula>-0.03</formula>
    </cfRule>
  </conditionalFormatting>
  <conditionalFormatting sqref="AU13:AW13">
    <cfRule type="cellIs" dxfId="4532" priority="96" operator="greaterThan">
      <formula>0.03</formula>
    </cfRule>
    <cfRule type="cellIs" dxfId="4531" priority="97" stopIfTrue="1" operator="lessThan">
      <formula>-0.03</formula>
    </cfRule>
  </conditionalFormatting>
  <conditionalFormatting sqref="AR13:AT13">
    <cfRule type="cellIs" dxfId="4530" priority="94" operator="greaterThan">
      <formula>0.03</formula>
    </cfRule>
    <cfRule type="cellIs" dxfId="4529" priority="95" stopIfTrue="1" operator="lessThan">
      <formula>-0.03</formula>
    </cfRule>
  </conditionalFormatting>
  <conditionalFormatting sqref="AU18:AW18">
    <cfRule type="cellIs" dxfId="4528" priority="92" operator="greaterThan">
      <formula>0.03</formula>
    </cfRule>
    <cfRule type="cellIs" dxfId="4527" priority="93" stopIfTrue="1" operator="lessThan">
      <formula>-0.03</formula>
    </cfRule>
  </conditionalFormatting>
  <conditionalFormatting sqref="AR18:AT18">
    <cfRule type="cellIs" dxfId="4526" priority="90" operator="greaterThan">
      <formula>0.03</formula>
    </cfRule>
    <cfRule type="cellIs" dxfId="4525" priority="91" stopIfTrue="1" operator="lessThan">
      <formula>-0.03</formula>
    </cfRule>
  </conditionalFormatting>
  <conditionalFormatting sqref="AU23:AW23">
    <cfRule type="cellIs" dxfId="4524" priority="88" operator="greaterThan">
      <formula>0.03</formula>
    </cfRule>
    <cfRule type="cellIs" dxfId="4523" priority="89" stopIfTrue="1" operator="lessThan">
      <formula>-0.03</formula>
    </cfRule>
  </conditionalFormatting>
  <conditionalFormatting sqref="AR23:AT23">
    <cfRule type="cellIs" dxfId="4522" priority="86" operator="greaterThan">
      <formula>0.03</formula>
    </cfRule>
    <cfRule type="cellIs" dxfId="4521" priority="87" stopIfTrue="1" operator="lessThan">
      <formula>-0.03</formula>
    </cfRule>
  </conditionalFormatting>
  <conditionalFormatting sqref="AU28:AW28">
    <cfRule type="cellIs" dxfId="4520" priority="84" operator="greaterThan">
      <formula>0.03</formula>
    </cfRule>
    <cfRule type="cellIs" dxfId="4519" priority="85" stopIfTrue="1" operator="lessThan">
      <formula>-0.03</formula>
    </cfRule>
  </conditionalFormatting>
  <conditionalFormatting sqref="AR28:AT28">
    <cfRule type="cellIs" dxfId="4518" priority="82" operator="greaterThan">
      <formula>0.03</formula>
    </cfRule>
    <cfRule type="cellIs" dxfId="4517" priority="83" stopIfTrue="1" operator="lessThan">
      <formula>-0.03</formula>
    </cfRule>
  </conditionalFormatting>
  <conditionalFormatting sqref="AU33:AW33">
    <cfRule type="cellIs" dxfId="4516" priority="80" operator="greaterThan">
      <formula>0.03</formula>
    </cfRule>
    <cfRule type="cellIs" dxfId="4515" priority="81" stopIfTrue="1" operator="lessThan">
      <formula>-0.03</formula>
    </cfRule>
  </conditionalFormatting>
  <conditionalFormatting sqref="AR33:AT33">
    <cfRule type="cellIs" dxfId="4514" priority="78" operator="greaterThan">
      <formula>0.03</formula>
    </cfRule>
    <cfRule type="cellIs" dxfId="4513" priority="79" stopIfTrue="1" operator="lessThan">
      <formula>-0.03</formula>
    </cfRule>
  </conditionalFormatting>
  <conditionalFormatting sqref="AU38:AW38">
    <cfRule type="cellIs" dxfId="4512" priority="76" operator="greaterThan">
      <formula>0.03</formula>
    </cfRule>
    <cfRule type="cellIs" dxfId="4511" priority="77" stopIfTrue="1" operator="lessThan">
      <formula>-0.03</formula>
    </cfRule>
  </conditionalFormatting>
  <conditionalFormatting sqref="AR38:AT38">
    <cfRule type="cellIs" dxfId="4510" priority="74" operator="greaterThan">
      <formula>0.03</formula>
    </cfRule>
    <cfRule type="cellIs" dxfId="4509" priority="75" stopIfTrue="1" operator="lessThan">
      <formula>-0.03</formula>
    </cfRule>
  </conditionalFormatting>
  <conditionalFormatting sqref="AU43:AW43">
    <cfRule type="cellIs" dxfId="4508" priority="72" operator="greaterThan">
      <formula>0.03</formula>
    </cfRule>
    <cfRule type="cellIs" dxfId="4507" priority="73" stopIfTrue="1" operator="lessThan">
      <formula>-0.03</formula>
    </cfRule>
  </conditionalFormatting>
  <conditionalFormatting sqref="AR43:AT43">
    <cfRule type="cellIs" dxfId="4506" priority="70" operator="greaterThan">
      <formula>0.03</formula>
    </cfRule>
    <cfRule type="cellIs" dxfId="4505" priority="71" stopIfTrue="1" operator="lessThan">
      <formula>-0.03</formula>
    </cfRule>
  </conditionalFormatting>
  <conditionalFormatting sqref="AU48:AW48">
    <cfRule type="cellIs" dxfId="4504" priority="68" operator="greaterThan">
      <formula>0.03</formula>
    </cfRule>
    <cfRule type="cellIs" dxfId="4503" priority="69" stopIfTrue="1" operator="lessThan">
      <formula>-0.03</formula>
    </cfRule>
  </conditionalFormatting>
  <conditionalFormatting sqref="AR48:AT48">
    <cfRule type="cellIs" dxfId="4502" priority="66" operator="greaterThan">
      <formula>0.03</formula>
    </cfRule>
    <cfRule type="cellIs" dxfId="4501" priority="67" stopIfTrue="1" operator="lessThan">
      <formula>-0.03</formula>
    </cfRule>
  </conditionalFormatting>
  <conditionalFormatting sqref="AU53:AW53">
    <cfRule type="cellIs" dxfId="4500" priority="64" operator="greaterThan">
      <formula>0.03</formula>
    </cfRule>
    <cfRule type="cellIs" dxfId="4499" priority="65" stopIfTrue="1" operator="lessThan">
      <formula>-0.03</formula>
    </cfRule>
  </conditionalFormatting>
  <conditionalFormatting sqref="AR53:AT53">
    <cfRule type="cellIs" dxfId="4498" priority="62" operator="greaterThan">
      <formula>0.03</formula>
    </cfRule>
    <cfRule type="cellIs" dxfId="4497" priority="63" stopIfTrue="1" operator="lessThan">
      <formula>-0.03</formula>
    </cfRule>
  </conditionalFormatting>
  <conditionalFormatting sqref="AU58:AW58">
    <cfRule type="cellIs" dxfId="4496" priority="60" operator="greaterThan">
      <formula>0.03</formula>
    </cfRule>
    <cfRule type="cellIs" dxfId="4495" priority="61" stopIfTrue="1" operator="lessThan">
      <formula>-0.03</formula>
    </cfRule>
  </conditionalFormatting>
  <conditionalFormatting sqref="AR58:AT58">
    <cfRule type="cellIs" dxfId="4494" priority="58" operator="greaterThan">
      <formula>0.03</formula>
    </cfRule>
    <cfRule type="cellIs" dxfId="4493" priority="59" stopIfTrue="1" operator="lessThan">
      <formula>-0.03</formula>
    </cfRule>
  </conditionalFormatting>
  <conditionalFormatting sqref="AU63:AW63">
    <cfRule type="cellIs" dxfId="4492" priority="56" operator="greaterThan">
      <formula>0.03</formula>
    </cfRule>
    <cfRule type="cellIs" dxfId="4491" priority="57" stopIfTrue="1" operator="lessThan">
      <formula>-0.03</formula>
    </cfRule>
  </conditionalFormatting>
  <conditionalFormatting sqref="AR63:AT63">
    <cfRule type="cellIs" dxfId="4490" priority="54" operator="greaterThan">
      <formula>0.03</formula>
    </cfRule>
    <cfRule type="cellIs" dxfId="4489" priority="55" stopIfTrue="1" operator="lessThan">
      <formula>-0.03</formula>
    </cfRule>
  </conditionalFormatting>
  <conditionalFormatting sqref="AU68:AW68">
    <cfRule type="cellIs" dxfId="4488" priority="52" operator="greaterThan">
      <formula>0.03</formula>
    </cfRule>
    <cfRule type="cellIs" dxfId="4487" priority="53" stopIfTrue="1" operator="lessThan">
      <formula>-0.03</formula>
    </cfRule>
  </conditionalFormatting>
  <conditionalFormatting sqref="AR68:AT68">
    <cfRule type="cellIs" dxfId="4486" priority="50" operator="greaterThan">
      <formula>0.03</formula>
    </cfRule>
    <cfRule type="cellIs" dxfId="4485" priority="51" stopIfTrue="1" operator="lessThan">
      <formula>-0.03</formula>
    </cfRule>
  </conditionalFormatting>
  <conditionalFormatting sqref="AU78:AW78">
    <cfRule type="cellIs" dxfId="4484" priority="48" operator="greaterThan">
      <formula>0.03</formula>
    </cfRule>
    <cfRule type="cellIs" dxfId="4483" priority="49" stopIfTrue="1" operator="lessThan">
      <formula>-0.03</formula>
    </cfRule>
  </conditionalFormatting>
  <conditionalFormatting sqref="AR78:AT78">
    <cfRule type="cellIs" dxfId="4482" priority="46" operator="greaterThan">
      <formula>0.03</formula>
    </cfRule>
    <cfRule type="cellIs" dxfId="4481" priority="47" stopIfTrue="1" operator="lessThan">
      <formula>-0.03</formula>
    </cfRule>
  </conditionalFormatting>
  <conditionalFormatting sqref="AU83:AW83">
    <cfRule type="cellIs" dxfId="4480" priority="44" operator="greaterThan">
      <formula>0.03</formula>
    </cfRule>
    <cfRule type="cellIs" dxfId="4479" priority="45" stopIfTrue="1" operator="lessThan">
      <formula>-0.03</formula>
    </cfRule>
  </conditionalFormatting>
  <conditionalFormatting sqref="AR83:AT83">
    <cfRule type="cellIs" dxfId="4478" priority="42" operator="greaterThan">
      <formula>0.03</formula>
    </cfRule>
    <cfRule type="cellIs" dxfId="4477" priority="43" stopIfTrue="1" operator="lessThan">
      <formula>-0.03</formula>
    </cfRule>
  </conditionalFormatting>
  <conditionalFormatting sqref="AU88:AW88">
    <cfRule type="cellIs" dxfId="4476" priority="40" operator="greaterThan">
      <formula>0.03</formula>
    </cfRule>
    <cfRule type="cellIs" dxfId="4475" priority="41" stopIfTrue="1" operator="lessThan">
      <formula>-0.03</formula>
    </cfRule>
  </conditionalFormatting>
  <conditionalFormatting sqref="AR88:AT88">
    <cfRule type="cellIs" dxfId="4474" priority="38" operator="greaterThan">
      <formula>0.03</formula>
    </cfRule>
    <cfRule type="cellIs" dxfId="4473" priority="39" stopIfTrue="1" operator="lessThan">
      <formula>-0.03</formula>
    </cfRule>
  </conditionalFormatting>
  <conditionalFormatting sqref="AU93:AW93">
    <cfRule type="cellIs" dxfId="4472" priority="36" operator="greaterThan">
      <formula>0.03</formula>
    </cfRule>
    <cfRule type="cellIs" dxfId="4471" priority="37" stopIfTrue="1" operator="lessThan">
      <formula>-0.03</formula>
    </cfRule>
  </conditionalFormatting>
  <conditionalFormatting sqref="AR93:AT93">
    <cfRule type="cellIs" dxfId="4470" priority="34" operator="greaterThan">
      <formula>0.03</formula>
    </cfRule>
    <cfRule type="cellIs" dxfId="4469" priority="35" stopIfTrue="1" operator="lessThan">
      <formula>-0.03</formula>
    </cfRule>
  </conditionalFormatting>
  <conditionalFormatting sqref="AU98:AW98">
    <cfRule type="cellIs" dxfId="4468" priority="32" operator="greaterThan">
      <formula>0.03</formula>
    </cfRule>
    <cfRule type="cellIs" dxfId="4467" priority="33" stopIfTrue="1" operator="lessThan">
      <formula>-0.03</formula>
    </cfRule>
  </conditionalFormatting>
  <conditionalFormatting sqref="AR98:AT98">
    <cfRule type="cellIs" dxfId="4466" priority="30" operator="greaterThan">
      <formula>0.03</formula>
    </cfRule>
    <cfRule type="cellIs" dxfId="4465" priority="31" stopIfTrue="1" operator="lessThan">
      <formula>-0.03</formula>
    </cfRule>
  </conditionalFormatting>
  <conditionalFormatting sqref="AU103:AW103">
    <cfRule type="cellIs" dxfId="4464" priority="28" operator="greaterThan">
      <formula>0.03</formula>
    </cfRule>
    <cfRule type="cellIs" dxfId="4463" priority="29" stopIfTrue="1" operator="lessThan">
      <formula>-0.03</formula>
    </cfRule>
  </conditionalFormatting>
  <conditionalFormatting sqref="AR103:AT103">
    <cfRule type="cellIs" dxfId="4462" priority="26" operator="greaterThan">
      <formula>0.03</formula>
    </cfRule>
    <cfRule type="cellIs" dxfId="4461" priority="27" stopIfTrue="1" operator="lessThan">
      <formula>-0.03</formula>
    </cfRule>
  </conditionalFormatting>
  <conditionalFormatting sqref="AU108:AW108">
    <cfRule type="cellIs" dxfId="4460" priority="24" operator="greaterThan">
      <formula>0.03</formula>
    </cfRule>
    <cfRule type="cellIs" dxfId="4459" priority="25" stopIfTrue="1" operator="lessThan">
      <formula>-0.03</formula>
    </cfRule>
  </conditionalFormatting>
  <conditionalFormatting sqref="AR108:AT108">
    <cfRule type="cellIs" dxfId="4458" priority="22" operator="greaterThan">
      <formula>0.03</formula>
    </cfRule>
    <cfRule type="cellIs" dxfId="4457" priority="23" stopIfTrue="1" operator="lessThan">
      <formula>-0.03</formula>
    </cfRule>
  </conditionalFormatting>
  <conditionalFormatting sqref="AU113:AW113">
    <cfRule type="cellIs" dxfId="4456" priority="20" operator="greaterThan">
      <formula>0.03</formula>
    </cfRule>
    <cfRule type="cellIs" dxfId="4455" priority="21" stopIfTrue="1" operator="lessThan">
      <formula>-0.03</formula>
    </cfRule>
  </conditionalFormatting>
  <conditionalFormatting sqref="AR113:AT113">
    <cfRule type="cellIs" dxfId="4454" priority="18" operator="greaterThan">
      <formula>0.03</formula>
    </cfRule>
    <cfRule type="cellIs" dxfId="4453" priority="19" stopIfTrue="1" operator="lessThan">
      <formula>-0.03</formula>
    </cfRule>
  </conditionalFormatting>
  <conditionalFormatting sqref="AU118:AW118">
    <cfRule type="cellIs" dxfId="4452" priority="16" operator="greaterThan">
      <formula>0.03</formula>
    </cfRule>
    <cfRule type="cellIs" dxfId="4451" priority="17" stopIfTrue="1" operator="lessThan">
      <formula>-0.03</formula>
    </cfRule>
  </conditionalFormatting>
  <conditionalFormatting sqref="AR118:AT118">
    <cfRule type="cellIs" dxfId="4450" priority="14" operator="greaterThan">
      <formula>0.03</formula>
    </cfRule>
    <cfRule type="cellIs" dxfId="4449" priority="15" stopIfTrue="1" operator="lessThan">
      <formula>-0.03</formula>
    </cfRule>
  </conditionalFormatting>
  <conditionalFormatting sqref="AU123:AW123">
    <cfRule type="cellIs" dxfId="4448" priority="12" operator="greaterThan">
      <formula>0.03</formula>
    </cfRule>
    <cfRule type="cellIs" dxfId="4447" priority="13" stopIfTrue="1" operator="lessThan">
      <formula>-0.03</formula>
    </cfRule>
  </conditionalFormatting>
  <conditionalFormatting sqref="AR123:AT123">
    <cfRule type="cellIs" dxfId="4446" priority="10" operator="greaterThan">
      <formula>0.03</formula>
    </cfRule>
    <cfRule type="cellIs" dxfId="4445" priority="11" stopIfTrue="1" operator="lessThan">
      <formula>-0.03</formula>
    </cfRule>
  </conditionalFormatting>
  <conditionalFormatting sqref="AU128:AW128">
    <cfRule type="cellIs" dxfId="4444" priority="8" operator="greaterThan">
      <formula>0.03</formula>
    </cfRule>
    <cfRule type="cellIs" dxfId="4443" priority="9" stopIfTrue="1" operator="lessThan">
      <formula>-0.03</formula>
    </cfRule>
  </conditionalFormatting>
  <conditionalFormatting sqref="AR128:AT128">
    <cfRule type="cellIs" dxfId="4442" priority="6" operator="greaterThan">
      <formula>0.03</formula>
    </cfRule>
    <cfRule type="cellIs" dxfId="4441" priority="7" stopIfTrue="1" operator="lessThan">
      <formula>-0.03</formula>
    </cfRule>
  </conditionalFormatting>
  <conditionalFormatting sqref="V3:V7">
    <cfRule type="cellIs" dxfId="4440" priority="5" operator="equal">
      <formula>FALSE</formula>
    </cfRule>
  </conditionalFormatting>
  <conditionalFormatting sqref="V98:V112">
    <cfRule type="cellIs" dxfId="4439" priority="4" operator="equal">
      <formula>FALSE</formula>
    </cfRule>
  </conditionalFormatting>
  <conditionalFormatting sqref="J3:J22">
    <cfRule type="cellIs" dxfId="4438" priority="3" operator="equal">
      <formula>FALSE</formula>
    </cfRule>
  </conditionalFormatting>
  <conditionalFormatting sqref="J73:J77">
    <cfRule type="cellIs" dxfId="4437" priority="2" operator="equal">
      <formula>FALSE</formula>
    </cfRule>
  </conditionalFormatting>
  <conditionalFormatting sqref="J93:J112">
    <cfRule type="cellIs" dxfId="4436" priority="1" operator="equal">
      <formula>FALSE</formula>
    </cfRule>
  </conditionalFormatting>
  <pageMargins left="0.7" right="0.7" top="0.75" bottom="0.75" header="0.3" footer="0.3"/>
  <pageSetup paperSize="9" orientation="portrait" horizontalDpi="4294967292" verticalDpi="4294967292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BEC21-B009-40A5-9B5B-2C52AD26AD0E}">
  <sheetPr>
    <tabColor rgb="FF92D050"/>
  </sheetPr>
  <dimension ref="A1:BD206"/>
  <sheetViews>
    <sheetView tabSelected="1" topLeftCell="S162" zoomScale="85" zoomScaleNormal="85" workbookViewId="0">
      <selection activeCell="AL184" sqref="AL184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49" width="8.75" style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16384" width="10.75" style="1"/>
  </cols>
  <sheetData>
    <row r="1" spans="1:56" ht="12.75" thickBot="1" x14ac:dyDescent="0.25">
      <c r="D1" s="68" t="s">
        <v>12</v>
      </c>
      <c r="E1" s="69"/>
      <c r="F1" s="69"/>
      <c r="G1" s="69"/>
      <c r="H1" s="69"/>
      <c r="I1" s="69"/>
      <c r="J1" s="69"/>
      <c r="K1" s="69"/>
      <c r="L1" s="69"/>
      <c r="M1" s="69"/>
      <c r="N1" s="70"/>
      <c r="P1" s="68" t="s">
        <v>13</v>
      </c>
      <c r="Q1" s="69"/>
      <c r="R1" s="69"/>
      <c r="S1" s="69"/>
      <c r="T1" s="69"/>
      <c r="U1" s="69"/>
      <c r="V1" s="69"/>
      <c r="W1" s="69"/>
      <c r="X1" s="69"/>
      <c r="Y1" s="69"/>
      <c r="Z1" s="70"/>
      <c r="AA1" s="24"/>
      <c r="AB1" s="24" t="s">
        <v>74</v>
      </c>
      <c r="AC1" s="24" t="s">
        <v>75</v>
      </c>
      <c r="AD1" s="24"/>
      <c r="AE1" s="2"/>
      <c r="AF1" s="68" t="s">
        <v>62</v>
      </c>
      <c r="AG1" s="69"/>
      <c r="AH1" s="70"/>
      <c r="AI1" s="68" t="s">
        <v>61</v>
      </c>
      <c r="AJ1" s="69"/>
      <c r="AK1" s="70"/>
      <c r="AL1" s="68" t="s">
        <v>59</v>
      </c>
      <c r="AM1" s="69"/>
      <c r="AN1" s="70"/>
      <c r="AO1" s="68" t="s">
        <v>60</v>
      </c>
      <c r="AP1" s="69"/>
      <c r="AQ1" s="70"/>
      <c r="AR1" s="68" t="s">
        <v>76</v>
      </c>
      <c r="AS1" s="69"/>
      <c r="AT1" s="70"/>
      <c r="AU1" s="68" t="s">
        <v>76</v>
      </c>
      <c r="AV1" s="69"/>
      <c r="AW1" s="70"/>
      <c r="AX1" s="71" t="s">
        <v>71</v>
      </c>
      <c r="AY1" s="72"/>
      <c r="AZ1" s="24"/>
      <c r="BA1" s="72" t="s">
        <v>70</v>
      </c>
      <c r="BB1" s="72"/>
    </row>
    <row r="2" spans="1:56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6" ht="15.75" thickBot="1" x14ac:dyDescent="0.25">
      <c r="A3" s="48" t="s">
        <v>40</v>
      </c>
      <c r="B3" s="8" t="s">
        <v>48</v>
      </c>
      <c r="C3" s="39">
        <v>22</v>
      </c>
      <c r="D3" s="55">
        <v>20721.509999999998</v>
      </c>
      <c r="E3" s="55">
        <v>44.239800000000002</v>
      </c>
      <c r="F3" s="55">
        <v>46.102600000000002</v>
      </c>
      <c r="G3" s="55">
        <v>44.088500000000003</v>
      </c>
      <c r="H3" s="55">
        <v>0.99632900000000002</v>
      </c>
      <c r="I3" s="55">
        <v>0.99844650000000001</v>
      </c>
      <c r="J3" s="55">
        <v>0.9950928</v>
      </c>
      <c r="K3" s="55">
        <v>3059.55</v>
      </c>
      <c r="L3" s="55">
        <v>1.242</v>
      </c>
      <c r="M3" s="10">
        <v>0</v>
      </c>
      <c r="N3" s="11">
        <f t="shared" ref="N3:N66" si="0">K3/3600</f>
        <v>0.84987500000000005</v>
      </c>
      <c r="P3" s="60">
        <v>20714.25</v>
      </c>
      <c r="Q3" s="60">
        <v>44.2346</v>
      </c>
      <c r="R3" s="60">
        <v>46.103299999999997</v>
      </c>
      <c r="S3" s="60">
        <v>44.108699999999999</v>
      </c>
      <c r="T3" s="60">
        <v>0.99632399999999999</v>
      </c>
      <c r="U3" s="60">
        <v>0.99845099999999998</v>
      </c>
      <c r="V3" s="60">
        <v>0.99511360000000004</v>
      </c>
      <c r="W3" s="60">
        <v>2903.9609999999998</v>
      </c>
      <c r="X3" s="60">
        <v>1.1879999999999999</v>
      </c>
      <c r="Y3" s="10">
        <v>0</v>
      </c>
      <c r="Z3" s="11">
        <f>W3/3600</f>
        <v>0.80665583333333324</v>
      </c>
      <c r="AA3" s="10">
        <f>W3/K3</f>
        <v>0.94914644310437801</v>
      </c>
      <c r="AB3" s="10">
        <f>X3/L3</f>
        <v>0.9565217391304347</v>
      </c>
      <c r="AC3" s="10" t="e">
        <f t="shared" ref="AB3:AC18" si="1">Y3/M3</f>
        <v>#DIV/0!</v>
      </c>
      <c r="AD3" s="11">
        <f>ABS(P3-D3)/D3</f>
        <v>3.5036056735239854E-4</v>
      </c>
      <c r="AE3" s="40"/>
      <c r="AF3" s="25">
        <f t="shared" ref="AF3:AK3" si="2">bdRateExtend($D3:$D7,E3:E7,$P3:$P7,Q3:Q7)</f>
        <v>7.8195676367975864E-4</v>
      </c>
      <c r="AG3" s="30">
        <f t="shared" si="2"/>
        <v>-6.8171996712185212E-4</v>
      </c>
      <c r="AH3" s="31">
        <f t="shared" si="2"/>
        <v>-1.1657896113411725E-3</v>
      </c>
      <c r="AI3" s="25">
        <f t="shared" si="2"/>
        <v>1.2556825823972773E-4</v>
      </c>
      <c r="AJ3" s="30">
        <f t="shared" si="2"/>
        <v>2.9642819540429688E-3</v>
      </c>
      <c r="AK3" s="30">
        <f t="shared" si="2"/>
        <v>4.8271459270428085E-3</v>
      </c>
      <c r="AL3" s="39"/>
      <c r="AM3" s="35"/>
      <c r="AN3" s="34"/>
      <c r="AO3" s="35"/>
      <c r="AP3" s="35"/>
      <c r="AQ3" s="34"/>
      <c r="AR3" s="30">
        <f t="shared" ref="AR3:AW3" si="3">bdrate($D3:$D6,E3:E6,$P3:$P6,Q3:Q6)</f>
        <v>5.4673014008654874E-4</v>
      </c>
      <c r="AS3" s="30">
        <f t="shared" si="3"/>
        <v>-1.6367419976321962E-3</v>
      </c>
      <c r="AT3" s="31">
        <f t="shared" si="3"/>
        <v>-3.4506623645813583E-3</v>
      </c>
      <c r="AU3" s="25">
        <f t="shared" si="3"/>
        <v>6.2096827224200624E-4</v>
      </c>
      <c r="AV3" s="30">
        <f t="shared" si="3"/>
        <v>1.3431924837589593E-2</v>
      </c>
      <c r="AW3" s="31">
        <f t="shared" si="3"/>
        <v>8.170428446612199E-3</v>
      </c>
      <c r="AX3" s="10"/>
      <c r="AY3" s="10"/>
      <c r="AZ3" s="10"/>
      <c r="BA3" s="10">
        <f>V3/J3</f>
        <v>1.0000209025731068</v>
      </c>
      <c r="BB3" s="10">
        <f t="shared" ref="BB3:BB6" si="4">X3/L3</f>
        <v>0.9565217391304347</v>
      </c>
      <c r="BC3" s="10">
        <f>Z3/N3</f>
        <v>0.9491464431043779</v>
      </c>
      <c r="BD3" s="1">
        <f>IF((((AF3&lt;0)*AND(AL4&lt;0)*AND(AR3&lt;0))),1,0)</f>
        <v>0</v>
      </c>
    </row>
    <row r="4" spans="1:56" ht="15.75" thickBot="1" x14ac:dyDescent="0.25">
      <c r="A4" s="13" t="s">
        <v>19</v>
      </c>
      <c r="C4" s="43">
        <v>27</v>
      </c>
      <c r="D4" s="55">
        <v>8912.9699999999993</v>
      </c>
      <c r="E4" s="55">
        <v>40.548000000000002</v>
      </c>
      <c r="F4" s="55">
        <v>41.638399999999997</v>
      </c>
      <c r="G4" s="55">
        <v>41.7958</v>
      </c>
      <c r="H4" s="55">
        <v>0.99178750000000004</v>
      </c>
      <c r="I4" s="55">
        <v>0.99628289999999997</v>
      </c>
      <c r="J4" s="55">
        <v>0.99012350000000005</v>
      </c>
      <c r="K4" s="55">
        <v>1403.4059999999999</v>
      </c>
      <c r="L4" s="55">
        <v>0.88800000000000001</v>
      </c>
      <c r="M4" s="15">
        <v>0</v>
      </c>
      <c r="N4" s="16">
        <f t="shared" si="0"/>
        <v>0.38983499999999999</v>
      </c>
      <c r="P4" s="60">
        <v>8927.5499999999993</v>
      </c>
      <c r="Q4" s="60">
        <v>40.555100000000003</v>
      </c>
      <c r="R4" s="60">
        <v>41.651000000000003</v>
      </c>
      <c r="S4" s="60">
        <v>41.808700000000002</v>
      </c>
      <c r="T4" s="60">
        <v>0.99179200000000001</v>
      </c>
      <c r="U4" s="60">
        <v>0.99626170000000003</v>
      </c>
      <c r="V4" s="60">
        <v>0.99017010000000005</v>
      </c>
      <c r="W4" s="60">
        <v>1561.2560000000001</v>
      </c>
      <c r="X4" s="60">
        <v>0.85199999999999998</v>
      </c>
      <c r="Y4" s="15">
        <v>0</v>
      </c>
      <c r="Z4" s="16">
        <f t="shared" ref="Z4:Z67" si="5">W4/3600</f>
        <v>0.43368222222222225</v>
      </c>
      <c r="AA4" s="10">
        <f t="shared" ref="AA4:AA67" si="6">W4/K4</f>
        <v>1.1124763610815402</v>
      </c>
      <c r="AB4" s="15">
        <f t="shared" si="1"/>
        <v>0.95945945945945943</v>
      </c>
      <c r="AC4" s="15" t="e">
        <f t="shared" si="1"/>
        <v>#DIV/0!</v>
      </c>
      <c r="AD4" s="16">
        <f t="shared" ref="AD4:AD67" si="7">ABS(P4-D4)/D4</f>
        <v>1.6358183635757698E-3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1.599681547165277E-3</v>
      </c>
      <c r="AM4" s="21">
        <f>bdrate($D4:$D7,F4:F7,$P4:$P7,R4:R7)</f>
        <v>-1.0455758159108042E-3</v>
      </c>
      <c r="AN4" s="36">
        <f t="shared" ref="AN4" si="8">bdrate($D4:$D7,G4:G7,$P4:$P7,S4:S7)</f>
        <v>3.1187496941020854E-4</v>
      </c>
      <c r="AO4" s="26">
        <f>bdrate($D4:$D7,H4:H7,$P4:$P7,T4:T7)</f>
        <v>3.3493634087777835E-5</v>
      </c>
      <c r="AP4" s="21">
        <f>bdrate($D4:$D7,I4:I7,$P4:$P7,U4:U7)</f>
        <v>3.1439162527449049E-3</v>
      </c>
      <c r="AQ4" s="36">
        <f>bdrate($D4:$D7,J4:J7,$P4:$P7,V4:V7)</f>
        <v>7.4120270536222055E-3</v>
      </c>
      <c r="AR4" s="21"/>
      <c r="AS4" s="21"/>
      <c r="AT4" s="36"/>
      <c r="AU4" s="26"/>
      <c r="AV4" s="21"/>
      <c r="AW4" s="36"/>
      <c r="AX4" s="15">
        <f>V4/J4</f>
        <v>1.0000470648358513</v>
      </c>
      <c r="AY4" s="15">
        <f t="shared" ref="AY4:AY7" si="9">X4/L4</f>
        <v>0.95945945945945943</v>
      </c>
      <c r="AZ4" s="15">
        <f t="shared" ref="AZ4:AZ67" si="10">Z4/N4</f>
        <v>1.1124763610815402</v>
      </c>
      <c r="BA4" s="15">
        <f>V4/J4</f>
        <v>1.0000470648358513</v>
      </c>
      <c r="BB4" s="15">
        <f t="shared" si="4"/>
        <v>0.95945945945945943</v>
      </c>
      <c r="BC4" s="15">
        <f t="shared" ref="BC4:BC66" si="11">Z4/N4</f>
        <v>1.1124763610815402</v>
      </c>
      <c r="BD4" s="1">
        <f t="shared" ref="BD4:BD67" si="12">IF((((AF4&lt;0)*AND(AL5&lt;0)*AND(AR4&lt;0))),1,0)</f>
        <v>0</v>
      </c>
    </row>
    <row r="5" spans="1:56" ht="15.75" thickBot="1" x14ac:dyDescent="0.25">
      <c r="A5" s="13"/>
      <c r="B5" s="13"/>
      <c r="C5" s="43">
        <v>32</v>
      </c>
      <c r="D5" s="55">
        <v>3204.96</v>
      </c>
      <c r="E5" s="55">
        <v>37.942300000000003</v>
      </c>
      <c r="F5" s="55">
        <v>38.435200000000002</v>
      </c>
      <c r="G5" s="55">
        <v>40.023400000000002</v>
      </c>
      <c r="H5" s="55">
        <v>0.98378010000000005</v>
      </c>
      <c r="I5" s="55">
        <v>0.99220940000000002</v>
      </c>
      <c r="J5" s="55">
        <v>0.98425879999999999</v>
      </c>
      <c r="K5" s="55">
        <v>663.32399999999996</v>
      </c>
      <c r="L5" s="55">
        <v>0.63800000000000001</v>
      </c>
      <c r="M5" s="15">
        <v>0</v>
      </c>
      <c r="N5" s="16">
        <f t="shared" si="0"/>
        <v>0.18425666666666665</v>
      </c>
      <c r="P5" s="60">
        <v>3201.78</v>
      </c>
      <c r="Q5" s="60">
        <v>37.934600000000003</v>
      </c>
      <c r="R5" s="60">
        <v>38.443899999999999</v>
      </c>
      <c r="S5" s="60">
        <v>40.029699999999998</v>
      </c>
      <c r="T5" s="60">
        <v>0.98376059999999999</v>
      </c>
      <c r="U5" s="60">
        <v>0.99207369999999995</v>
      </c>
      <c r="V5" s="60">
        <v>0.98408309999999999</v>
      </c>
      <c r="W5" s="60">
        <v>796.572</v>
      </c>
      <c r="X5" s="60">
        <v>0.66500000000000004</v>
      </c>
      <c r="Y5" s="15">
        <v>0</v>
      </c>
      <c r="Z5" s="16">
        <f t="shared" si="5"/>
        <v>0.22126999999999999</v>
      </c>
      <c r="AA5" s="10">
        <f t="shared" si="6"/>
        <v>1.2008792083506703</v>
      </c>
      <c r="AB5" s="15">
        <f t="shared" si="1"/>
        <v>1.042319749216301</v>
      </c>
      <c r="AC5" s="15" t="e">
        <f t="shared" si="1"/>
        <v>#DIV/0!</v>
      </c>
      <c r="AD5" s="16">
        <f t="shared" si="7"/>
        <v>9.9221207128945017E-4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>
        <f>V5/J5</f>
        <v>0.99982149003900189</v>
      </c>
      <c r="AY5" s="15">
        <f t="shared" si="9"/>
        <v>1.042319749216301</v>
      </c>
      <c r="AZ5" s="15">
        <f t="shared" si="10"/>
        <v>1.2008792083506703</v>
      </c>
      <c r="BA5" s="15">
        <f>V5/J5</f>
        <v>0.99982149003900189</v>
      </c>
      <c r="BB5" s="15">
        <f t="shared" si="4"/>
        <v>1.042319749216301</v>
      </c>
      <c r="BC5" s="15">
        <f t="shared" si="11"/>
        <v>1.2008792083506703</v>
      </c>
      <c r="BD5" s="1">
        <f t="shared" si="12"/>
        <v>0</v>
      </c>
    </row>
    <row r="6" spans="1:56" ht="15.75" thickBot="1" x14ac:dyDescent="0.25">
      <c r="A6" s="13"/>
      <c r="B6" s="13"/>
      <c r="C6" s="43">
        <v>37</v>
      </c>
      <c r="D6" s="55">
        <v>1668.39</v>
      </c>
      <c r="E6" s="55">
        <v>36.4086</v>
      </c>
      <c r="F6" s="55">
        <v>36.528700000000001</v>
      </c>
      <c r="G6" s="55">
        <v>38.287399999999998</v>
      </c>
      <c r="H6" s="55">
        <v>0.97274179999999999</v>
      </c>
      <c r="I6" s="55">
        <v>0.98665700000000001</v>
      </c>
      <c r="J6" s="55">
        <v>0.97564910000000005</v>
      </c>
      <c r="K6" s="55">
        <v>334.32900000000001</v>
      </c>
      <c r="L6" s="55">
        <v>0.56200000000000006</v>
      </c>
      <c r="M6" s="15">
        <v>0</v>
      </c>
      <c r="N6" s="16">
        <f t="shared" si="0"/>
        <v>9.2869166666666669E-2</v>
      </c>
      <c r="P6" s="60">
        <v>1668</v>
      </c>
      <c r="Q6" s="60">
        <v>36.400399999999998</v>
      </c>
      <c r="R6" s="60">
        <v>36.514200000000002</v>
      </c>
      <c r="S6" s="60">
        <v>38.264099999999999</v>
      </c>
      <c r="T6" s="60">
        <v>0.97274720000000003</v>
      </c>
      <c r="U6" s="60">
        <v>0.98671690000000001</v>
      </c>
      <c r="V6" s="60">
        <v>0.97552490000000003</v>
      </c>
      <c r="W6" s="60">
        <v>409.57900000000001</v>
      </c>
      <c r="X6" s="60">
        <v>0.58599999999999997</v>
      </c>
      <c r="Y6" s="15">
        <v>0</v>
      </c>
      <c r="Z6" s="16">
        <f t="shared" si="5"/>
        <v>0.11377194444444445</v>
      </c>
      <c r="AA6" s="10">
        <f t="shared" si="6"/>
        <v>1.2250776929312144</v>
      </c>
      <c r="AB6" s="15">
        <f t="shared" si="1"/>
        <v>1.0427046263345194</v>
      </c>
      <c r="AC6" s="15" t="e">
        <f t="shared" si="1"/>
        <v>#DIV/0!</v>
      </c>
      <c r="AD6" s="16">
        <f t="shared" si="7"/>
        <v>2.3375829392414244E-4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>
        <f>V6/J6</f>
        <v>0.99987270013368534</v>
      </c>
      <c r="AY6" s="15">
        <f t="shared" si="9"/>
        <v>1.0427046263345194</v>
      </c>
      <c r="AZ6" s="15">
        <f t="shared" si="10"/>
        <v>1.2250776929312146</v>
      </c>
      <c r="BA6" s="15">
        <f>V6/J6</f>
        <v>0.99987270013368534</v>
      </c>
      <c r="BB6" s="15">
        <f t="shared" si="4"/>
        <v>1.0427046263345194</v>
      </c>
      <c r="BC6" s="15">
        <f t="shared" si="11"/>
        <v>1.2250776929312146</v>
      </c>
      <c r="BD6" s="1">
        <f t="shared" si="12"/>
        <v>0</v>
      </c>
    </row>
    <row r="7" spans="1:56" ht="15.75" thickBot="1" x14ac:dyDescent="0.25">
      <c r="A7" s="13"/>
      <c r="B7" s="17"/>
      <c r="C7" s="44">
        <v>42</v>
      </c>
      <c r="D7" s="55">
        <v>894.09</v>
      </c>
      <c r="E7" s="55">
        <v>34.755000000000003</v>
      </c>
      <c r="F7" s="55">
        <v>34.719799999999999</v>
      </c>
      <c r="G7" s="55">
        <v>36.784799999999997</v>
      </c>
      <c r="H7" s="55">
        <v>0.95664990000000005</v>
      </c>
      <c r="I7" s="55">
        <v>0.97702540000000004</v>
      </c>
      <c r="J7" s="55">
        <v>0.96380010000000005</v>
      </c>
      <c r="K7" s="55">
        <v>172.547</v>
      </c>
      <c r="L7" s="55">
        <v>0.48899999999999999</v>
      </c>
      <c r="M7" s="19">
        <v>0</v>
      </c>
      <c r="N7" s="20">
        <f t="shared" si="0"/>
        <v>4.7929722222222221E-2</v>
      </c>
      <c r="P7" s="60">
        <v>892.35</v>
      </c>
      <c r="Q7" s="60">
        <v>34.75</v>
      </c>
      <c r="R7" s="60">
        <v>34.713900000000002</v>
      </c>
      <c r="S7" s="60">
        <v>36.785800000000002</v>
      </c>
      <c r="T7" s="60">
        <v>0.95658290000000001</v>
      </c>
      <c r="U7" s="60">
        <v>0.97693949999999996</v>
      </c>
      <c r="V7" s="60">
        <v>0.96386609999999995</v>
      </c>
      <c r="W7" s="60">
        <v>208.386</v>
      </c>
      <c r="X7" s="60">
        <v>0.501</v>
      </c>
      <c r="Y7" s="19">
        <v>0</v>
      </c>
      <c r="Z7" s="20">
        <f t="shared" si="5"/>
        <v>5.7884999999999999E-2</v>
      </c>
      <c r="AA7" s="10">
        <f t="shared" si="6"/>
        <v>1.207705726555663</v>
      </c>
      <c r="AB7" s="15">
        <f t="shared" si="1"/>
        <v>1.0245398773006136</v>
      </c>
      <c r="AC7" s="15" t="e">
        <f t="shared" si="1"/>
        <v>#DIV/0!</v>
      </c>
      <c r="AD7" s="20">
        <f t="shared" si="7"/>
        <v>1.9461128074355031E-3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>
        <f>V7/J7</f>
        <v>1.0000684789304337</v>
      </c>
      <c r="AY7" s="15">
        <f t="shared" si="9"/>
        <v>1.0245398773006136</v>
      </c>
      <c r="AZ7" s="15">
        <f t="shared" si="10"/>
        <v>1.2077057265556632</v>
      </c>
      <c r="BA7" s="15"/>
      <c r="BB7" s="15"/>
      <c r="BC7" s="15"/>
      <c r="BD7" s="1">
        <f t="shared" si="12"/>
        <v>0</v>
      </c>
    </row>
    <row r="8" spans="1:56" ht="15.75" thickBot="1" x14ac:dyDescent="0.25">
      <c r="A8" s="13"/>
      <c r="B8" s="8" t="s">
        <v>43</v>
      </c>
      <c r="C8" s="39">
        <v>22</v>
      </c>
      <c r="D8" s="55">
        <v>6077.1</v>
      </c>
      <c r="E8" s="55">
        <v>46.3005</v>
      </c>
      <c r="F8" s="55">
        <v>51.364199999999997</v>
      </c>
      <c r="G8" s="55">
        <v>52.964300000000001</v>
      </c>
      <c r="H8" s="55">
        <v>0.99583060000000001</v>
      </c>
      <c r="I8" s="55">
        <v>0.9974307</v>
      </c>
      <c r="J8" s="55">
        <v>0.99811950000000005</v>
      </c>
      <c r="K8" s="55">
        <v>752.64300000000003</v>
      </c>
      <c r="L8" s="55">
        <v>0.61699999999999999</v>
      </c>
      <c r="M8" s="10">
        <v>0</v>
      </c>
      <c r="N8" s="11">
        <f t="shared" si="0"/>
        <v>0.20906750000000002</v>
      </c>
      <c r="P8" s="60">
        <v>6108.06</v>
      </c>
      <c r="Q8" s="60">
        <v>46.308599999999998</v>
      </c>
      <c r="R8" s="60">
        <v>51.357199999999999</v>
      </c>
      <c r="S8" s="60">
        <v>52.980899999999998</v>
      </c>
      <c r="T8" s="60">
        <v>0.99584090000000003</v>
      </c>
      <c r="U8" s="60">
        <v>0.99742109999999995</v>
      </c>
      <c r="V8" s="60">
        <v>0.99812909999999999</v>
      </c>
      <c r="W8" s="60">
        <v>885.81299999999999</v>
      </c>
      <c r="X8" s="60">
        <v>0.59699999999999998</v>
      </c>
      <c r="Y8" s="10">
        <v>0</v>
      </c>
      <c r="Z8" s="11">
        <f t="shared" si="5"/>
        <v>0.24605916666666666</v>
      </c>
      <c r="AA8" s="10">
        <f t="shared" si="6"/>
        <v>1.1769364758590726</v>
      </c>
      <c r="AB8" s="15">
        <f t="shared" si="1"/>
        <v>0.96758508914100483</v>
      </c>
      <c r="AC8" s="15" t="e">
        <f t="shared" si="1"/>
        <v>#DIV/0!</v>
      </c>
      <c r="AD8" s="11">
        <f t="shared" si="7"/>
        <v>5.0945352223922651E-3</v>
      </c>
      <c r="AE8" s="12"/>
      <c r="AF8" s="25">
        <f t="shared" ref="AF8:AK8" si="13">bdRateExtend($D8:$D12,E8:E12,$P8:$P12,Q8:Q12)</f>
        <v>1.3822795677611577E-3</v>
      </c>
      <c r="AG8" s="30">
        <f t="shared" si="13"/>
        <v>5.6204969204105559E-3</v>
      </c>
      <c r="AH8" s="31">
        <f t="shared" si="13"/>
        <v>2.2049122172207447E-3</v>
      </c>
      <c r="AI8" s="25">
        <f t="shared" si="13"/>
        <v>2.4180787050716024E-3</v>
      </c>
      <c r="AJ8" s="30">
        <f t="shared" si="13"/>
        <v>5.7162115581033124E-3</v>
      </c>
      <c r="AK8" s="30">
        <f t="shared" si="13"/>
        <v>1.139028339370296E-2</v>
      </c>
      <c r="AL8" s="45"/>
      <c r="AM8" s="46"/>
      <c r="AN8" s="47"/>
      <c r="AO8" s="46"/>
      <c r="AP8" s="46"/>
      <c r="AQ8" s="47"/>
      <c r="AR8" s="30">
        <f t="shared" ref="AR8:AW8" si="14">bdrate($D8:$D11,E8:E11,$P8:$P11,Q8:Q11)</f>
        <v>-3.3153159713095182E-4</v>
      </c>
      <c r="AS8" s="30">
        <f t="shared" si="14"/>
        <v>5.6260290786978029E-3</v>
      </c>
      <c r="AT8" s="31">
        <f t="shared" si="14"/>
        <v>-4.7549601370922012E-4</v>
      </c>
      <c r="AU8" s="25">
        <f t="shared" si="14"/>
        <v>-6.0991576931479496E-4</v>
      </c>
      <c r="AV8" s="30">
        <f t="shared" si="14"/>
        <v>3.1438553947422676E-3</v>
      </c>
      <c r="AW8" s="31">
        <f t="shared" si="14"/>
        <v>5.576653476571769E-3</v>
      </c>
      <c r="AX8" s="15"/>
      <c r="AY8" s="15"/>
      <c r="AZ8" s="15"/>
      <c r="BA8" s="15">
        <f>V8/J8</f>
        <v>1.0000096180868121</v>
      </c>
      <c r="BB8" s="15">
        <f t="shared" ref="BB8:BB11" si="15">X8/L8</f>
        <v>0.96758508914100483</v>
      </c>
      <c r="BC8" s="15">
        <f t="shared" si="11"/>
        <v>1.1769364758590726</v>
      </c>
      <c r="BD8" s="1">
        <f t="shared" si="12"/>
        <v>0</v>
      </c>
    </row>
    <row r="9" spans="1:56" ht="15.75" thickBot="1" x14ac:dyDescent="0.25">
      <c r="A9" s="13"/>
      <c r="B9" s="13"/>
      <c r="C9" s="43">
        <v>27</v>
      </c>
      <c r="D9" s="55">
        <v>2767.2</v>
      </c>
      <c r="E9" s="55">
        <v>45.479399999999998</v>
      </c>
      <c r="F9" s="55">
        <v>49.7545</v>
      </c>
      <c r="G9" s="55">
        <v>50.906700000000001</v>
      </c>
      <c r="H9" s="55">
        <v>0.99426800000000004</v>
      </c>
      <c r="I9" s="55">
        <v>0.99595049999999996</v>
      </c>
      <c r="J9" s="55">
        <v>0.99686160000000001</v>
      </c>
      <c r="K9" s="55">
        <v>189.50200000000001</v>
      </c>
      <c r="L9" s="55">
        <v>0.499</v>
      </c>
      <c r="M9" s="15">
        <v>0</v>
      </c>
      <c r="N9" s="16">
        <f t="shared" si="0"/>
        <v>5.2639444444444447E-2</v>
      </c>
      <c r="P9" s="60">
        <v>2771.64</v>
      </c>
      <c r="Q9" s="60">
        <v>45.482500000000002</v>
      </c>
      <c r="R9" s="60">
        <v>49.7438</v>
      </c>
      <c r="S9" s="60">
        <v>50.930599999999998</v>
      </c>
      <c r="T9" s="60">
        <v>0.99427620000000005</v>
      </c>
      <c r="U9" s="60">
        <v>0.9959211</v>
      </c>
      <c r="V9" s="60">
        <v>0.99685959999999996</v>
      </c>
      <c r="W9" s="60">
        <v>223.79300000000001</v>
      </c>
      <c r="X9" s="60">
        <v>0.50700000000000001</v>
      </c>
      <c r="Y9" s="15">
        <v>0</v>
      </c>
      <c r="Z9" s="16">
        <f t="shared" si="5"/>
        <v>6.2164722222222225E-2</v>
      </c>
      <c r="AA9" s="10">
        <f t="shared" si="6"/>
        <v>1.1809532353220547</v>
      </c>
      <c r="AB9" s="15">
        <f t="shared" si="1"/>
        <v>1.0160320641282565</v>
      </c>
      <c r="AC9" s="15" t="e">
        <f t="shared" si="1"/>
        <v>#DIV/0!</v>
      </c>
      <c r="AD9" s="16">
        <f t="shared" si="7"/>
        <v>1.6045099739809391E-3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2.0664450862915018E-3</v>
      </c>
      <c r="AM9" s="21">
        <f>bdrate($D9:$D12,F9:F12,$P9:$P12,R9:R12)</f>
        <v>5.0048272066869348E-3</v>
      </c>
      <c r="AN9" s="36">
        <f t="shared" ref="AN9" si="16">bdrate($D9:$D12,G9:G12,$P9:$P12,S9:S12)</f>
        <v>5.363033312542953E-3</v>
      </c>
      <c r="AO9" s="26">
        <f>bdrate($D9:$D12,H9:H12,$P9:$P12,T9:T12)</f>
        <v>3.0234401953392886E-3</v>
      </c>
      <c r="AP9" s="21">
        <f>bdrate($D9:$D12,I9:I12,$P9:$P12,U9:U12)</f>
        <v>3.4962283491712931E-3</v>
      </c>
      <c r="AQ9" s="36">
        <f>bdrate($D9:$D12,J9:J12,$P9:$P12,V9:V12)</f>
        <v>1.3360152314404905E-2</v>
      </c>
      <c r="AR9" s="21"/>
      <c r="AS9" s="21"/>
      <c r="AT9" s="36"/>
      <c r="AU9" s="26"/>
      <c r="AV9" s="21"/>
      <c r="AW9" s="36"/>
      <c r="AX9" s="15">
        <f>V9/J9</f>
        <v>0.99999799370343878</v>
      </c>
      <c r="AY9" s="15">
        <f t="shared" ref="AY9:AY12" si="17">X9/L9</f>
        <v>1.0160320641282565</v>
      </c>
      <c r="AZ9" s="15">
        <f t="shared" si="10"/>
        <v>1.1809532353220547</v>
      </c>
      <c r="BA9" s="15">
        <f>V9/J9</f>
        <v>0.99999799370343878</v>
      </c>
      <c r="BB9" s="15">
        <f t="shared" si="15"/>
        <v>1.0160320641282565</v>
      </c>
      <c r="BC9" s="15">
        <f t="shared" si="11"/>
        <v>1.1809532353220547</v>
      </c>
      <c r="BD9" s="1">
        <f t="shared" si="12"/>
        <v>0</v>
      </c>
    </row>
    <row r="10" spans="1:56" ht="15.75" thickBot="1" x14ac:dyDescent="0.25">
      <c r="A10" s="13"/>
      <c r="B10" s="13"/>
      <c r="C10" s="43">
        <v>32</v>
      </c>
      <c r="D10" s="55">
        <v>1745.58</v>
      </c>
      <c r="E10" s="55">
        <v>44.677799999999998</v>
      </c>
      <c r="F10" s="55">
        <v>47.941600000000001</v>
      </c>
      <c r="G10" s="55">
        <v>48.672800000000002</v>
      </c>
      <c r="H10" s="55">
        <v>0.99269099999999999</v>
      </c>
      <c r="I10" s="55">
        <v>0.99357300000000004</v>
      </c>
      <c r="J10" s="55">
        <v>0.99470760000000003</v>
      </c>
      <c r="K10" s="55">
        <v>92.569000000000003</v>
      </c>
      <c r="L10" s="55">
        <v>0.45600000000000002</v>
      </c>
      <c r="M10" s="15">
        <v>0</v>
      </c>
      <c r="N10" s="16">
        <f t="shared" si="0"/>
        <v>2.5713611111111111E-2</v>
      </c>
      <c r="P10" s="60">
        <v>1738.08</v>
      </c>
      <c r="Q10" s="60">
        <v>44.671300000000002</v>
      </c>
      <c r="R10" s="60">
        <v>47.9129</v>
      </c>
      <c r="S10" s="60">
        <v>48.636200000000002</v>
      </c>
      <c r="T10" s="60">
        <v>0.99268239999999996</v>
      </c>
      <c r="U10" s="60">
        <v>0.99358250000000004</v>
      </c>
      <c r="V10" s="60">
        <v>0.99463860000000004</v>
      </c>
      <c r="W10" s="60">
        <v>107.49</v>
      </c>
      <c r="X10" s="60">
        <v>0.45700000000000002</v>
      </c>
      <c r="Y10" s="15">
        <v>0</v>
      </c>
      <c r="Z10" s="16">
        <f t="shared" si="5"/>
        <v>2.985833333333333E-2</v>
      </c>
      <c r="AA10" s="10">
        <f t="shared" si="6"/>
        <v>1.1611878706694465</v>
      </c>
      <c r="AB10" s="15">
        <f t="shared" si="1"/>
        <v>1.0021929824561404</v>
      </c>
      <c r="AC10" s="15" t="e">
        <f t="shared" si="1"/>
        <v>#DIV/0!</v>
      </c>
      <c r="AD10" s="16">
        <f t="shared" si="7"/>
        <v>4.2965661843055031E-3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>
        <f>V10/J10</f>
        <v>0.99993063288146189</v>
      </c>
      <c r="AY10" s="15">
        <f t="shared" si="17"/>
        <v>1.0021929824561404</v>
      </c>
      <c r="AZ10" s="15">
        <f t="shared" si="10"/>
        <v>1.1611878706694465</v>
      </c>
      <c r="BA10" s="15">
        <f>V10/J10</f>
        <v>0.99993063288146189</v>
      </c>
      <c r="BB10" s="15">
        <f t="shared" si="15"/>
        <v>1.0021929824561404</v>
      </c>
      <c r="BC10" s="15">
        <f t="shared" si="11"/>
        <v>1.1611878706694465</v>
      </c>
      <c r="BD10" s="1">
        <f t="shared" si="12"/>
        <v>0</v>
      </c>
    </row>
    <row r="11" spans="1:56" ht="15.75" thickBot="1" x14ac:dyDescent="0.25">
      <c r="A11" s="13"/>
      <c r="B11" s="13"/>
      <c r="C11" s="43">
        <v>37</v>
      </c>
      <c r="D11" s="55">
        <v>1133.46</v>
      </c>
      <c r="E11" s="55">
        <v>43.3611</v>
      </c>
      <c r="F11" s="55">
        <v>46.642899999999997</v>
      </c>
      <c r="G11" s="55">
        <v>46.775199999999998</v>
      </c>
      <c r="H11" s="55">
        <v>0.98976090000000005</v>
      </c>
      <c r="I11" s="55">
        <v>0.99134829999999996</v>
      </c>
      <c r="J11" s="55">
        <v>0.99177300000000002</v>
      </c>
      <c r="K11" s="55">
        <v>60.47</v>
      </c>
      <c r="L11" s="55">
        <v>0.41799999999999998</v>
      </c>
      <c r="M11" s="15">
        <v>0</v>
      </c>
      <c r="N11" s="16">
        <f t="shared" si="0"/>
        <v>1.679722222222222E-2</v>
      </c>
      <c r="P11" s="60">
        <v>1134.24</v>
      </c>
      <c r="Q11" s="60">
        <v>43.339399999999998</v>
      </c>
      <c r="R11" s="60">
        <v>46.618400000000001</v>
      </c>
      <c r="S11" s="60">
        <v>46.754800000000003</v>
      </c>
      <c r="T11" s="60">
        <v>0.98970159999999996</v>
      </c>
      <c r="U11" s="60">
        <v>0.99130370000000001</v>
      </c>
      <c r="V11" s="60">
        <v>0.99171310000000001</v>
      </c>
      <c r="W11" s="60">
        <v>72.227999999999994</v>
      </c>
      <c r="X11" s="60">
        <v>0.42099999999999999</v>
      </c>
      <c r="Y11" s="15">
        <v>0</v>
      </c>
      <c r="Z11" s="16">
        <f t="shared" si="5"/>
        <v>2.0063333333333332E-2</v>
      </c>
      <c r="AA11" s="10">
        <f t="shared" si="6"/>
        <v>1.1944435257152306</v>
      </c>
      <c r="AB11" s="15">
        <f t="shared" si="1"/>
        <v>1.0071770334928229</v>
      </c>
      <c r="AC11" s="15" t="e">
        <f t="shared" si="1"/>
        <v>#DIV/0!</v>
      </c>
      <c r="AD11" s="16">
        <f t="shared" si="7"/>
        <v>6.8815838229842493E-4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>
        <f>V11/J11</f>
        <v>0.99993960311482566</v>
      </c>
      <c r="AY11" s="15">
        <f t="shared" si="17"/>
        <v>1.0071770334928229</v>
      </c>
      <c r="AZ11" s="15">
        <f t="shared" si="10"/>
        <v>1.1944435257152308</v>
      </c>
      <c r="BA11" s="15">
        <f>V11/J11</f>
        <v>0.99993960311482566</v>
      </c>
      <c r="BB11" s="15">
        <f t="shared" si="15"/>
        <v>1.0071770334928229</v>
      </c>
      <c r="BC11" s="15">
        <f t="shared" si="11"/>
        <v>1.1944435257152308</v>
      </c>
      <c r="BD11" s="1">
        <f t="shared" si="12"/>
        <v>0</v>
      </c>
    </row>
    <row r="12" spans="1:56" ht="15.75" thickBot="1" x14ac:dyDescent="0.25">
      <c r="A12" s="13"/>
      <c r="B12" s="17"/>
      <c r="C12" s="44">
        <v>42</v>
      </c>
      <c r="D12" s="55">
        <v>746.46</v>
      </c>
      <c r="E12" s="55">
        <v>41.422600000000003</v>
      </c>
      <c r="F12" s="55">
        <v>45.116100000000003</v>
      </c>
      <c r="G12" s="55">
        <v>45.127600000000001</v>
      </c>
      <c r="H12" s="55">
        <v>0.98438689999999995</v>
      </c>
      <c r="I12" s="55">
        <v>0.98819069999999998</v>
      </c>
      <c r="J12" s="55">
        <v>0.9884579</v>
      </c>
      <c r="K12" s="55">
        <v>50.423999999999999</v>
      </c>
      <c r="L12" s="55">
        <v>0.40400000000000003</v>
      </c>
      <c r="M12" s="19">
        <v>0</v>
      </c>
      <c r="N12" s="20">
        <f t="shared" si="0"/>
        <v>1.4006666666666667E-2</v>
      </c>
      <c r="P12" s="60">
        <v>743.64</v>
      </c>
      <c r="Q12" s="60">
        <v>41.427700000000002</v>
      </c>
      <c r="R12" s="60">
        <v>45.100700000000003</v>
      </c>
      <c r="S12" s="60">
        <v>45.017200000000003</v>
      </c>
      <c r="T12" s="60">
        <v>0.98436330000000005</v>
      </c>
      <c r="U12" s="60">
        <v>0.98807780000000001</v>
      </c>
      <c r="V12" s="60">
        <v>0.98795759999999999</v>
      </c>
      <c r="W12" s="60">
        <v>60.697000000000003</v>
      </c>
      <c r="X12" s="60">
        <v>0.438</v>
      </c>
      <c r="Y12" s="19">
        <v>0</v>
      </c>
      <c r="Z12" s="20">
        <f t="shared" si="5"/>
        <v>1.686027777777778E-2</v>
      </c>
      <c r="AA12" s="10">
        <f t="shared" si="6"/>
        <v>1.2037323496747581</v>
      </c>
      <c r="AB12" s="15">
        <f t="shared" si="1"/>
        <v>1.084158415841584</v>
      </c>
      <c r="AC12" s="15" t="e">
        <f t="shared" si="1"/>
        <v>#DIV/0!</v>
      </c>
      <c r="AD12" s="20">
        <f t="shared" si="7"/>
        <v>3.7778313640383274E-3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>
        <f>V12/J12</f>
        <v>0.99949385805910396</v>
      </c>
      <c r="AY12" s="15">
        <f t="shared" si="17"/>
        <v>1.084158415841584</v>
      </c>
      <c r="AZ12" s="15">
        <f t="shared" si="10"/>
        <v>1.2037323496747581</v>
      </c>
      <c r="BA12" s="15"/>
      <c r="BB12" s="15"/>
      <c r="BC12" s="15"/>
      <c r="BD12" s="1">
        <f t="shared" si="12"/>
        <v>0</v>
      </c>
    </row>
    <row r="13" spans="1:56" ht="15.75" thickBot="1" x14ac:dyDescent="0.25">
      <c r="A13" s="13"/>
      <c r="B13" s="8" t="s">
        <v>42</v>
      </c>
      <c r="C13" s="39">
        <v>22</v>
      </c>
      <c r="D13" s="55">
        <v>18477.84</v>
      </c>
      <c r="E13" s="55">
        <v>42.121000000000002</v>
      </c>
      <c r="F13" s="55">
        <v>49.873600000000003</v>
      </c>
      <c r="G13" s="55">
        <v>49.089700000000001</v>
      </c>
      <c r="H13" s="55">
        <v>0.99275349999999996</v>
      </c>
      <c r="I13" s="55">
        <v>0.9967201</v>
      </c>
      <c r="J13" s="55">
        <v>0.99663270000000004</v>
      </c>
      <c r="K13" s="55">
        <v>1754.43</v>
      </c>
      <c r="L13" s="55">
        <v>0.82199999999999995</v>
      </c>
      <c r="M13" s="10">
        <v>0</v>
      </c>
      <c r="N13" s="11">
        <f t="shared" si="0"/>
        <v>0.48734166666666667</v>
      </c>
      <c r="P13" s="60">
        <v>18403.560000000001</v>
      </c>
      <c r="Q13" s="60">
        <v>42.113599999999998</v>
      </c>
      <c r="R13" s="60">
        <v>49.872</v>
      </c>
      <c r="S13" s="60">
        <v>49.076999999999998</v>
      </c>
      <c r="T13" s="60">
        <v>0.99273210000000001</v>
      </c>
      <c r="U13" s="60">
        <v>0.99671860000000001</v>
      </c>
      <c r="V13" s="60">
        <v>0.99662879999999998</v>
      </c>
      <c r="W13" s="60">
        <v>1910.3679999999999</v>
      </c>
      <c r="X13" s="60">
        <v>0.78800000000000003</v>
      </c>
      <c r="Y13" s="10">
        <v>0</v>
      </c>
      <c r="Z13" s="11">
        <f t="shared" si="5"/>
        <v>0.53065777777777778</v>
      </c>
      <c r="AA13" s="10">
        <f t="shared" si="6"/>
        <v>1.0888824290510308</v>
      </c>
      <c r="AB13" s="15">
        <f t="shared" si="1"/>
        <v>0.95863746958637475</v>
      </c>
      <c r="AC13" s="15" t="e">
        <f t="shared" si="1"/>
        <v>#DIV/0!</v>
      </c>
      <c r="AD13" s="11">
        <f t="shared" si="7"/>
        <v>4.019950383811032E-3</v>
      </c>
      <c r="AE13" s="12"/>
      <c r="AF13" s="25">
        <f>bdRateExtend($D13:$D17,E13:E17,$P13:$P17,Q13:Q17)</f>
        <v>1.4624028723249083E-3</v>
      </c>
      <c r="AG13" s="30">
        <f t="shared" ref="AG13:AK13" si="18">bdRateExtend($D13:$D17,F13:F17,$P13:$P17,R13:R17)</f>
        <v>9.5864059012282787E-3</v>
      </c>
      <c r="AH13" s="31">
        <f t="shared" si="18"/>
        <v>5.4537486045962424E-3</v>
      </c>
      <c r="AI13" s="25">
        <f t="shared" si="18"/>
        <v>7.273263179685685E-4</v>
      </c>
      <c r="AJ13" s="30">
        <f t="shared" si="18"/>
        <v>1.3583908038051984E-2</v>
      </c>
      <c r="AK13" s="30">
        <f t="shared" si="18"/>
        <v>1.2796932435196862E-2</v>
      </c>
      <c r="AL13" s="26"/>
      <c r="AM13" s="21"/>
      <c r="AN13" s="36"/>
      <c r="AO13" s="21"/>
      <c r="AP13" s="21"/>
      <c r="AQ13" s="36"/>
      <c r="AR13" s="30">
        <f t="shared" ref="AR13:AW13" si="19">bdrate($D13:$D16,E13:E16,$P13:$P16,Q13:Q16)</f>
        <v>-1.8162282456879453E-4</v>
      </c>
      <c r="AS13" s="30">
        <f t="shared" si="19"/>
        <v>1.3008399026808837E-2</v>
      </c>
      <c r="AT13" s="31">
        <f t="shared" si="19"/>
        <v>6.7191377581146128E-3</v>
      </c>
      <c r="AU13" s="25">
        <f t="shared" si="19"/>
        <v>-9.2287501510968095E-4</v>
      </c>
      <c r="AV13" s="30">
        <f t="shared" si="19"/>
        <v>1.3379755997134257E-2</v>
      </c>
      <c r="AW13" s="31">
        <f t="shared" si="19"/>
        <v>8.5803618177320296E-3</v>
      </c>
      <c r="AX13" s="15"/>
      <c r="AY13" s="15"/>
      <c r="AZ13" s="15"/>
      <c r="BA13" s="15">
        <f>V13/J13</f>
        <v>0.99999608682315955</v>
      </c>
      <c r="BB13" s="15">
        <f t="shared" ref="BB13:BB16" si="20">X13/L13</f>
        <v>0.95863746958637475</v>
      </c>
      <c r="BC13" s="15">
        <f t="shared" si="11"/>
        <v>1.0888824290510308</v>
      </c>
      <c r="BD13" s="1">
        <f t="shared" si="12"/>
        <v>0</v>
      </c>
    </row>
    <row r="14" spans="1:56" ht="15.75" thickBot="1" x14ac:dyDescent="0.25">
      <c r="A14" s="13"/>
      <c r="B14" s="13"/>
      <c r="C14" s="43">
        <v>27</v>
      </c>
      <c r="D14" s="55">
        <v>4394.28</v>
      </c>
      <c r="E14" s="55">
        <v>40.295900000000003</v>
      </c>
      <c r="F14" s="55">
        <v>48.6511</v>
      </c>
      <c r="G14" s="55">
        <v>47.040100000000002</v>
      </c>
      <c r="H14" s="55">
        <v>0.98553880000000005</v>
      </c>
      <c r="I14" s="55">
        <v>0.99538000000000004</v>
      </c>
      <c r="J14" s="55">
        <v>0.99416550000000004</v>
      </c>
      <c r="K14" s="55">
        <v>441.41</v>
      </c>
      <c r="L14" s="55">
        <v>0.57299999999999995</v>
      </c>
      <c r="M14" s="15">
        <v>0</v>
      </c>
      <c r="N14" s="16">
        <f t="shared" si="0"/>
        <v>0.1226138888888889</v>
      </c>
      <c r="P14" s="60">
        <v>4390.0200000000004</v>
      </c>
      <c r="Q14" s="60">
        <v>40.297600000000003</v>
      </c>
      <c r="R14" s="60">
        <v>48.609099999999998</v>
      </c>
      <c r="S14" s="60">
        <v>47.045200000000001</v>
      </c>
      <c r="T14" s="60">
        <v>0.98555340000000002</v>
      </c>
      <c r="U14" s="60">
        <v>0.99534199999999995</v>
      </c>
      <c r="V14" s="60">
        <v>0.99419299999999999</v>
      </c>
      <c r="W14" s="60">
        <v>478.67599999999999</v>
      </c>
      <c r="X14" s="60">
        <v>0.63600000000000001</v>
      </c>
      <c r="Y14" s="15">
        <v>0</v>
      </c>
      <c r="Z14" s="16">
        <f t="shared" si="5"/>
        <v>0.13296555555555556</v>
      </c>
      <c r="AA14" s="10">
        <f t="shared" si="6"/>
        <v>1.0844249110804014</v>
      </c>
      <c r="AB14" s="15">
        <f t="shared" si="1"/>
        <v>1.1099476439790577</v>
      </c>
      <c r="AC14" s="15" t="e">
        <f t="shared" si="1"/>
        <v>#DIV/0!</v>
      </c>
      <c r="AD14" s="16">
        <f t="shared" si="7"/>
        <v>9.6944209290243427E-4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2.3589793819009941E-3</v>
      </c>
      <c r="AM14" s="21">
        <f>bdrate($D14:$D17,F14:F17,$P14:$P17,R14:R17)</f>
        <v>3.5245450427823233E-3</v>
      </c>
      <c r="AN14" s="36">
        <f t="shared" ref="AN14" si="21">bdrate($D14:$D17,G14:G17,$P14:$P17,S14:S17)</f>
        <v>9.6578100479067785E-3</v>
      </c>
      <c r="AO14" s="26">
        <f>bdrate($D14:$D17,H14:H17,$P14:$P17,T14:T17)</f>
        <v>1.3309295253567388E-3</v>
      </c>
      <c r="AP14" s="21">
        <f>bdrate($D14:$D17,I14:I17,$P14:$P17,U14:U17)</f>
        <v>1.2090214806622424E-2</v>
      </c>
      <c r="AQ14" s="36">
        <f>bdrate($D14:$D17,J14:J17,$P14:$P17,V14:V17)</f>
        <v>1.789448292520901E-2</v>
      </c>
      <c r="AR14" s="21"/>
      <c r="AS14" s="21"/>
      <c r="AT14" s="36"/>
      <c r="AU14" s="26"/>
      <c r="AV14" s="21"/>
      <c r="AW14" s="36"/>
      <c r="AX14" s="15">
        <f>V14/J14</f>
        <v>1.0000276613903822</v>
      </c>
      <c r="AY14" s="15">
        <f t="shared" ref="AY14:AY17" si="22">X14/L14</f>
        <v>1.1099476439790577</v>
      </c>
      <c r="AZ14" s="15">
        <f t="shared" si="10"/>
        <v>1.0844249110804014</v>
      </c>
      <c r="BA14" s="15">
        <f>V14/J14</f>
        <v>1.0000276613903822</v>
      </c>
      <c r="BB14" s="15">
        <f t="shared" si="20"/>
        <v>1.1099476439790577</v>
      </c>
      <c r="BC14" s="15">
        <f t="shared" si="11"/>
        <v>1.0844249110804014</v>
      </c>
      <c r="BD14" s="1">
        <f t="shared" si="12"/>
        <v>0</v>
      </c>
    </row>
    <row r="15" spans="1:56" ht="15.75" thickBot="1" x14ac:dyDescent="0.25">
      <c r="A15" s="13"/>
      <c r="B15" s="13"/>
      <c r="C15" s="43">
        <v>32</v>
      </c>
      <c r="D15" s="55">
        <v>2465.52</v>
      </c>
      <c r="E15" s="55">
        <v>39.443199999999997</v>
      </c>
      <c r="F15" s="55">
        <v>47.345599999999997</v>
      </c>
      <c r="G15" s="55">
        <v>45.226100000000002</v>
      </c>
      <c r="H15" s="55">
        <v>0.98058149999999999</v>
      </c>
      <c r="I15" s="55">
        <v>0.99369430000000003</v>
      </c>
      <c r="J15" s="55">
        <v>0.99087340000000002</v>
      </c>
      <c r="K15" s="55">
        <v>198.179</v>
      </c>
      <c r="L15" s="55">
        <v>0.51200000000000001</v>
      </c>
      <c r="M15" s="15">
        <v>0</v>
      </c>
      <c r="N15" s="16">
        <f t="shared" si="0"/>
        <v>5.5049722222222222E-2</v>
      </c>
      <c r="P15" s="60">
        <v>2468.94</v>
      </c>
      <c r="Q15" s="60">
        <v>39.448799999999999</v>
      </c>
      <c r="R15" s="60">
        <v>47.350999999999999</v>
      </c>
      <c r="S15" s="60">
        <v>45.172499999999999</v>
      </c>
      <c r="T15" s="60">
        <v>0.98062190000000005</v>
      </c>
      <c r="U15" s="60">
        <v>0.99368509999999999</v>
      </c>
      <c r="V15" s="60">
        <v>0.99077029999999999</v>
      </c>
      <c r="W15" s="60">
        <v>210.75200000000001</v>
      </c>
      <c r="X15" s="60">
        <v>0.52500000000000002</v>
      </c>
      <c r="Y15" s="15">
        <v>0</v>
      </c>
      <c r="Z15" s="16">
        <f t="shared" si="5"/>
        <v>5.8542222222222225E-2</v>
      </c>
      <c r="AA15" s="10">
        <f t="shared" si="6"/>
        <v>1.063442645285323</v>
      </c>
      <c r="AB15" s="15">
        <f t="shared" si="1"/>
        <v>1.025390625</v>
      </c>
      <c r="AC15" s="15" t="e">
        <f t="shared" si="1"/>
        <v>#DIV/0!</v>
      </c>
      <c r="AD15" s="16">
        <f t="shared" si="7"/>
        <v>1.3871313150978588E-3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>
        <f>V15/J15</f>
        <v>0.99989595038074486</v>
      </c>
      <c r="AY15" s="15">
        <f t="shared" si="22"/>
        <v>1.025390625</v>
      </c>
      <c r="AZ15" s="15">
        <f t="shared" si="10"/>
        <v>1.063442645285323</v>
      </c>
      <c r="BA15" s="15">
        <f>V15/J15</f>
        <v>0.99989595038074486</v>
      </c>
      <c r="BB15" s="15">
        <f t="shared" si="20"/>
        <v>1.025390625</v>
      </c>
      <c r="BC15" s="15">
        <f t="shared" si="11"/>
        <v>1.063442645285323</v>
      </c>
      <c r="BD15" s="1">
        <f t="shared" si="12"/>
        <v>0</v>
      </c>
    </row>
    <row r="16" spans="1:56" ht="15.75" thickBot="1" x14ac:dyDescent="0.25">
      <c r="A16" s="13"/>
      <c r="B16" s="13"/>
      <c r="C16" s="43">
        <v>37</v>
      </c>
      <c r="D16" s="55">
        <v>1441.8</v>
      </c>
      <c r="E16" s="55">
        <v>38.221299999999999</v>
      </c>
      <c r="F16" s="55">
        <v>46.073300000000003</v>
      </c>
      <c r="G16" s="55">
        <v>43.719799999999999</v>
      </c>
      <c r="H16" s="55">
        <v>0.97243780000000002</v>
      </c>
      <c r="I16" s="55">
        <v>0.99153460000000004</v>
      </c>
      <c r="J16" s="55">
        <v>0.98708399999999996</v>
      </c>
      <c r="K16" s="55">
        <v>91.03</v>
      </c>
      <c r="L16" s="55">
        <v>0.443</v>
      </c>
      <c r="M16" s="15">
        <v>0</v>
      </c>
      <c r="N16" s="16">
        <f t="shared" si="0"/>
        <v>2.528611111111111E-2</v>
      </c>
      <c r="P16" s="60">
        <v>1449.78</v>
      </c>
      <c r="Q16" s="60">
        <v>38.218499999999999</v>
      </c>
      <c r="R16" s="60">
        <v>46.033799999999999</v>
      </c>
      <c r="S16" s="60">
        <v>43.712200000000003</v>
      </c>
      <c r="T16" s="60">
        <v>0.97244770000000003</v>
      </c>
      <c r="U16" s="60">
        <v>0.99139940000000004</v>
      </c>
      <c r="V16" s="60">
        <v>0.98689850000000001</v>
      </c>
      <c r="W16" s="60">
        <v>96.891999999999996</v>
      </c>
      <c r="X16" s="60">
        <v>0.50800000000000001</v>
      </c>
      <c r="Y16" s="15">
        <v>0</v>
      </c>
      <c r="Z16" s="16">
        <f t="shared" si="5"/>
        <v>2.6914444444444442E-2</v>
      </c>
      <c r="AA16" s="10">
        <f t="shared" si="6"/>
        <v>1.0643963528507085</v>
      </c>
      <c r="AB16" s="15">
        <f t="shared" si="1"/>
        <v>1.1467268623024831</v>
      </c>
      <c r="AC16" s="15" t="e">
        <f t="shared" si="1"/>
        <v>#DIV/0!</v>
      </c>
      <c r="AD16" s="16">
        <f t="shared" si="7"/>
        <v>5.5347482313774579E-3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>
        <f>V16/J16</f>
        <v>0.99981207273139883</v>
      </c>
      <c r="AY16" s="15">
        <f t="shared" si="22"/>
        <v>1.1467268623024831</v>
      </c>
      <c r="AZ16" s="15">
        <f t="shared" si="10"/>
        <v>1.0643963528507085</v>
      </c>
      <c r="BA16" s="15">
        <f>V16/J16</f>
        <v>0.99981207273139883</v>
      </c>
      <c r="BB16" s="15">
        <f t="shared" si="20"/>
        <v>1.1467268623024831</v>
      </c>
      <c r="BC16" s="15">
        <f t="shared" si="11"/>
        <v>1.0643963528507085</v>
      </c>
      <c r="BD16" s="1">
        <f t="shared" si="12"/>
        <v>0</v>
      </c>
    </row>
    <row r="17" spans="1:56" ht="15.75" thickBot="1" x14ac:dyDescent="0.25">
      <c r="A17" s="13"/>
      <c r="B17" s="17"/>
      <c r="C17" s="44">
        <v>42</v>
      </c>
      <c r="D17" s="55">
        <v>862.44</v>
      </c>
      <c r="E17" s="55">
        <v>36.512599999999999</v>
      </c>
      <c r="F17" s="55">
        <v>44.745100000000001</v>
      </c>
      <c r="G17" s="55">
        <v>42.074599999999997</v>
      </c>
      <c r="H17" s="55">
        <v>0.95879760000000003</v>
      </c>
      <c r="I17" s="55">
        <v>0.98871189999999998</v>
      </c>
      <c r="J17" s="55">
        <v>0.98157879999999997</v>
      </c>
      <c r="K17" s="55">
        <v>57.863</v>
      </c>
      <c r="L17" s="55">
        <v>0.42099999999999999</v>
      </c>
      <c r="M17" s="19">
        <v>0</v>
      </c>
      <c r="N17" s="20">
        <f t="shared" si="0"/>
        <v>1.6073055555555556E-2</v>
      </c>
      <c r="P17" s="60">
        <v>863.28</v>
      </c>
      <c r="Q17" s="60">
        <v>36.520000000000003</v>
      </c>
      <c r="R17" s="60">
        <v>44.899799999999999</v>
      </c>
      <c r="S17" s="60">
        <v>42.090699999999998</v>
      </c>
      <c r="T17" s="60">
        <v>0.95895430000000004</v>
      </c>
      <c r="U17" s="60">
        <v>0.98897769999999996</v>
      </c>
      <c r="V17" s="60">
        <v>0.98151529999999998</v>
      </c>
      <c r="W17" s="60">
        <v>61.344000000000001</v>
      </c>
      <c r="X17" s="60">
        <v>0.42599999999999999</v>
      </c>
      <c r="Y17" s="19">
        <v>0</v>
      </c>
      <c r="Z17" s="20">
        <f t="shared" si="5"/>
        <v>1.704E-2</v>
      </c>
      <c r="AA17" s="10">
        <f t="shared" si="6"/>
        <v>1.0601593418937836</v>
      </c>
      <c r="AB17" s="15">
        <f t="shared" si="1"/>
        <v>1.0118764845605701</v>
      </c>
      <c r="AC17" s="15" t="e">
        <f t="shared" si="1"/>
        <v>#DIV/0!</v>
      </c>
      <c r="AD17" s="20">
        <f t="shared" si="7"/>
        <v>9.7398079866415992E-4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>
        <f>V17/J17</f>
        <v>0.99993530830127952</v>
      </c>
      <c r="AY17" s="15">
        <f t="shared" si="22"/>
        <v>1.0118764845605701</v>
      </c>
      <c r="AZ17" s="15">
        <f t="shared" si="10"/>
        <v>1.0601593418937836</v>
      </c>
      <c r="BA17" s="15"/>
      <c r="BB17" s="15"/>
      <c r="BC17" s="15"/>
      <c r="BD17" s="1">
        <f t="shared" si="12"/>
        <v>0</v>
      </c>
    </row>
    <row r="18" spans="1:56" ht="15.75" thickBot="1" x14ac:dyDescent="0.25">
      <c r="A18" s="48" t="s">
        <v>41</v>
      </c>
      <c r="B18" s="8" t="s">
        <v>52</v>
      </c>
      <c r="C18" s="39">
        <v>22</v>
      </c>
      <c r="D18" s="55">
        <v>34412.22</v>
      </c>
      <c r="E18" s="55">
        <v>42.8277</v>
      </c>
      <c r="F18" s="55">
        <v>42.610999999999997</v>
      </c>
      <c r="G18" s="55">
        <v>44.400799999999997</v>
      </c>
      <c r="H18" s="55">
        <v>0.99569779999999997</v>
      </c>
      <c r="I18" s="55">
        <v>0.99042649999999999</v>
      </c>
      <c r="J18" s="55">
        <v>0.99387320000000001</v>
      </c>
      <c r="K18" s="55">
        <v>3209.2579999999998</v>
      </c>
      <c r="L18" s="55">
        <v>1.0640000000000001</v>
      </c>
      <c r="M18" s="10">
        <v>0</v>
      </c>
      <c r="N18" s="11">
        <f t="shared" si="0"/>
        <v>0.89146055555555548</v>
      </c>
      <c r="P18" s="60">
        <v>34412.1</v>
      </c>
      <c r="Q18" s="60">
        <v>42.829099999999997</v>
      </c>
      <c r="R18" s="60">
        <v>42.609299999999998</v>
      </c>
      <c r="S18" s="60">
        <v>44.378799999999998</v>
      </c>
      <c r="T18" s="60">
        <v>0.9957068</v>
      </c>
      <c r="U18" s="60">
        <v>0.99039719999999998</v>
      </c>
      <c r="V18" s="60">
        <v>0.99384090000000003</v>
      </c>
      <c r="W18" s="60">
        <v>3085.0059999999999</v>
      </c>
      <c r="X18" s="60">
        <v>1.0629999999999999</v>
      </c>
      <c r="Y18" s="10">
        <v>0</v>
      </c>
      <c r="Z18" s="11">
        <f t="shared" si="5"/>
        <v>0.85694611111111108</v>
      </c>
      <c r="AA18" s="10">
        <f t="shared" si="6"/>
        <v>0.96128326236158013</v>
      </c>
      <c r="AB18" s="10">
        <f t="shared" si="1"/>
        <v>0.99906015037593976</v>
      </c>
      <c r="AC18" s="10" t="e">
        <f t="shared" si="1"/>
        <v>#DIV/0!</v>
      </c>
      <c r="AD18" s="11">
        <f t="shared" si="7"/>
        <v>3.4871333497989767E-6</v>
      </c>
      <c r="AE18" s="40"/>
      <c r="AF18" s="25">
        <f t="shared" ref="AF18:AK18" si="23">bdRateExtend($D18:$D22,E18:E22,$P18:$P22,Q18:Q22)</f>
        <v>6.5555655315741035E-5</v>
      </c>
      <c r="AG18" s="30">
        <f t="shared" si="23"/>
        <v>2.8035568711237691E-3</v>
      </c>
      <c r="AH18" s="31">
        <f t="shared" si="23"/>
        <v>-1.1312818594176877E-3</v>
      </c>
      <c r="AI18" s="25">
        <f t="shared" si="23"/>
        <v>2.1886277657012787E-3</v>
      </c>
      <c r="AJ18" s="30">
        <f t="shared" si="23"/>
        <v>9.3419762631743453E-3</v>
      </c>
      <c r="AK18" s="30">
        <f t="shared" si="23"/>
        <v>-1.5595473601991428E-3</v>
      </c>
      <c r="AL18" s="45"/>
      <c r="AM18" s="46"/>
      <c r="AN18" s="47"/>
      <c r="AO18" s="46"/>
      <c r="AP18" s="46"/>
      <c r="AQ18" s="47"/>
      <c r="AR18" s="30">
        <f t="shared" ref="AR18:AW18" si="24">bdrate($D18:$D21,E18:E21,$P18:$P21,Q18:Q21)</f>
        <v>-3.9593168648688337E-4</v>
      </c>
      <c r="AS18" s="30">
        <f t="shared" si="24"/>
        <v>1.6729142503153493E-3</v>
      </c>
      <c r="AT18" s="31">
        <f t="shared" si="24"/>
        <v>1.8827522532438579E-3</v>
      </c>
      <c r="AU18" s="25">
        <f t="shared" si="24"/>
        <v>3.8019847704529042E-4</v>
      </c>
      <c r="AV18" s="30">
        <f t="shared" si="24"/>
        <v>7.1067651214353766E-3</v>
      </c>
      <c r="AW18" s="31">
        <f t="shared" si="24"/>
        <v>-2.4171573865852114E-3</v>
      </c>
      <c r="AX18" s="10"/>
      <c r="AY18" s="10"/>
      <c r="AZ18" s="10"/>
      <c r="BA18" s="10">
        <f>V18/J18</f>
        <v>0.99996750088441866</v>
      </c>
      <c r="BB18" s="10">
        <f t="shared" ref="BB18:BB21" si="25">X18/L18</f>
        <v>0.99906015037593976</v>
      </c>
      <c r="BC18" s="10">
        <f t="shared" si="11"/>
        <v>0.96128326236158024</v>
      </c>
      <c r="BD18" s="1">
        <f t="shared" si="12"/>
        <v>0</v>
      </c>
    </row>
    <row r="19" spans="1:56" ht="15.75" thickBot="1" x14ac:dyDescent="0.25">
      <c r="A19" s="13" t="s">
        <v>19</v>
      </c>
      <c r="B19" s="13"/>
      <c r="C19" s="43">
        <v>27</v>
      </c>
      <c r="D19" s="55">
        <v>9928.32</v>
      </c>
      <c r="E19" s="55">
        <v>39.909399999999998</v>
      </c>
      <c r="F19" s="55">
        <v>41.413899999999998</v>
      </c>
      <c r="G19" s="55">
        <v>42.632899999999999</v>
      </c>
      <c r="H19" s="55">
        <v>0.99168999999999996</v>
      </c>
      <c r="I19" s="55">
        <v>0.98554569999999997</v>
      </c>
      <c r="J19" s="55">
        <v>0.99023099999999997</v>
      </c>
      <c r="K19" s="55">
        <v>1068.8209999999999</v>
      </c>
      <c r="L19" s="55">
        <v>0.75700000000000001</v>
      </c>
      <c r="M19" s="15">
        <v>0</v>
      </c>
      <c r="N19" s="16">
        <f t="shared" si="0"/>
        <v>0.29689472222222218</v>
      </c>
      <c r="P19" s="60">
        <v>9921.66</v>
      </c>
      <c r="Q19" s="60">
        <v>39.910299999999999</v>
      </c>
      <c r="R19" s="60">
        <v>41.413899999999998</v>
      </c>
      <c r="S19" s="60">
        <v>42.632599999999996</v>
      </c>
      <c r="T19" s="60">
        <v>0.99169629999999998</v>
      </c>
      <c r="U19" s="60">
        <v>0.98551880000000003</v>
      </c>
      <c r="V19" s="60">
        <v>0.99023550000000005</v>
      </c>
      <c r="W19" s="60">
        <v>1157.702</v>
      </c>
      <c r="X19" s="60">
        <v>0.78100000000000003</v>
      </c>
      <c r="Y19" s="15">
        <v>0</v>
      </c>
      <c r="Z19" s="16">
        <f t="shared" si="5"/>
        <v>0.32158388888888889</v>
      </c>
      <c r="AA19" s="10">
        <f t="shared" si="6"/>
        <v>1.083157984358466</v>
      </c>
      <c r="AB19" s="15">
        <f t="shared" ref="AB19:AC32" si="26">X19/L19</f>
        <v>1.0317040951122853</v>
      </c>
      <c r="AC19" s="15" t="e">
        <f t="shared" si="26"/>
        <v>#DIV/0!</v>
      </c>
      <c r="AD19" s="16">
        <f t="shared" si="7"/>
        <v>6.7080835428348954E-4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6.6913230264109558E-4</v>
      </c>
      <c r="AM19" s="21">
        <f>bdrate($D19:$D22,F19:F22,$P19:$P22,R19:R22)</f>
        <v>3.9462047738501038E-3</v>
      </c>
      <c r="AN19" s="36">
        <f t="shared" ref="AN19" si="27">bdrate($D19:$D22,G19:G22,$P19:$P22,S19:S22)</f>
        <v>-4.0916738892495808E-3</v>
      </c>
      <c r="AO19" s="26">
        <f>bdrate($D19:$D22,H19:H22,$P19:$P22,T19:T22)</f>
        <v>2.9054687394012291E-3</v>
      </c>
      <c r="AP19" s="21">
        <f>bdrate($D19:$D22,I19:I22,$P19:$P22,U19:U22)</f>
        <v>1.0180907520711546E-2</v>
      </c>
      <c r="AQ19" s="36">
        <f>bdrate($D19:$D22,J19:J22,$P19:$P22,V19:V22)</f>
        <v>-2.9000812346137161E-3</v>
      </c>
      <c r="AR19" s="21"/>
      <c r="AS19" s="21"/>
      <c r="AT19" s="36"/>
      <c r="AU19" s="26"/>
      <c r="AV19" s="21"/>
      <c r="AW19" s="36"/>
      <c r="AX19" s="15">
        <f>V19/J19</f>
        <v>1.000004544394187</v>
      </c>
      <c r="AY19" s="15">
        <f t="shared" ref="AY19:AY22" si="28">X19/L19</f>
        <v>1.0317040951122853</v>
      </c>
      <c r="AZ19" s="15">
        <f t="shared" si="10"/>
        <v>1.0831579843584662</v>
      </c>
      <c r="BA19" s="15">
        <f>V19/J19</f>
        <v>1.000004544394187</v>
      </c>
      <c r="BB19" s="15">
        <f t="shared" si="25"/>
        <v>1.0317040951122853</v>
      </c>
      <c r="BC19" s="15">
        <f t="shared" si="11"/>
        <v>1.0831579843584662</v>
      </c>
      <c r="BD19" s="1">
        <f t="shared" si="12"/>
        <v>0</v>
      </c>
    </row>
    <row r="20" spans="1:56" ht="15.75" thickBot="1" x14ac:dyDescent="0.25">
      <c r="A20" s="13"/>
      <c r="B20" s="13"/>
      <c r="C20" s="43">
        <v>32</v>
      </c>
      <c r="D20" s="55">
        <v>5696.28</v>
      </c>
      <c r="E20" s="55">
        <v>38.506799999999998</v>
      </c>
      <c r="F20" s="55">
        <v>40.508899999999997</v>
      </c>
      <c r="G20" s="55">
        <v>40.927799999999998</v>
      </c>
      <c r="H20" s="55">
        <v>0.98731120000000006</v>
      </c>
      <c r="I20" s="55">
        <v>0.98115649999999999</v>
      </c>
      <c r="J20" s="55">
        <v>0.98504670000000005</v>
      </c>
      <c r="K20" s="55">
        <v>495.911</v>
      </c>
      <c r="L20" s="55">
        <v>0.68400000000000005</v>
      </c>
      <c r="M20" s="15">
        <v>0</v>
      </c>
      <c r="N20" s="16">
        <f t="shared" si="0"/>
        <v>0.13775305555555556</v>
      </c>
      <c r="P20" s="60">
        <v>5702.7</v>
      </c>
      <c r="Q20" s="60">
        <v>38.51</v>
      </c>
      <c r="R20" s="60">
        <v>40.507599999999996</v>
      </c>
      <c r="S20" s="60">
        <v>40.930100000000003</v>
      </c>
      <c r="T20" s="60">
        <v>0.98731349999999996</v>
      </c>
      <c r="U20" s="60">
        <v>0.98111780000000004</v>
      </c>
      <c r="V20" s="60">
        <v>0.9851375</v>
      </c>
      <c r="W20" s="60">
        <v>596.73500000000001</v>
      </c>
      <c r="X20" s="60">
        <v>0.70799999999999996</v>
      </c>
      <c r="Y20" s="15">
        <v>0</v>
      </c>
      <c r="Z20" s="16">
        <f t="shared" si="5"/>
        <v>0.16575972222222224</v>
      </c>
      <c r="AA20" s="10">
        <f t="shared" si="6"/>
        <v>1.2033106746976776</v>
      </c>
      <c r="AB20" s="15">
        <f t="shared" si="26"/>
        <v>1.0350877192982455</v>
      </c>
      <c r="AC20" s="15" t="e">
        <f t="shared" si="26"/>
        <v>#DIV/0!</v>
      </c>
      <c r="AD20" s="16">
        <f t="shared" si="7"/>
        <v>1.1270513387684723E-3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>
        <f>V20/J20</f>
        <v>1.0000921783708325</v>
      </c>
      <c r="AY20" s="15">
        <f t="shared" si="28"/>
        <v>1.0350877192982455</v>
      </c>
      <c r="AZ20" s="15">
        <f t="shared" si="10"/>
        <v>1.2033106746976776</v>
      </c>
      <c r="BA20" s="15">
        <f>V20/J20</f>
        <v>1.0000921783708325</v>
      </c>
      <c r="BB20" s="15">
        <f t="shared" si="25"/>
        <v>1.0350877192982455</v>
      </c>
      <c r="BC20" s="15">
        <f t="shared" si="11"/>
        <v>1.2033106746976776</v>
      </c>
      <c r="BD20" s="1">
        <f t="shared" si="12"/>
        <v>0</v>
      </c>
    </row>
    <row r="21" spans="1:56" ht="15.75" thickBot="1" x14ac:dyDescent="0.25">
      <c r="A21" s="13"/>
      <c r="B21" s="13"/>
      <c r="C21" s="43">
        <v>37</v>
      </c>
      <c r="D21" s="55">
        <v>3363.3</v>
      </c>
      <c r="E21" s="55">
        <v>36.596800000000002</v>
      </c>
      <c r="F21" s="55">
        <v>39.623199999999997</v>
      </c>
      <c r="G21" s="55">
        <v>39.297499999999999</v>
      </c>
      <c r="H21" s="55">
        <v>0.97869510000000004</v>
      </c>
      <c r="I21" s="55">
        <v>0.97604349999999995</v>
      </c>
      <c r="J21" s="55">
        <v>0.97774609999999995</v>
      </c>
      <c r="K21" s="55">
        <v>265.726</v>
      </c>
      <c r="L21" s="55">
        <v>0.55700000000000005</v>
      </c>
      <c r="M21" s="15">
        <v>0</v>
      </c>
      <c r="N21" s="16">
        <f t="shared" si="0"/>
        <v>7.3812777777777783E-2</v>
      </c>
      <c r="P21" s="60">
        <v>3365.22</v>
      </c>
      <c r="Q21" s="60">
        <v>36.592500000000001</v>
      </c>
      <c r="R21" s="60">
        <v>39.607799999999997</v>
      </c>
      <c r="S21" s="60">
        <v>39.317300000000003</v>
      </c>
      <c r="T21" s="60">
        <v>0.97860329999999995</v>
      </c>
      <c r="U21" s="60">
        <v>0.9758578</v>
      </c>
      <c r="V21" s="60">
        <v>0.97775389999999995</v>
      </c>
      <c r="W21" s="60">
        <v>326.17500000000001</v>
      </c>
      <c r="X21" s="60">
        <v>0.57499999999999996</v>
      </c>
      <c r="Y21" s="15">
        <v>0</v>
      </c>
      <c r="Z21" s="16">
        <f t="shared" si="5"/>
        <v>9.0604166666666666E-2</v>
      </c>
      <c r="AA21" s="10">
        <f t="shared" si="6"/>
        <v>1.2274862075972994</v>
      </c>
      <c r="AB21" s="15">
        <f t="shared" si="26"/>
        <v>1.0323159784560141</v>
      </c>
      <c r="AC21" s="15" t="e">
        <f t="shared" si="26"/>
        <v>#DIV/0!</v>
      </c>
      <c r="AD21" s="16">
        <f t="shared" si="7"/>
        <v>5.7086789760045725E-4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>
        <f>V21/J21</f>
        <v>1.0000079775311812</v>
      </c>
      <c r="AY21" s="15">
        <f t="shared" si="28"/>
        <v>1.0323159784560141</v>
      </c>
      <c r="AZ21" s="15">
        <f t="shared" si="10"/>
        <v>1.2274862075972994</v>
      </c>
      <c r="BA21" s="15">
        <f>V21/J21</f>
        <v>1.0000079775311812</v>
      </c>
      <c r="BB21" s="15">
        <f t="shared" si="25"/>
        <v>1.0323159784560141</v>
      </c>
      <c r="BC21" s="15">
        <f t="shared" si="11"/>
        <v>1.2274862075972994</v>
      </c>
      <c r="BD21" s="1">
        <f t="shared" si="12"/>
        <v>0</v>
      </c>
    </row>
    <row r="22" spans="1:56" ht="15.75" thickBot="1" x14ac:dyDescent="0.25">
      <c r="A22" s="13"/>
      <c r="B22" s="17"/>
      <c r="C22" s="44">
        <v>42</v>
      </c>
      <c r="D22" s="55">
        <v>1951.08</v>
      </c>
      <c r="E22" s="55">
        <v>34.232100000000003</v>
      </c>
      <c r="F22" s="55">
        <v>38.627600000000001</v>
      </c>
      <c r="G22" s="55">
        <v>37.869500000000002</v>
      </c>
      <c r="H22" s="55">
        <v>0.96199009999999996</v>
      </c>
      <c r="I22" s="55">
        <v>0.96905439999999998</v>
      </c>
      <c r="J22" s="55">
        <v>0.96943509999999999</v>
      </c>
      <c r="K22" s="55">
        <v>144.05799999999999</v>
      </c>
      <c r="L22" s="55">
        <v>0.51</v>
      </c>
      <c r="M22" s="19">
        <v>0</v>
      </c>
      <c r="N22" s="20">
        <f t="shared" si="0"/>
        <v>4.0016111111111106E-2</v>
      </c>
      <c r="P22" s="60">
        <v>1947.84</v>
      </c>
      <c r="Q22" s="60">
        <v>34.224299999999999</v>
      </c>
      <c r="R22" s="60">
        <v>38.628399999999999</v>
      </c>
      <c r="S22" s="60">
        <v>37.909599999999998</v>
      </c>
      <c r="T22" s="60">
        <v>0.96189670000000005</v>
      </c>
      <c r="U22" s="60">
        <v>0.96898960000000001</v>
      </c>
      <c r="V22" s="60">
        <v>0.96948020000000001</v>
      </c>
      <c r="W22" s="60">
        <v>170.179</v>
      </c>
      <c r="X22" s="60">
        <v>0.5</v>
      </c>
      <c r="Y22" s="19">
        <v>0</v>
      </c>
      <c r="Z22" s="20">
        <f t="shared" si="5"/>
        <v>4.7271944444444443E-2</v>
      </c>
      <c r="AA22" s="10">
        <f t="shared" si="6"/>
        <v>1.181322800538672</v>
      </c>
      <c r="AB22" s="15">
        <f t="shared" si="26"/>
        <v>0.98039215686274506</v>
      </c>
      <c r="AC22" s="15" t="e">
        <f t="shared" si="26"/>
        <v>#DIV/0!</v>
      </c>
      <c r="AD22" s="20">
        <f t="shared" si="7"/>
        <v>1.660618734239503E-3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>
        <f>V22/J22</f>
        <v>1.0000465219383949</v>
      </c>
      <c r="AY22" s="15">
        <f t="shared" si="28"/>
        <v>0.98039215686274506</v>
      </c>
      <c r="AZ22" s="15">
        <f t="shared" si="10"/>
        <v>1.181322800538672</v>
      </c>
      <c r="BA22" s="15"/>
      <c r="BB22" s="15"/>
      <c r="BC22" s="15"/>
      <c r="BD22" s="1">
        <f t="shared" si="12"/>
        <v>0</v>
      </c>
    </row>
    <row r="23" spans="1:56" ht="15.75" thickBot="1" x14ac:dyDescent="0.25">
      <c r="A23" s="13"/>
      <c r="B23" s="13" t="s">
        <v>44</v>
      </c>
      <c r="C23" s="39">
        <v>22</v>
      </c>
      <c r="D23" s="55">
        <v>60065.82</v>
      </c>
      <c r="E23" s="55">
        <v>41.7348</v>
      </c>
      <c r="F23" s="55">
        <v>46.245399999999997</v>
      </c>
      <c r="G23" s="55">
        <v>44.120199999999997</v>
      </c>
      <c r="H23" s="55">
        <v>0.99448029999999998</v>
      </c>
      <c r="I23" s="55">
        <v>0.99403859999999999</v>
      </c>
      <c r="J23" s="55">
        <v>0.99154799999999998</v>
      </c>
      <c r="K23" s="55">
        <v>3026.5169999999998</v>
      </c>
      <c r="L23" s="55">
        <v>1.4510000000000001</v>
      </c>
      <c r="M23" s="10">
        <v>0</v>
      </c>
      <c r="N23" s="11">
        <f t="shared" si="0"/>
        <v>0.84069916666666666</v>
      </c>
      <c r="P23" s="60">
        <v>60122.58</v>
      </c>
      <c r="Q23" s="60">
        <v>41.738199999999999</v>
      </c>
      <c r="R23" s="60">
        <v>46.230200000000004</v>
      </c>
      <c r="S23" s="60">
        <v>44.123100000000001</v>
      </c>
      <c r="T23" s="60">
        <v>0.99447960000000002</v>
      </c>
      <c r="U23" s="60">
        <v>0.99402120000000005</v>
      </c>
      <c r="V23" s="60">
        <v>0.99155729999999997</v>
      </c>
      <c r="W23" s="60">
        <v>3438.6489999999999</v>
      </c>
      <c r="X23" s="60">
        <v>1.3320000000000001</v>
      </c>
      <c r="Y23" s="10">
        <v>0</v>
      </c>
      <c r="Z23" s="11">
        <f t="shared" si="5"/>
        <v>0.9551802777777777</v>
      </c>
      <c r="AA23" s="10">
        <f t="shared" si="6"/>
        <v>1.1361736940516112</v>
      </c>
      <c r="AB23" s="15">
        <f t="shared" si="26"/>
        <v>0.91798759476223291</v>
      </c>
      <c r="AC23" s="15" t="e">
        <f t="shared" si="26"/>
        <v>#DIV/0!</v>
      </c>
      <c r="AD23" s="11">
        <f t="shared" si="7"/>
        <v>9.4496337517746424E-4</v>
      </c>
      <c r="AE23" s="12"/>
      <c r="AF23" s="25">
        <f t="shared" ref="AF23:AK23" si="29">bdRateExtend($D23:$D27,E23:E27,$P23:$P27,Q23:Q27)</f>
        <v>-1.0107662478469059E-3</v>
      </c>
      <c r="AG23" s="30">
        <f t="shared" si="29"/>
        <v>2.6737403970663598E-2</v>
      </c>
      <c r="AH23" s="31">
        <f t="shared" si="29"/>
        <v>-1.3883449091800504E-3</v>
      </c>
      <c r="AI23" s="25">
        <f t="shared" si="29"/>
        <v>-1.0663725946459257E-3</v>
      </c>
      <c r="AJ23" s="30">
        <f t="shared" si="29"/>
        <v>1.823837290814545E-2</v>
      </c>
      <c r="AK23" s="30">
        <f t="shared" si="29"/>
        <v>1.059470325397438E-3</v>
      </c>
      <c r="AL23" s="26"/>
      <c r="AM23" s="21"/>
      <c r="AN23" s="36"/>
      <c r="AO23" s="21"/>
      <c r="AP23" s="21"/>
      <c r="AQ23" s="36"/>
      <c r="AR23" s="30">
        <f t="shared" ref="AR23:AW23" si="30">bdrate($D23:$D26,E23:E26,$P23:$P26,Q23:Q26)</f>
        <v>-7.7646840751255386E-4</v>
      </c>
      <c r="AS23" s="30">
        <f t="shared" si="30"/>
        <v>2.7128955092263984E-2</v>
      </c>
      <c r="AT23" s="31">
        <f t="shared" si="30"/>
        <v>-3.6288036381723066E-3</v>
      </c>
      <c r="AU23" s="25">
        <f t="shared" si="30"/>
        <v>-1.1097248289110295E-3</v>
      </c>
      <c r="AV23" s="30">
        <f t="shared" si="30"/>
        <v>1.7143911240762755E-2</v>
      </c>
      <c r="AW23" s="31">
        <f t="shared" si="30"/>
        <v>-1.8258453558053223E-3</v>
      </c>
      <c r="AX23" s="15"/>
      <c r="AY23" s="15"/>
      <c r="AZ23" s="15"/>
      <c r="BA23" s="15">
        <f>V23/J23</f>
        <v>1.0000093792736207</v>
      </c>
      <c r="BB23" s="15">
        <f t="shared" ref="BB23:BB26" si="31">X23/L23</f>
        <v>0.91798759476223291</v>
      </c>
      <c r="BC23" s="15">
        <f t="shared" si="11"/>
        <v>1.1361736940516109</v>
      </c>
      <c r="BD23" s="1" t="b">
        <f>'AAA_-0.001~-0.01'!BD3=IF((((AF23&lt;0)*AND(AL24&lt;0)*AND(AR23&lt;0))),1,0)</f>
        <v>0</v>
      </c>
    </row>
    <row r="24" spans="1:56" ht="15.75" thickBot="1" x14ac:dyDescent="0.25">
      <c r="A24" s="13"/>
      <c r="B24" s="13"/>
      <c r="C24" s="43">
        <v>27</v>
      </c>
      <c r="D24" s="55">
        <v>9989.4</v>
      </c>
      <c r="E24" s="55">
        <v>37.578899999999997</v>
      </c>
      <c r="F24" s="55">
        <v>44.9617</v>
      </c>
      <c r="G24" s="55">
        <v>42.521900000000002</v>
      </c>
      <c r="H24" s="55">
        <v>0.98421170000000002</v>
      </c>
      <c r="I24" s="55">
        <v>0.99083600000000005</v>
      </c>
      <c r="J24" s="55">
        <v>0.98616649999999995</v>
      </c>
      <c r="K24" s="55">
        <v>1170.952</v>
      </c>
      <c r="L24" s="55">
        <v>0.76500000000000001</v>
      </c>
      <c r="M24" s="15">
        <v>0</v>
      </c>
      <c r="N24" s="16">
        <f t="shared" si="0"/>
        <v>0.32526444444444447</v>
      </c>
      <c r="P24" s="60">
        <v>9980.58</v>
      </c>
      <c r="Q24" s="60">
        <v>37.578699999999998</v>
      </c>
      <c r="R24" s="60">
        <v>44.919499999999999</v>
      </c>
      <c r="S24" s="60">
        <v>42.515099999999997</v>
      </c>
      <c r="T24" s="60">
        <v>0.98422129999999997</v>
      </c>
      <c r="U24" s="60">
        <v>0.99077590000000004</v>
      </c>
      <c r="V24" s="60">
        <v>0.98613390000000001</v>
      </c>
      <c r="W24" s="60">
        <v>1243.7860000000001</v>
      </c>
      <c r="X24" s="60">
        <v>0.82099999999999995</v>
      </c>
      <c r="Y24" s="15">
        <v>0</v>
      </c>
      <c r="Z24" s="16">
        <f t="shared" si="5"/>
        <v>0.34549611111111111</v>
      </c>
      <c r="AA24" s="10">
        <f t="shared" si="6"/>
        <v>1.062200670907091</v>
      </c>
      <c r="AB24" s="15">
        <f t="shared" si="26"/>
        <v>1.0732026143790849</v>
      </c>
      <c r="AC24" s="15" t="e">
        <f t="shared" si="26"/>
        <v>#DIV/0!</v>
      </c>
      <c r="AD24" s="16">
        <f t="shared" si="7"/>
        <v>8.8293591206676169E-4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-1.1597281595318032E-3</v>
      </c>
      <c r="AM24" s="21">
        <f>bdrate($D24:$D27,F24:F27,$P24:$P27,R24:R27)</f>
        <v>2.1080541854642254E-2</v>
      </c>
      <c r="AN24" s="36">
        <f t="shared" ref="AN24" si="32">bdrate($D24:$D27,G24:G27,$P24:$P27,S24:S27)</f>
        <v>-4.3121666495012922E-3</v>
      </c>
      <c r="AO24" s="26">
        <f>bdrate($D24:$D27,H24:H27,$P24:$P27,T24:T27)</f>
        <v>-9.3373155596676582E-4</v>
      </c>
      <c r="AP24" s="21">
        <f>bdrate($D24:$D27,I24:I27,$P24:$P27,U24:U27)</f>
        <v>1.7766762902008848E-2</v>
      </c>
      <c r="AQ24" s="36">
        <f>bdrate($D24:$D27,J24:J27,$P24:$P27,V24:V27)</f>
        <v>2.3308445681546885E-4</v>
      </c>
      <c r="AR24" s="21"/>
      <c r="AS24" s="21"/>
      <c r="AT24" s="36"/>
      <c r="AU24" s="26"/>
      <c r="AV24" s="21"/>
      <c r="AW24" s="36"/>
      <c r="AX24" s="15">
        <f>V24/J24</f>
        <v>0.99996694270186637</v>
      </c>
      <c r="AY24" s="15">
        <f t="shared" ref="AY24:AY27" si="33">X24/L24</f>
        <v>1.0732026143790849</v>
      </c>
      <c r="AZ24" s="15">
        <f t="shared" si="10"/>
        <v>1.062200670907091</v>
      </c>
      <c r="BA24" s="15">
        <f>V24/J24</f>
        <v>0.99996694270186637</v>
      </c>
      <c r="BB24" s="15">
        <f t="shared" si="31"/>
        <v>1.0732026143790849</v>
      </c>
      <c r="BC24" s="15">
        <f t="shared" si="11"/>
        <v>1.062200670907091</v>
      </c>
      <c r="BD24" s="1">
        <f t="shared" si="12"/>
        <v>0</v>
      </c>
    </row>
    <row r="25" spans="1:56" ht="15.75" thickBot="1" x14ac:dyDescent="0.25">
      <c r="A25" s="13"/>
      <c r="B25" s="13"/>
      <c r="C25" s="43">
        <v>32</v>
      </c>
      <c r="D25" s="55">
        <v>5387.22</v>
      </c>
      <c r="E25" s="55">
        <v>36.593600000000002</v>
      </c>
      <c r="F25" s="55">
        <v>43.7592</v>
      </c>
      <c r="G25" s="55">
        <v>41.345399999999998</v>
      </c>
      <c r="H25" s="55">
        <v>0.97899999999999998</v>
      </c>
      <c r="I25" s="55">
        <v>0.98698660000000005</v>
      </c>
      <c r="J25" s="55">
        <v>0.98056270000000001</v>
      </c>
      <c r="K25" s="55">
        <v>541.38499999999999</v>
      </c>
      <c r="L25" s="55">
        <v>0.64</v>
      </c>
      <c r="M25" s="15">
        <v>0</v>
      </c>
      <c r="N25" s="16">
        <f t="shared" si="0"/>
        <v>0.15038472222222221</v>
      </c>
      <c r="P25" s="60">
        <v>5391.36</v>
      </c>
      <c r="Q25" s="60">
        <v>36.594900000000003</v>
      </c>
      <c r="R25" s="60">
        <v>43.730600000000003</v>
      </c>
      <c r="S25" s="60">
        <v>41.375</v>
      </c>
      <c r="T25" s="60">
        <v>0.97900940000000003</v>
      </c>
      <c r="U25" s="60">
        <v>0.98689649999999995</v>
      </c>
      <c r="V25" s="60">
        <v>0.98062729999999998</v>
      </c>
      <c r="W25" s="60">
        <v>562.84100000000001</v>
      </c>
      <c r="X25" s="60">
        <v>0.65300000000000002</v>
      </c>
      <c r="Y25" s="15">
        <v>0</v>
      </c>
      <c r="Z25" s="16">
        <f t="shared" si="5"/>
        <v>0.15634472222222223</v>
      </c>
      <c r="AA25" s="10">
        <f t="shared" si="6"/>
        <v>1.0396316853994847</v>
      </c>
      <c r="AB25" s="15">
        <f t="shared" si="26"/>
        <v>1.0203125</v>
      </c>
      <c r="AC25" s="15" t="e">
        <f t="shared" si="26"/>
        <v>#DIV/0!</v>
      </c>
      <c r="AD25" s="16">
        <f t="shared" si="7"/>
        <v>7.6848541548320238E-4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>
        <f>V25/J25</f>
        <v>1.0000658805398166</v>
      </c>
      <c r="AY25" s="15">
        <f t="shared" si="33"/>
        <v>1.0203125</v>
      </c>
      <c r="AZ25" s="15">
        <f t="shared" si="10"/>
        <v>1.0396316853994847</v>
      </c>
      <c r="BA25" s="15">
        <f>V25/J25</f>
        <v>1.0000658805398166</v>
      </c>
      <c r="BB25" s="15">
        <f t="shared" si="31"/>
        <v>1.0203125</v>
      </c>
      <c r="BC25" s="15">
        <f t="shared" si="11"/>
        <v>1.0396316853994847</v>
      </c>
      <c r="BD25" s="1">
        <f t="shared" si="12"/>
        <v>0</v>
      </c>
    </row>
    <row r="26" spans="1:56" ht="15.75" thickBot="1" x14ac:dyDescent="0.25">
      <c r="A26" s="13"/>
      <c r="B26" s="13"/>
      <c r="C26" s="43">
        <v>37</v>
      </c>
      <c r="D26" s="55">
        <v>3002.88</v>
      </c>
      <c r="E26" s="55">
        <v>35.159999999999997</v>
      </c>
      <c r="F26" s="55">
        <v>42.619900000000001</v>
      </c>
      <c r="G26" s="55">
        <v>39.697800000000001</v>
      </c>
      <c r="H26" s="55">
        <v>0.96927790000000003</v>
      </c>
      <c r="I26" s="55">
        <v>0.98220399999999997</v>
      </c>
      <c r="J26" s="55">
        <v>0.96976039999999997</v>
      </c>
      <c r="K26" s="55">
        <v>270.83999999999997</v>
      </c>
      <c r="L26" s="55">
        <v>0.52900000000000003</v>
      </c>
      <c r="M26" s="15">
        <v>0</v>
      </c>
      <c r="N26" s="16">
        <f t="shared" si="0"/>
        <v>7.5233333333333333E-2</v>
      </c>
      <c r="P26" s="60">
        <v>2995.26</v>
      </c>
      <c r="Q26" s="60">
        <v>35.160699999999999</v>
      </c>
      <c r="R26" s="60">
        <v>42.548499999999997</v>
      </c>
      <c r="S26" s="60">
        <v>39.699300000000001</v>
      </c>
      <c r="T26" s="60">
        <v>0.96927540000000001</v>
      </c>
      <c r="U26" s="60">
        <v>0.98189769999999998</v>
      </c>
      <c r="V26" s="60">
        <v>0.9697789</v>
      </c>
      <c r="W26" s="60">
        <v>276.17099999999999</v>
      </c>
      <c r="X26" s="60">
        <v>0.60299999999999998</v>
      </c>
      <c r="Y26" s="15">
        <v>0</v>
      </c>
      <c r="Z26" s="16">
        <f t="shared" si="5"/>
        <v>7.6714166666666667E-2</v>
      </c>
      <c r="AA26" s="10">
        <f t="shared" si="6"/>
        <v>1.0196832077979621</v>
      </c>
      <c r="AB26" s="15">
        <f t="shared" si="26"/>
        <v>1.1398865784499055</v>
      </c>
      <c r="AC26" s="15" t="e">
        <f t="shared" si="26"/>
        <v>#DIV/0!</v>
      </c>
      <c r="AD26" s="16">
        <f t="shared" si="7"/>
        <v>2.5375639386188893E-3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>
        <f>V26/J26</f>
        <v>1.0000190768771338</v>
      </c>
      <c r="AY26" s="15">
        <f t="shared" si="33"/>
        <v>1.1398865784499055</v>
      </c>
      <c r="AZ26" s="15">
        <f t="shared" si="10"/>
        <v>1.0196832077979618</v>
      </c>
      <c r="BA26" s="15">
        <f>V26/J26</f>
        <v>1.0000190768771338</v>
      </c>
      <c r="BB26" s="15">
        <f t="shared" si="31"/>
        <v>1.1398865784499055</v>
      </c>
      <c r="BC26" s="15">
        <f t="shared" si="11"/>
        <v>1.0196832077979618</v>
      </c>
      <c r="BD26" s="1">
        <f t="shared" si="12"/>
        <v>0</v>
      </c>
    </row>
    <row r="27" spans="1:56" ht="15.75" thickBot="1" x14ac:dyDescent="0.25">
      <c r="A27" s="13"/>
      <c r="B27" s="17"/>
      <c r="C27" s="44">
        <v>42</v>
      </c>
      <c r="D27" s="55">
        <v>1608</v>
      </c>
      <c r="E27" s="55">
        <v>33.255299999999998</v>
      </c>
      <c r="F27" s="55">
        <v>41.583399999999997</v>
      </c>
      <c r="G27" s="55">
        <v>38.837299999999999</v>
      </c>
      <c r="H27" s="55">
        <v>0.95043560000000005</v>
      </c>
      <c r="I27" s="55">
        <v>0.97720079999999998</v>
      </c>
      <c r="J27" s="55">
        <v>0.96220300000000003</v>
      </c>
      <c r="K27" s="55">
        <v>123.259</v>
      </c>
      <c r="L27" s="55">
        <v>0.46700000000000003</v>
      </c>
      <c r="M27" s="19">
        <v>0</v>
      </c>
      <c r="N27" s="20">
        <f t="shared" si="0"/>
        <v>3.4238611111111109E-2</v>
      </c>
      <c r="P27" s="60">
        <v>1604.16</v>
      </c>
      <c r="Q27" s="60">
        <v>33.242699999999999</v>
      </c>
      <c r="R27" s="60">
        <v>41.597200000000001</v>
      </c>
      <c r="S27" s="60">
        <v>38.813099999999999</v>
      </c>
      <c r="T27" s="60">
        <v>0.95018409999999998</v>
      </c>
      <c r="U27" s="60">
        <v>0.97733029999999999</v>
      </c>
      <c r="V27" s="60">
        <v>0.96187270000000002</v>
      </c>
      <c r="W27" s="60">
        <v>123.78100000000001</v>
      </c>
      <c r="X27" s="60">
        <v>0.501</v>
      </c>
      <c r="Y27" s="19">
        <v>0</v>
      </c>
      <c r="Z27" s="20">
        <f t="shared" si="5"/>
        <v>3.4383611111111115E-2</v>
      </c>
      <c r="AA27" s="10">
        <f t="shared" si="6"/>
        <v>1.0042349848692591</v>
      </c>
      <c r="AB27" s="15">
        <f t="shared" si="26"/>
        <v>1.0728051391862954</v>
      </c>
      <c r="AC27" s="15" t="e">
        <f t="shared" si="26"/>
        <v>#DIV/0!</v>
      </c>
      <c r="AD27" s="20">
        <f t="shared" si="7"/>
        <v>2.3880597014924866E-3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>
        <f>V27/J27</f>
        <v>0.99965672524404936</v>
      </c>
      <c r="AY27" s="15">
        <f t="shared" si="33"/>
        <v>1.0728051391862954</v>
      </c>
      <c r="AZ27" s="15">
        <f t="shared" si="10"/>
        <v>1.0042349848692593</v>
      </c>
      <c r="BA27" s="15"/>
      <c r="BB27" s="15"/>
      <c r="BC27" s="15"/>
      <c r="BD27" s="1">
        <f t="shared" si="12"/>
        <v>0</v>
      </c>
    </row>
    <row r="28" spans="1:56" ht="15.75" thickBot="1" x14ac:dyDescent="0.25">
      <c r="A28" s="13"/>
      <c r="B28" s="13" t="s">
        <v>45</v>
      </c>
      <c r="C28" s="39">
        <v>22</v>
      </c>
      <c r="D28" s="55">
        <v>48051.4</v>
      </c>
      <c r="E28" s="55">
        <v>47.258000000000003</v>
      </c>
      <c r="F28" s="55">
        <v>40.761600000000001</v>
      </c>
      <c r="G28" s="55">
        <v>41.324800000000003</v>
      </c>
      <c r="H28" s="55">
        <v>0.99746360000000001</v>
      </c>
      <c r="I28" s="55">
        <v>0.99217290000000002</v>
      </c>
      <c r="J28" s="55">
        <v>0.9910911</v>
      </c>
      <c r="K28" s="55">
        <v>1837.3530000000001</v>
      </c>
      <c r="L28" s="55">
        <v>1.1240000000000001</v>
      </c>
      <c r="M28" s="10">
        <v>0</v>
      </c>
      <c r="N28" s="11">
        <f t="shared" si="0"/>
        <v>0.51037583333333336</v>
      </c>
      <c r="P28" s="60">
        <v>48074.5</v>
      </c>
      <c r="Q28" s="60">
        <v>47.2637</v>
      </c>
      <c r="R28" s="60">
        <v>40.765300000000003</v>
      </c>
      <c r="S28" s="60">
        <v>41.332900000000002</v>
      </c>
      <c r="T28" s="60">
        <v>0.99746970000000001</v>
      </c>
      <c r="U28" s="60">
        <v>0.99219579999999996</v>
      </c>
      <c r="V28" s="60">
        <v>0.99113640000000003</v>
      </c>
      <c r="W28" s="60">
        <v>1874.73</v>
      </c>
      <c r="X28" s="60">
        <v>1.0980000000000001</v>
      </c>
      <c r="Y28" s="10">
        <v>0</v>
      </c>
      <c r="Z28" s="11">
        <f t="shared" si="5"/>
        <v>0.52075833333333332</v>
      </c>
      <c r="AA28" s="10">
        <f t="shared" si="6"/>
        <v>1.0203428519179494</v>
      </c>
      <c r="AB28" s="15">
        <f t="shared" si="26"/>
        <v>0.97686832740213525</v>
      </c>
      <c r="AC28" s="15" t="e">
        <f t="shared" si="26"/>
        <v>#DIV/0!</v>
      </c>
      <c r="AD28" s="11">
        <f t="shared" si="7"/>
        <v>4.8073521270969305E-4</v>
      </c>
      <c r="AE28" s="12"/>
      <c r="AF28" s="25">
        <f t="shared" ref="AF28:AK28" si="34">bdRateExtend($D28:$D32,E28:E32,$P28:$P32,Q28:Q32)</f>
        <v>-5.0512144271475101E-4</v>
      </c>
      <c r="AG28" s="30">
        <f t="shared" si="34"/>
        <v>1.2890668839329322E-3</v>
      </c>
      <c r="AH28" s="31">
        <f t="shared" si="34"/>
        <v>-2.0364310605869296E-3</v>
      </c>
      <c r="AI28" s="25">
        <f>bdRateExtend($D28:$D32,H28:H32,$P28:$P32,T28:T32)</f>
        <v>7.4092192901775711E-4</v>
      </c>
      <c r="AJ28" s="30">
        <f t="shared" si="34"/>
        <v>-6.663718878631153E-4</v>
      </c>
      <c r="AK28" s="30">
        <f t="shared" si="34"/>
        <v>-3.1490695867708585E-3</v>
      </c>
      <c r="AL28" s="45"/>
      <c r="AM28" s="46"/>
      <c r="AN28" s="47"/>
      <c r="AO28" s="46"/>
      <c r="AP28" s="46"/>
      <c r="AQ28" s="47"/>
      <c r="AR28" s="30">
        <f t="shared" ref="AR28:AW28" si="35">bdrate($D28:$D31,E28:E31,$P28:$P31,Q28:Q31)</f>
        <v>-2.5977550548417216E-4</v>
      </c>
      <c r="AS28" s="30">
        <f t="shared" si="35"/>
        <v>8.7243884061694033E-4</v>
      </c>
      <c r="AT28" s="31">
        <f t="shared" si="35"/>
        <v>-3.067741118356837E-3</v>
      </c>
      <c r="AU28" s="25">
        <f t="shared" si="35"/>
        <v>9.2022506694711126E-6</v>
      </c>
      <c r="AV28" s="30">
        <f t="shared" si="35"/>
        <v>-1.8255902822517101E-3</v>
      </c>
      <c r="AW28" s="31">
        <f t="shared" si="35"/>
        <v>-9.0119207998661244E-3</v>
      </c>
      <c r="AX28" s="15"/>
      <c r="AY28" s="15"/>
      <c r="AZ28" s="15"/>
      <c r="BA28" s="15">
        <f>V28/J28</f>
        <v>1.0000457072008819</v>
      </c>
      <c r="BB28" s="15">
        <f t="shared" ref="BB28:BB31" si="36">X28/L28</f>
        <v>0.97686832740213525</v>
      </c>
      <c r="BC28" s="15">
        <f t="shared" si="11"/>
        <v>1.0203428519179494</v>
      </c>
      <c r="BD28" s="1">
        <f t="shared" si="12"/>
        <v>1</v>
      </c>
    </row>
    <row r="29" spans="1:56" ht="15.75" thickBot="1" x14ac:dyDescent="0.25">
      <c r="A29" s="13"/>
      <c r="B29" s="13"/>
      <c r="C29" s="43">
        <v>27</v>
      </c>
      <c r="D29" s="55">
        <v>26154.799999999999</v>
      </c>
      <c r="E29" s="55">
        <v>43.455100000000002</v>
      </c>
      <c r="F29" s="55">
        <v>36.7104</v>
      </c>
      <c r="G29" s="55">
        <v>37.781500000000001</v>
      </c>
      <c r="H29" s="55">
        <v>0.993668</v>
      </c>
      <c r="I29" s="55">
        <v>0.98099899999999995</v>
      </c>
      <c r="J29" s="55">
        <v>0.97997040000000002</v>
      </c>
      <c r="K29" s="55">
        <v>1307.0920000000001</v>
      </c>
      <c r="L29" s="55">
        <v>0.999</v>
      </c>
      <c r="M29" s="15">
        <v>0</v>
      </c>
      <c r="N29" s="16">
        <f t="shared" si="0"/>
        <v>0.36308111111111113</v>
      </c>
      <c r="P29" s="60">
        <v>26145.35</v>
      </c>
      <c r="Q29" s="60">
        <v>43.451900000000002</v>
      </c>
      <c r="R29" s="60">
        <v>36.703899999999997</v>
      </c>
      <c r="S29" s="60">
        <v>37.7898</v>
      </c>
      <c r="T29" s="60">
        <v>0.99367039999999995</v>
      </c>
      <c r="U29" s="60">
        <v>0.98100299999999996</v>
      </c>
      <c r="V29" s="60">
        <v>0.98003479999999998</v>
      </c>
      <c r="W29" s="60">
        <v>1323.961</v>
      </c>
      <c r="X29" s="60">
        <v>0.97799999999999998</v>
      </c>
      <c r="Y29" s="15">
        <v>0</v>
      </c>
      <c r="Z29" s="16">
        <f t="shared" si="5"/>
        <v>0.36776694444444447</v>
      </c>
      <c r="AA29" s="10">
        <f t="shared" si="6"/>
        <v>1.0129057480269177</v>
      </c>
      <c r="AB29" s="15">
        <f t="shared" si="26"/>
        <v>0.97897897897897901</v>
      </c>
      <c r="AC29" s="15" t="e">
        <f t="shared" si="26"/>
        <v>#DIV/0!</v>
      </c>
      <c r="AD29" s="16">
        <f t="shared" si="7"/>
        <v>3.6131035221071193E-4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-6.8668506117974815E-4</v>
      </c>
      <c r="AM29" s="21">
        <f>bdrate($D29:$D32,F29:F32,$P29:$P32,R29:R32)</f>
        <v>1.71042773335639E-3</v>
      </c>
      <c r="AN29" s="36">
        <f t="shared" ref="AN29" si="37">bdrate($D29:$D32,G29:G32,$P29:$P32,S29:S32)</f>
        <v>-3.4492419227304394E-3</v>
      </c>
      <c r="AO29" s="26">
        <f>bdrate($D29:$D32,H29:H32,$P29:$P32,T29:T32)</f>
        <v>8.3564201040542407E-4</v>
      </c>
      <c r="AP29" s="21">
        <f>bdrate($D29:$D32,I29:I32,$P29:$P32,U29:U32)</f>
        <v>-7.6758173253910211E-4</v>
      </c>
      <c r="AQ29" s="36">
        <f>bdrate($D29:$D32,J29:J32,$P29:$P32,V29:V32)</f>
        <v>-3.7725761610294395E-3</v>
      </c>
      <c r="AR29" s="21"/>
      <c r="AS29" s="21"/>
      <c r="AT29" s="36"/>
      <c r="AU29" s="26"/>
      <c r="AV29" s="21"/>
      <c r="AW29" s="36"/>
      <c r="AX29" s="15">
        <f>V29/J29</f>
        <v>1.0000657162706139</v>
      </c>
      <c r="AY29" s="15">
        <f t="shared" ref="AY29:AY32" si="38">X29/L29</f>
        <v>0.97897897897897901</v>
      </c>
      <c r="AZ29" s="15">
        <f t="shared" si="10"/>
        <v>1.0129057480269177</v>
      </c>
      <c r="BA29" s="15">
        <f>V29/J29</f>
        <v>1.0000657162706139</v>
      </c>
      <c r="BB29" s="15">
        <f t="shared" si="36"/>
        <v>0.97897897897897901</v>
      </c>
      <c r="BC29" s="15">
        <f t="shared" si="11"/>
        <v>1.0129057480269177</v>
      </c>
      <c r="BD29" s="1">
        <f t="shared" si="12"/>
        <v>0</v>
      </c>
    </row>
    <row r="30" spans="1:56" ht="15.75" thickBot="1" x14ac:dyDescent="0.25">
      <c r="A30" s="13"/>
      <c r="B30" s="13"/>
      <c r="C30" s="43">
        <v>32</v>
      </c>
      <c r="D30" s="55">
        <v>13873.05</v>
      </c>
      <c r="E30" s="55">
        <v>39.771500000000003</v>
      </c>
      <c r="F30" s="55">
        <v>33.796300000000002</v>
      </c>
      <c r="G30" s="55">
        <v>35.299199999999999</v>
      </c>
      <c r="H30" s="55">
        <v>0.98488059999999999</v>
      </c>
      <c r="I30" s="55">
        <v>0.96511959999999997</v>
      </c>
      <c r="J30" s="55">
        <v>0.96295260000000005</v>
      </c>
      <c r="K30" s="55">
        <v>907.17700000000002</v>
      </c>
      <c r="L30" s="55">
        <v>0.872</v>
      </c>
      <c r="M30" s="15">
        <v>0</v>
      </c>
      <c r="N30" s="16">
        <f t="shared" si="0"/>
        <v>0.25199361111111113</v>
      </c>
      <c r="P30" s="60">
        <v>13874.65</v>
      </c>
      <c r="Q30" s="60">
        <v>39.773899999999998</v>
      </c>
      <c r="R30" s="60">
        <v>33.793300000000002</v>
      </c>
      <c r="S30" s="60">
        <v>35.329000000000001</v>
      </c>
      <c r="T30" s="60">
        <v>0.98488770000000003</v>
      </c>
      <c r="U30" s="60">
        <v>0.96524080000000001</v>
      </c>
      <c r="V30" s="60">
        <v>0.96349530000000005</v>
      </c>
      <c r="W30" s="60">
        <v>932.70699999999999</v>
      </c>
      <c r="X30" s="60">
        <v>0.80900000000000005</v>
      </c>
      <c r="Y30" s="15">
        <v>0</v>
      </c>
      <c r="Z30" s="16">
        <f t="shared" si="5"/>
        <v>0.25908527777777779</v>
      </c>
      <c r="AA30" s="10">
        <f t="shared" si="6"/>
        <v>1.02814224787445</v>
      </c>
      <c r="AB30" s="15">
        <f t="shared" si="26"/>
        <v>0.92775229357798172</v>
      </c>
      <c r="AC30" s="15" t="e">
        <f t="shared" si="26"/>
        <v>#DIV/0!</v>
      </c>
      <c r="AD30" s="16">
        <f t="shared" si="7"/>
        <v>1.1533152407007572E-4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>
        <f>V30/J30</f>
        <v>1.0005635791419016</v>
      </c>
      <c r="AY30" s="15">
        <f t="shared" si="38"/>
        <v>0.92775229357798172</v>
      </c>
      <c r="AZ30" s="15">
        <f t="shared" si="10"/>
        <v>1.02814224787445</v>
      </c>
      <c r="BA30" s="15">
        <f>V30/J30</f>
        <v>1.0005635791419016</v>
      </c>
      <c r="BB30" s="15">
        <f t="shared" si="36"/>
        <v>0.92775229357798172</v>
      </c>
      <c r="BC30" s="15">
        <f t="shared" si="11"/>
        <v>1.02814224787445</v>
      </c>
      <c r="BD30" s="1">
        <f t="shared" si="12"/>
        <v>0</v>
      </c>
    </row>
    <row r="31" spans="1:56" ht="15.75" thickBot="1" x14ac:dyDescent="0.25">
      <c r="A31" s="13"/>
      <c r="B31" s="13"/>
      <c r="C31" s="43">
        <v>37</v>
      </c>
      <c r="D31" s="55">
        <v>7454.15</v>
      </c>
      <c r="E31" s="55">
        <v>36.262999999999998</v>
      </c>
      <c r="F31" s="55">
        <v>31.7028</v>
      </c>
      <c r="G31" s="55">
        <v>33.405500000000004</v>
      </c>
      <c r="H31" s="55">
        <v>0.96621210000000002</v>
      </c>
      <c r="I31" s="55">
        <v>0.93891820000000004</v>
      </c>
      <c r="J31" s="55">
        <v>0.94061439999999996</v>
      </c>
      <c r="K31" s="55">
        <v>576.43200000000002</v>
      </c>
      <c r="L31" s="55">
        <v>0.755</v>
      </c>
      <c r="M31" s="15">
        <v>0</v>
      </c>
      <c r="N31" s="16">
        <f t="shared" si="0"/>
        <v>0.16012000000000001</v>
      </c>
      <c r="P31" s="60">
        <v>7457.2</v>
      </c>
      <c r="Q31" s="60">
        <v>36.273000000000003</v>
      </c>
      <c r="R31" s="60">
        <v>31.695799999999998</v>
      </c>
      <c r="S31" s="60">
        <v>33.394100000000002</v>
      </c>
      <c r="T31" s="60">
        <v>0.96616429999999998</v>
      </c>
      <c r="U31" s="60">
        <v>0.93884970000000001</v>
      </c>
      <c r="V31" s="60">
        <v>0.94050440000000002</v>
      </c>
      <c r="W31" s="60">
        <v>587.12</v>
      </c>
      <c r="X31" s="60">
        <v>0.65900000000000003</v>
      </c>
      <c r="Y31" s="15">
        <v>0</v>
      </c>
      <c r="Z31" s="16">
        <f t="shared" si="5"/>
        <v>0.16308888888888889</v>
      </c>
      <c r="AA31" s="10">
        <f t="shared" si="6"/>
        <v>1.0185416493185666</v>
      </c>
      <c r="AB31" s="15">
        <f t="shared" si="26"/>
        <v>0.87284768211920538</v>
      </c>
      <c r="AC31" s="15" t="e">
        <f t="shared" si="26"/>
        <v>#DIV/0!</v>
      </c>
      <c r="AD31" s="16">
        <f t="shared" si="7"/>
        <v>4.0916804732936445E-4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>
        <f>V31/J31</f>
        <v>0.99988305516054199</v>
      </c>
      <c r="AY31" s="15">
        <f t="shared" si="38"/>
        <v>0.87284768211920538</v>
      </c>
      <c r="AZ31" s="15">
        <f t="shared" si="10"/>
        <v>1.0185416493185666</v>
      </c>
      <c r="BA31" s="15">
        <f>V31/J31</f>
        <v>0.99988305516054199</v>
      </c>
      <c r="BB31" s="15">
        <f t="shared" si="36"/>
        <v>0.87284768211920538</v>
      </c>
      <c r="BC31" s="15">
        <f t="shared" si="11"/>
        <v>1.0185416493185666</v>
      </c>
      <c r="BD31" s="1">
        <f t="shared" si="12"/>
        <v>0</v>
      </c>
    </row>
    <row r="32" spans="1:56" ht="15.75" thickBot="1" x14ac:dyDescent="0.25">
      <c r="A32" s="13"/>
      <c r="B32" s="17"/>
      <c r="C32" s="44">
        <v>42</v>
      </c>
      <c r="D32" s="55">
        <v>3685.35</v>
      </c>
      <c r="E32" s="55">
        <v>33.1509</v>
      </c>
      <c r="F32" s="55">
        <v>30.258099999999999</v>
      </c>
      <c r="G32" s="55">
        <v>32.2667</v>
      </c>
      <c r="H32" s="55">
        <v>0.93639269999999997</v>
      </c>
      <c r="I32" s="55">
        <v>0.91253759999999995</v>
      </c>
      <c r="J32" s="55">
        <v>0.91952009999999995</v>
      </c>
      <c r="K32" s="55">
        <v>319.39400000000001</v>
      </c>
      <c r="L32" s="55">
        <v>0.56599999999999995</v>
      </c>
      <c r="M32" s="19">
        <v>0</v>
      </c>
      <c r="N32" s="20">
        <f t="shared" si="0"/>
        <v>8.8720555555555553E-2</v>
      </c>
      <c r="P32" s="60">
        <v>3687.65</v>
      </c>
      <c r="Q32" s="60">
        <v>33.154699999999998</v>
      </c>
      <c r="R32" s="60">
        <v>30.252300000000002</v>
      </c>
      <c r="S32" s="60">
        <v>32.275700000000001</v>
      </c>
      <c r="T32" s="60">
        <v>0.93643860000000001</v>
      </c>
      <c r="U32" s="60">
        <v>0.91268890000000003</v>
      </c>
      <c r="V32" s="60">
        <v>0.91931779999999996</v>
      </c>
      <c r="W32" s="60">
        <v>326.846</v>
      </c>
      <c r="X32" s="60">
        <v>0.55400000000000005</v>
      </c>
      <c r="Y32" s="19">
        <v>0</v>
      </c>
      <c r="Z32" s="20">
        <f t="shared" si="5"/>
        <v>9.0790555555555555E-2</v>
      </c>
      <c r="AA32" s="10">
        <f t="shared" si="6"/>
        <v>1.0233316843772895</v>
      </c>
      <c r="AB32" s="15">
        <f t="shared" si="26"/>
        <v>0.97879858657243834</v>
      </c>
      <c r="AC32" s="15" t="e">
        <f t="shared" si="26"/>
        <v>#DIV/0!</v>
      </c>
      <c r="AD32" s="20">
        <f t="shared" si="7"/>
        <v>6.2409269133194463E-4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>
        <f>V32/J32</f>
        <v>0.99977999393379224</v>
      </c>
      <c r="AY32" s="15">
        <f t="shared" si="38"/>
        <v>0.97879858657243834</v>
      </c>
      <c r="AZ32" s="15">
        <f t="shared" si="10"/>
        <v>1.0233316843772895</v>
      </c>
      <c r="BA32" s="15"/>
      <c r="BB32" s="15"/>
      <c r="BC32" s="15"/>
      <c r="BD32" s="1">
        <f t="shared" si="12"/>
        <v>0</v>
      </c>
    </row>
    <row r="33" spans="1:56" ht="15.75" thickBot="1" x14ac:dyDescent="0.25">
      <c r="A33" s="48" t="s">
        <v>1</v>
      </c>
      <c r="B33" s="8" t="s">
        <v>3</v>
      </c>
      <c r="C33" s="39">
        <v>22</v>
      </c>
      <c r="D33" s="55">
        <v>6245.8</v>
      </c>
      <c r="E33" s="55">
        <v>41.873100000000001</v>
      </c>
      <c r="F33" s="55">
        <v>45.771799999999999</v>
      </c>
      <c r="G33" s="55">
        <v>47.801900000000003</v>
      </c>
      <c r="H33" s="55">
        <v>0.99408819999999998</v>
      </c>
      <c r="I33" s="55">
        <v>0.99565170000000003</v>
      </c>
      <c r="J33" s="55">
        <v>0.997255</v>
      </c>
      <c r="K33" s="55">
        <v>1034.3779999999999</v>
      </c>
      <c r="L33" s="55">
        <v>0.312</v>
      </c>
      <c r="M33" s="10">
        <v>0</v>
      </c>
      <c r="N33" s="11">
        <f t="shared" si="0"/>
        <v>0.28732722222222218</v>
      </c>
      <c r="P33" s="60">
        <v>6220</v>
      </c>
      <c r="Q33" s="60">
        <v>41.862200000000001</v>
      </c>
      <c r="R33" s="60">
        <v>45.777999999999999</v>
      </c>
      <c r="S33" s="60">
        <v>47.813400000000001</v>
      </c>
      <c r="T33" s="60">
        <v>0.99408430000000003</v>
      </c>
      <c r="U33" s="60">
        <v>0.99565910000000002</v>
      </c>
      <c r="V33" s="60">
        <v>0.99726930000000003</v>
      </c>
      <c r="W33" s="60">
        <v>919.53499999999997</v>
      </c>
      <c r="X33" s="60">
        <v>0.314</v>
      </c>
      <c r="Y33" s="10">
        <v>0</v>
      </c>
      <c r="Z33" s="11">
        <f t="shared" si="5"/>
        <v>0.25542638888888886</v>
      </c>
      <c r="AA33" s="10">
        <f t="shared" si="6"/>
        <v>0.88897385675256047</v>
      </c>
      <c r="AB33" s="10">
        <f>X33/L33</f>
        <v>1.0064102564102564</v>
      </c>
      <c r="AC33" s="10" t="e">
        <f>Y33/M33</f>
        <v>#DIV/0!</v>
      </c>
      <c r="AD33" s="11">
        <f t="shared" si="7"/>
        <v>4.1307758813923243E-3</v>
      </c>
      <c r="AE33" s="40"/>
      <c r="AF33" s="25">
        <f t="shared" ref="AF33:AK33" si="39">bdRateExtend($D33:$D37,E33:E37,$P33:$P37,Q33:Q37)</f>
        <v>-5.592213694900483E-4</v>
      </c>
      <c r="AG33" s="30">
        <f t="shared" si="39"/>
        <v>2.2605138774078881E-3</v>
      </c>
      <c r="AH33" s="31">
        <f t="shared" si="39"/>
        <v>1.7550290041193017E-2</v>
      </c>
      <c r="AI33" s="25">
        <f t="shared" si="39"/>
        <v>1.1073755514205974E-3</v>
      </c>
      <c r="AJ33" s="30">
        <f t="shared" si="39"/>
        <v>1.0238822125070879E-2</v>
      </c>
      <c r="AK33" s="30">
        <f t="shared" si="39"/>
        <v>1.9756982501622611E-2</v>
      </c>
      <c r="AL33" s="26"/>
      <c r="AM33" s="21"/>
      <c r="AN33" s="36"/>
      <c r="AO33" s="21"/>
      <c r="AP33" s="21"/>
      <c r="AQ33" s="36"/>
      <c r="AR33" s="30">
        <f t="shared" ref="AR33:AW33" si="40">bdrate($D33:$D36,E33:E36,$P33:$P36,Q33:Q36)</f>
        <v>-1.023968087325744E-3</v>
      </c>
      <c r="AS33" s="30">
        <f t="shared" si="40"/>
        <v>2.4951438960802985E-3</v>
      </c>
      <c r="AT33" s="31">
        <f t="shared" si="40"/>
        <v>1.5068933564428955E-2</v>
      </c>
      <c r="AU33" s="25">
        <f t="shared" si="40"/>
        <v>1.9109665390826258E-3</v>
      </c>
      <c r="AV33" s="30">
        <f t="shared" si="40"/>
        <v>1.4442029844643711E-2</v>
      </c>
      <c r="AW33" s="31">
        <f t="shared" si="40"/>
        <v>1.0713691447035822E-2</v>
      </c>
      <c r="AX33" s="10"/>
      <c r="AY33" s="10"/>
      <c r="AZ33" s="10"/>
      <c r="BA33" s="10">
        <f>V33/J33</f>
        <v>1.0000143393615475</v>
      </c>
      <c r="BB33" s="10">
        <f t="shared" ref="BB33:BB36" si="41">X33/L33</f>
        <v>1.0064102564102564</v>
      </c>
      <c r="BC33" s="10">
        <f t="shared" si="11"/>
        <v>0.88897385675256047</v>
      </c>
      <c r="BD33" s="1">
        <f t="shared" si="12"/>
        <v>1</v>
      </c>
    </row>
    <row r="34" spans="1:56" ht="15.75" thickBot="1" x14ac:dyDescent="0.25">
      <c r="A34" s="13" t="s">
        <v>20</v>
      </c>
      <c r="C34" s="43">
        <v>27</v>
      </c>
      <c r="D34" s="55">
        <v>2406.0500000000002</v>
      </c>
      <c r="E34" s="55">
        <v>39.974400000000003</v>
      </c>
      <c r="F34" s="55">
        <v>44.491300000000003</v>
      </c>
      <c r="G34" s="55">
        <v>45.711199999999998</v>
      </c>
      <c r="H34" s="55">
        <v>0.99043020000000004</v>
      </c>
      <c r="I34" s="55">
        <v>0.99301569999999995</v>
      </c>
      <c r="J34" s="55">
        <v>0.99501629999999996</v>
      </c>
      <c r="K34" s="55">
        <v>426.53500000000003</v>
      </c>
      <c r="L34" s="55">
        <v>0.25600000000000001</v>
      </c>
      <c r="M34" s="15">
        <v>0</v>
      </c>
      <c r="N34" s="16">
        <f t="shared" si="0"/>
        <v>0.11848194444444445</v>
      </c>
      <c r="P34" s="60">
        <v>2394.65</v>
      </c>
      <c r="Q34" s="60">
        <v>39.9666</v>
      </c>
      <c r="R34" s="60">
        <v>44.492400000000004</v>
      </c>
      <c r="S34" s="60">
        <v>45.668599999999998</v>
      </c>
      <c r="T34" s="60">
        <v>0.99038300000000001</v>
      </c>
      <c r="U34" s="60">
        <v>0.99297809999999997</v>
      </c>
      <c r="V34" s="60">
        <v>0.99502930000000001</v>
      </c>
      <c r="W34" s="60">
        <v>399.46800000000002</v>
      </c>
      <c r="X34" s="60">
        <v>0.32900000000000001</v>
      </c>
      <c r="Y34" s="15">
        <v>0</v>
      </c>
      <c r="Z34" s="16">
        <f t="shared" si="5"/>
        <v>0.11096333333333334</v>
      </c>
      <c r="AA34" s="10">
        <f t="shared" si="6"/>
        <v>0.93654213604979664</v>
      </c>
      <c r="AB34" s="15">
        <f t="shared" ref="AB34:AC57" si="42">X34/L34</f>
        <v>1.28515625</v>
      </c>
      <c r="AC34" s="15" t="e">
        <f t="shared" si="42"/>
        <v>#DIV/0!</v>
      </c>
      <c r="AD34" s="16">
        <f t="shared" si="7"/>
        <v>4.7380561501216062E-3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-8.8256124039853834E-4</v>
      </c>
      <c r="AM34" s="21">
        <f>bdrate($D34:$D37,F34:F37,$P34:$P37,R34:R37)</f>
        <v>6.3408979063364068E-3</v>
      </c>
      <c r="AN34" s="36">
        <f t="shared" ref="AN34" si="43">bdrate($D34:$D37,G34:G37,$P34:$P37,S34:S37)</f>
        <v>2.4329008860708434E-2</v>
      </c>
      <c r="AO34" s="26">
        <f>bdrate($D34:$D37,H34:H37,$P34:$P37,T34:T37)</f>
        <v>9.542338054220334E-4</v>
      </c>
      <c r="AP34" s="21">
        <f>bdrate($D34:$D37,I34:I37,$P34:$P37,U34:U37)</f>
        <v>1.2731490876843221E-2</v>
      </c>
      <c r="AQ34" s="36">
        <f>bdrate($D34:$D37,J34:J37,$P34:$P37,V34:V37)</f>
        <v>2.5473502690842587E-2</v>
      </c>
      <c r="AR34" s="21"/>
      <c r="AS34" s="21"/>
      <c r="AT34" s="36"/>
      <c r="AU34" s="26"/>
      <c r="AV34" s="21"/>
      <c r="AW34" s="36"/>
      <c r="AX34" s="15">
        <f>V34/J34</f>
        <v>1.0000130651126018</v>
      </c>
      <c r="AY34" s="15">
        <f t="shared" ref="AY34:AY37" si="44">X34/L34</f>
        <v>1.28515625</v>
      </c>
      <c r="AZ34" s="15">
        <f t="shared" si="10"/>
        <v>0.93654213604979675</v>
      </c>
      <c r="BA34" s="15">
        <f>V34/J34</f>
        <v>1.0000130651126018</v>
      </c>
      <c r="BB34" s="15">
        <f t="shared" si="41"/>
        <v>1.28515625</v>
      </c>
      <c r="BC34" s="15">
        <f t="shared" si="11"/>
        <v>0.93654213604979675</v>
      </c>
      <c r="BD34" s="1">
        <f t="shared" si="12"/>
        <v>0</v>
      </c>
    </row>
    <row r="35" spans="1:56" ht="15.75" thickBot="1" x14ac:dyDescent="0.25">
      <c r="A35" s="13"/>
      <c r="B35" s="13"/>
      <c r="C35" s="43">
        <v>32</v>
      </c>
      <c r="D35" s="55">
        <v>1217.95</v>
      </c>
      <c r="E35" s="55">
        <v>38.596299999999999</v>
      </c>
      <c r="F35" s="55">
        <v>43.113399999999999</v>
      </c>
      <c r="G35" s="55">
        <v>43.573</v>
      </c>
      <c r="H35" s="55">
        <v>0.9851143</v>
      </c>
      <c r="I35" s="55">
        <v>0.98915620000000004</v>
      </c>
      <c r="J35" s="55">
        <v>0.99137580000000003</v>
      </c>
      <c r="K35" s="55">
        <v>226.98</v>
      </c>
      <c r="L35" s="55">
        <v>0.223</v>
      </c>
      <c r="M35" s="15">
        <v>0</v>
      </c>
      <c r="N35" s="16">
        <f t="shared" si="0"/>
        <v>6.3049999999999995E-2</v>
      </c>
      <c r="P35" s="60">
        <v>1220.45</v>
      </c>
      <c r="Q35" s="60">
        <v>38.606999999999999</v>
      </c>
      <c r="R35" s="60">
        <v>43.091999999999999</v>
      </c>
      <c r="S35" s="60">
        <v>43.495100000000001</v>
      </c>
      <c r="T35" s="60">
        <v>0.98511090000000001</v>
      </c>
      <c r="U35" s="60">
        <v>0.98899939999999997</v>
      </c>
      <c r="V35" s="60">
        <v>0.99127489999999996</v>
      </c>
      <c r="W35" s="60">
        <v>213.34399999999999</v>
      </c>
      <c r="X35" s="60">
        <v>0.23200000000000001</v>
      </c>
      <c r="Y35" s="15">
        <v>0</v>
      </c>
      <c r="Z35" s="16">
        <f t="shared" si="5"/>
        <v>5.9262222222222223E-2</v>
      </c>
      <c r="AA35" s="10">
        <f t="shared" si="6"/>
        <v>0.93992422239844919</v>
      </c>
      <c r="AB35" s="15">
        <f t="shared" si="42"/>
        <v>1.040358744394619</v>
      </c>
      <c r="AC35" s="15" t="e">
        <f t="shared" si="42"/>
        <v>#DIV/0!</v>
      </c>
      <c r="AD35" s="16">
        <f t="shared" si="7"/>
        <v>2.0526294182848228E-3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>
        <f>V35/J35</f>
        <v>0.99989822224831382</v>
      </c>
      <c r="AY35" s="15">
        <f t="shared" si="44"/>
        <v>1.040358744394619</v>
      </c>
      <c r="AZ35" s="15">
        <f t="shared" si="10"/>
        <v>0.9399242223984493</v>
      </c>
      <c r="BA35" s="15">
        <f>V35/J35</f>
        <v>0.99989822224831382</v>
      </c>
      <c r="BB35" s="15">
        <f t="shared" si="41"/>
        <v>1.040358744394619</v>
      </c>
      <c r="BC35" s="15">
        <f t="shared" si="11"/>
        <v>0.9399242223984493</v>
      </c>
      <c r="BD35" s="1">
        <f t="shared" si="12"/>
        <v>0</v>
      </c>
    </row>
    <row r="36" spans="1:56" ht="15.75" thickBot="1" x14ac:dyDescent="0.25">
      <c r="A36" s="13"/>
      <c r="B36" s="13"/>
      <c r="C36" s="43">
        <v>37</v>
      </c>
      <c r="D36" s="55">
        <v>690.95</v>
      </c>
      <c r="E36" s="55">
        <v>37.0154</v>
      </c>
      <c r="F36" s="55">
        <v>41.824100000000001</v>
      </c>
      <c r="G36" s="55">
        <v>41.897199999999998</v>
      </c>
      <c r="H36" s="55">
        <v>0.97539719999999996</v>
      </c>
      <c r="I36" s="55">
        <v>0.98449209999999998</v>
      </c>
      <c r="J36" s="55">
        <v>0.98750660000000001</v>
      </c>
      <c r="K36" s="55">
        <v>109.65300000000001</v>
      </c>
      <c r="L36" s="55">
        <v>0.19400000000000001</v>
      </c>
      <c r="M36" s="15">
        <v>0</v>
      </c>
      <c r="N36" s="16">
        <f t="shared" si="0"/>
        <v>3.0459166666666669E-2</v>
      </c>
      <c r="P36" s="60">
        <v>689.25</v>
      </c>
      <c r="Q36" s="60">
        <v>37.009399999999999</v>
      </c>
      <c r="R36" s="60">
        <v>41.7943</v>
      </c>
      <c r="S36" s="60">
        <v>41.823300000000003</v>
      </c>
      <c r="T36" s="60">
        <v>0.97531140000000005</v>
      </c>
      <c r="U36" s="60">
        <v>0.98433009999999999</v>
      </c>
      <c r="V36" s="60">
        <v>0.98715359999999996</v>
      </c>
      <c r="W36" s="60">
        <v>103.24299999999999</v>
      </c>
      <c r="X36" s="60">
        <v>0.19800000000000001</v>
      </c>
      <c r="Y36" s="15">
        <v>0</v>
      </c>
      <c r="Z36" s="16">
        <f t="shared" si="5"/>
        <v>2.867861111111111E-2</v>
      </c>
      <c r="AA36" s="10">
        <f t="shared" si="6"/>
        <v>0.94154286704422119</v>
      </c>
      <c r="AB36" s="15">
        <f t="shared" si="42"/>
        <v>1.0206185567010309</v>
      </c>
      <c r="AC36" s="15" t="e">
        <f t="shared" si="42"/>
        <v>#DIV/0!</v>
      </c>
      <c r="AD36" s="16">
        <f t="shared" si="7"/>
        <v>2.4603806353571825E-3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>
        <f>V36/J36</f>
        <v>0.99964253403470915</v>
      </c>
      <c r="AY36" s="15">
        <f t="shared" si="44"/>
        <v>1.0206185567010309</v>
      </c>
      <c r="AZ36" s="15">
        <f t="shared" si="10"/>
        <v>0.94154286704422119</v>
      </c>
      <c r="BA36" s="15">
        <f>V36/J36</f>
        <v>0.99964253403470915</v>
      </c>
      <c r="BB36" s="15">
        <f t="shared" si="41"/>
        <v>1.0206185567010309</v>
      </c>
      <c r="BC36" s="15">
        <f t="shared" si="11"/>
        <v>0.94154286704422119</v>
      </c>
      <c r="BD36" s="1">
        <f t="shared" si="12"/>
        <v>0</v>
      </c>
    </row>
    <row r="37" spans="1:56" ht="15.75" thickBot="1" x14ac:dyDescent="0.25">
      <c r="A37" s="13"/>
      <c r="B37" s="17"/>
      <c r="C37" s="44">
        <v>42</v>
      </c>
      <c r="D37" s="55">
        <v>392.7</v>
      </c>
      <c r="E37" s="55">
        <v>35.052100000000003</v>
      </c>
      <c r="F37" s="55">
        <v>40.542999999999999</v>
      </c>
      <c r="G37" s="55">
        <v>40.207999999999998</v>
      </c>
      <c r="H37" s="55">
        <v>0.95775180000000004</v>
      </c>
      <c r="I37" s="55">
        <v>0.97814809999999996</v>
      </c>
      <c r="J37" s="55">
        <v>0.98149529999999996</v>
      </c>
      <c r="K37" s="55">
        <v>54.526000000000003</v>
      </c>
      <c r="L37" s="55">
        <v>0.17499999999999999</v>
      </c>
      <c r="M37" s="19">
        <v>0</v>
      </c>
      <c r="N37" s="20">
        <f t="shared" si="0"/>
        <v>1.5146111111111112E-2</v>
      </c>
      <c r="P37" s="60">
        <v>393.2</v>
      </c>
      <c r="Q37" s="60">
        <v>35.052999999999997</v>
      </c>
      <c r="R37" s="60">
        <v>40.573900000000002</v>
      </c>
      <c r="S37" s="60">
        <v>40.097999999999999</v>
      </c>
      <c r="T37" s="60">
        <v>0.95791720000000002</v>
      </c>
      <c r="U37" s="60">
        <v>0.97830399999999995</v>
      </c>
      <c r="V37" s="60">
        <v>0.98128890000000002</v>
      </c>
      <c r="W37" s="60">
        <v>51.856000000000002</v>
      </c>
      <c r="X37" s="60">
        <v>0.17899999999999999</v>
      </c>
      <c r="Y37" s="19">
        <v>0</v>
      </c>
      <c r="Z37" s="20">
        <f t="shared" si="5"/>
        <v>1.4404444444444445E-2</v>
      </c>
      <c r="AA37" s="10">
        <f t="shared" si="6"/>
        <v>0.95103253493746098</v>
      </c>
      <c r="AB37" s="15">
        <f t="shared" si="42"/>
        <v>1.0228571428571429</v>
      </c>
      <c r="AC37" s="15" t="e">
        <f t="shared" si="42"/>
        <v>#DIV/0!</v>
      </c>
      <c r="AD37" s="20">
        <f t="shared" si="7"/>
        <v>1.2732365673542145E-3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>
        <f>V37/J37</f>
        <v>0.99978970862112138</v>
      </c>
      <c r="AY37" s="15">
        <f t="shared" si="44"/>
        <v>1.0228571428571429</v>
      </c>
      <c r="AZ37" s="15">
        <f t="shared" si="10"/>
        <v>0.95103253493746109</v>
      </c>
      <c r="BA37" s="15"/>
      <c r="BB37" s="15"/>
      <c r="BC37" s="15"/>
      <c r="BD37" s="1">
        <f t="shared" si="12"/>
        <v>0</v>
      </c>
    </row>
    <row r="38" spans="1:56" ht="15.75" thickBot="1" x14ac:dyDescent="0.25">
      <c r="A38" s="13"/>
      <c r="B38" s="8" t="s">
        <v>4</v>
      </c>
      <c r="C38" s="39">
        <v>22</v>
      </c>
      <c r="D38" s="55">
        <v>21640.32</v>
      </c>
      <c r="E38" s="55">
        <v>43.419800000000002</v>
      </c>
      <c r="F38" s="55">
        <v>43.3459</v>
      </c>
      <c r="G38" s="55">
        <v>45.120100000000001</v>
      </c>
      <c r="H38" s="55">
        <v>0.99740549999999994</v>
      </c>
      <c r="I38" s="55">
        <v>0.99340539999999999</v>
      </c>
      <c r="J38" s="55">
        <v>0.9947587</v>
      </c>
      <c r="K38" s="55">
        <v>701.721</v>
      </c>
      <c r="L38" s="55">
        <v>0.46800000000000003</v>
      </c>
      <c r="M38" s="10">
        <v>0</v>
      </c>
      <c r="N38" s="11">
        <f t="shared" si="0"/>
        <v>0.1949225</v>
      </c>
      <c r="P38" s="60">
        <v>21623.16</v>
      </c>
      <c r="Q38" s="60">
        <v>43.415399999999998</v>
      </c>
      <c r="R38" s="60">
        <v>43.348999999999997</v>
      </c>
      <c r="S38" s="60">
        <v>45.1248</v>
      </c>
      <c r="T38" s="60">
        <v>0.99739789999999995</v>
      </c>
      <c r="U38" s="60">
        <v>0.9934132</v>
      </c>
      <c r="V38" s="60">
        <v>0.99476699999999996</v>
      </c>
      <c r="W38" s="60">
        <v>675.69100000000003</v>
      </c>
      <c r="X38" s="60">
        <v>0.45100000000000001</v>
      </c>
      <c r="Y38" s="10">
        <v>0</v>
      </c>
      <c r="Z38" s="11">
        <f t="shared" si="5"/>
        <v>0.18769194444444445</v>
      </c>
      <c r="AA38" s="10">
        <f t="shared" si="6"/>
        <v>0.96290548522845976</v>
      </c>
      <c r="AB38" s="15">
        <f t="shared" si="42"/>
        <v>0.96367521367521369</v>
      </c>
      <c r="AC38" s="15" t="e">
        <f t="shared" si="42"/>
        <v>#DIV/0!</v>
      </c>
      <c r="AD38" s="11">
        <f t="shared" si="7"/>
        <v>7.9296424452133119E-4</v>
      </c>
      <c r="AE38" s="12"/>
      <c r="AF38" s="25">
        <f t="shared" ref="AF38:AK38" si="45">bdRateExtend($D38:$D42,E38:E42,$P38:$P42,Q38:Q42)</f>
        <v>-3.8396200430268479E-4</v>
      </c>
      <c r="AG38" s="30">
        <f>bdRateExtend($D38:$D42,F38:F42,$P38:$P42,R38:R42)</f>
        <v>-4.7672371100065947E-3</v>
      </c>
      <c r="AH38" s="31">
        <f t="shared" si="45"/>
        <v>1.1260625928718015E-2</v>
      </c>
      <c r="AI38" s="25">
        <f t="shared" si="45"/>
        <v>1.1362589179757521E-3</v>
      </c>
      <c r="AJ38" s="30">
        <f t="shared" si="45"/>
        <v>3.1113676465797102E-3</v>
      </c>
      <c r="AK38" s="30">
        <f t="shared" si="45"/>
        <v>2.2170889846565567E-2</v>
      </c>
      <c r="AL38" s="45"/>
      <c r="AM38" s="46"/>
      <c r="AN38" s="47"/>
      <c r="AO38" s="46"/>
      <c r="AP38" s="46"/>
      <c r="AQ38" s="47"/>
      <c r="AR38" s="30">
        <f t="shared" ref="AR38:AW38" si="46">bdrate($D38:$D41,E38:E41,$P38:$P41,Q38:Q41)</f>
        <v>-6.0297374645079671E-5</v>
      </c>
      <c r="AS38" s="30">
        <f t="shared" si="46"/>
        <v>-4.8405239724511606E-3</v>
      </c>
      <c r="AT38" s="31">
        <f t="shared" si="46"/>
        <v>9.2398097650652211E-3</v>
      </c>
      <c r="AU38" s="25">
        <f t="shared" si="46"/>
        <v>2.5514608701959762E-3</v>
      </c>
      <c r="AV38" s="30">
        <f t="shared" si="46"/>
        <v>1.2627248602461449E-3</v>
      </c>
      <c r="AW38" s="31">
        <f t="shared" si="46"/>
        <v>1.762549941293412E-2</v>
      </c>
      <c r="AX38" s="15"/>
      <c r="AY38" s="15"/>
      <c r="AZ38" s="15"/>
      <c r="BA38" s="15">
        <f>V38/J38</f>
        <v>1.0000083437320024</v>
      </c>
      <c r="BB38" s="15">
        <f t="shared" ref="BB38:BB41" si="47">X38/L38</f>
        <v>0.96367521367521369</v>
      </c>
      <c r="BC38" s="15">
        <f t="shared" si="11"/>
        <v>0.96290548522845976</v>
      </c>
      <c r="BD38" s="1">
        <f t="shared" si="12"/>
        <v>1</v>
      </c>
    </row>
    <row r="39" spans="1:56" ht="15.75" thickBot="1" x14ac:dyDescent="0.25">
      <c r="A39" s="13"/>
      <c r="C39" s="43">
        <v>27</v>
      </c>
      <c r="D39" s="55">
        <v>11146.44</v>
      </c>
      <c r="E39" s="55">
        <v>38.411799999999999</v>
      </c>
      <c r="F39" s="55">
        <v>41.185400000000001</v>
      </c>
      <c r="G39" s="55">
        <v>43.370100000000001</v>
      </c>
      <c r="H39" s="55">
        <v>0.99279689999999998</v>
      </c>
      <c r="I39" s="55">
        <v>0.98693070000000005</v>
      </c>
      <c r="J39" s="55">
        <v>0.9905986</v>
      </c>
      <c r="K39" s="55">
        <v>623.38099999999997</v>
      </c>
      <c r="L39" s="55">
        <v>0.38</v>
      </c>
      <c r="M39" s="15">
        <v>0</v>
      </c>
      <c r="N39" s="16">
        <f t="shared" si="0"/>
        <v>0.17316138888888888</v>
      </c>
      <c r="P39" s="60">
        <v>11114.58</v>
      </c>
      <c r="Q39" s="60">
        <v>38.394399999999997</v>
      </c>
      <c r="R39" s="60">
        <v>41.194099999999999</v>
      </c>
      <c r="S39" s="60">
        <v>43.387300000000003</v>
      </c>
      <c r="T39" s="60">
        <v>0.99280279999999999</v>
      </c>
      <c r="U39" s="60">
        <v>0.98692500000000005</v>
      </c>
      <c r="V39" s="60">
        <v>0.99063239999999997</v>
      </c>
      <c r="W39" s="60">
        <v>646.06399999999996</v>
      </c>
      <c r="X39" s="60">
        <v>0.374</v>
      </c>
      <c r="Y39" s="15">
        <v>0</v>
      </c>
      <c r="Z39" s="16">
        <f t="shared" si="5"/>
        <v>0.17946222222222222</v>
      </c>
      <c r="AA39" s="10">
        <f t="shared" si="6"/>
        <v>1.0363870570325371</v>
      </c>
      <c r="AB39" s="15">
        <f t="shared" si="42"/>
        <v>0.98421052631578942</v>
      </c>
      <c r="AC39" s="15" t="e">
        <f t="shared" si="42"/>
        <v>#DIV/0!</v>
      </c>
      <c r="AD39" s="16">
        <f t="shared" si="7"/>
        <v>2.8583117120803215E-3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-4.766277088681381E-4</v>
      </c>
      <c r="AM39" s="21">
        <f>bdrate($D39:$D42,F39:F42,$P39:$P42,R39:R42)</f>
        <v>-5.4753647502918668E-3</v>
      </c>
      <c r="AN39" s="36">
        <f t="shared" ref="AN39" si="48">bdrate($D39:$D42,G39:G42,$P39:$P42,S39:S42)</f>
        <v>2.3552454079726504E-2</v>
      </c>
      <c r="AO39" s="26">
        <f>bdrate($D39:$D42,H39:H42,$P39:$P42,T39:T42)</f>
        <v>1.6957215434949546E-3</v>
      </c>
      <c r="AP39" s="21">
        <f>bdrate($D39:$D42,I39:I42,$P39:$P42,U39:U42)</f>
        <v>4.1764913212296584E-3</v>
      </c>
      <c r="AQ39" s="36">
        <f>bdrate($D39:$D42,J39:J42,$P39:$P42,V39:V42)</f>
        <v>3.0134480466685876E-2</v>
      </c>
      <c r="AR39" s="21"/>
      <c r="AS39" s="21"/>
      <c r="AT39" s="36"/>
      <c r="AU39" s="26"/>
      <c r="AV39" s="21"/>
      <c r="AW39" s="36"/>
      <c r="AX39" s="15">
        <f>V39/J39</f>
        <v>1.0000341207831305</v>
      </c>
      <c r="AY39" s="15">
        <f t="shared" ref="AY39:AY42" si="49">X39/L39</f>
        <v>0.98421052631578942</v>
      </c>
      <c r="AZ39" s="15">
        <f t="shared" si="10"/>
        <v>1.0363870570325371</v>
      </c>
      <c r="BA39" s="15">
        <f>V39/J39</f>
        <v>1.0000341207831305</v>
      </c>
      <c r="BB39" s="15">
        <f t="shared" si="47"/>
        <v>0.98421052631578942</v>
      </c>
      <c r="BC39" s="15">
        <f t="shared" si="11"/>
        <v>1.0363870570325371</v>
      </c>
      <c r="BD39" s="1">
        <f t="shared" si="12"/>
        <v>0</v>
      </c>
    </row>
    <row r="40" spans="1:56" ht="15.75" thickBot="1" x14ac:dyDescent="0.25">
      <c r="A40" s="13"/>
      <c r="B40" s="13"/>
      <c r="C40" s="43">
        <v>32</v>
      </c>
      <c r="D40" s="55">
        <v>5961.9</v>
      </c>
      <c r="E40" s="55">
        <v>35.216500000000003</v>
      </c>
      <c r="F40" s="55">
        <v>39.502299999999998</v>
      </c>
      <c r="G40" s="55">
        <v>41.894399999999997</v>
      </c>
      <c r="H40" s="55">
        <v>0.98681350000000001</v>
      </c>
      <c r="I40" s="55">
        <v>0.97695270000000001</v>
      </c>
      <c r="J40" s="55">
        <v>0.98452399999999995</v>
      </c>
      <c r="K40" s="55">
        <v>412.25599999999997</v>
      </c>
      <c r="L40" s="55">
        <v>0.36299999999999999</v>
      </c>
      <c r="M40" s="15">
        <v>0</v>
      </c>
      <c r="N40" s="16">
        <f t="shared" si="0"/>
        <v>0.11451555555555555</v>
      </c>
      <c r="P40" s="60">
        <v>5957.34</v>
      </c>
      <c r="Q40" s="60">
        <v>35.211799999999997</v>
      </c>
      <c r="R40" s="60">
        <v>39.5214</v>
      </c>
      <c r="S40" s="60">
        <v>41.805300000000003</v>
      </c>
      <c r="T40" s="60">
        <v>0.98673460000000002</v>
      </c>
      <c r="U40" s="60">
        <v>0.97690779999999999</v>
      </c>
      <c r="V40" s="60">
        <v>0.98407350000000005</v>
      </c>
      <c r="W40" s="60">
        <v>453.03699999999998</v>
      </c>
      <c r="X40" s="60">
        <v>0.31</v>
      </c>
      <c r="Y40" s="15">
        <v>0</v>
      </c>
      <c r="Z40" s="16">
        <f t="shared" si="5"/>
        <v>0.12584361111111111</v>
      </c>
      <c r="AA40" s="10">
        <f t="shared" si="6"/>
        <v>1.0989215438950555</v>
      </c>
      <c r="AB40" s="15">
        <f t="shared" si="42"/>
        <v>0.85399449035812669</v>
      </c>
      <c r="AC40" s="15" t="e">
        <f t="shared" si="42"/>
        <v>#DIV/0!</v>
      </c>
      <c r="AD40" s="16">
        <f t="shared" si="7"/>
        <v>7.6485684093988344E-4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>
        <f>V40/J40</f>
        <v>0.99954241846821412</v>
      </c>
      <c r="AY40" s="15">
        <f t="shared" si="49"/>
        <v>0.85399449035812669</v>
      </c>
      <c r="AZ40" s="15">
        <f t="shared" si="10"/>
        <v>1.0989215438950555</v>
      </c>
      <c r="BA40" s="15">
        <f>V40/J40</f>
        <v>0.99954241846821412</v>
      </c>
      <c r="BB40" s="15">
        <f t="shared" si="47"/>
        <v>0.85399449035812669</v>
      </c>
      <c r="BC40" s="15">
        <f t="shared" si="11"/>
        <v>1.0989215438950555</v>
      </c>
      <c r="BD40" s="1">
        <f t="shared" si="12"/>
        <v>0</v>
      </c>
    </row>
    <row r="41" spans="1:56" ht="15.75" thickBot="1" x14ac:dyDescent="0.25">
      <c r="A41" s="13"/>
      <c r="B41" s="13"/>
      <c r="C41" s="43">
        <v>37</v>
      </c>
      <c r="D41" s="55">
        <v>3237.78</v>
      </c>
      <c r="E41" s="55">
        <v>32.332999999999998</v>
      </c>
      <c r="F41" s="55">
        <v>37.931199999999997</v>
      </c>
      <c r="G41" s="55">
        <v>40.298900000000003</v>
      </c>
      <c r="H41" s="55">
        <v>0.97572769999999998</v>
      </c>
      <c r="I41" s="55">
        <v>0.96423420000000004</v>
      </c>
      <c r="J41" s="55">
        <v>0.97644120000000001</v>
      </c>
      <c r="K41" s="55">
        <v>288.79500000000002</v>
      </c>
      <c r="L41" s="55">
        <v>0.28799999999999998</v>
      </c>
      <c r="M41" s="15">
        <v>0</v>
      </c>
      <c r="N41" s="16">
        <f t="shared" si="0"/>
        <v>8.0220833333333338E-2</v>
      </c>
      <c r="P41" s="60">
        <v>3245.64</v>
      </c>
      <c r="Q41" s="60">
        <v>32.348100000000002</v>
      </c>
      <c r="R41" s="60">
        <v>37.927599999999998</v>
      </c>
      <c r="S41" s="60">
        <v>40.283999999999999</v>
      </c>
      <c r="T41" s="60">
        <v>0.97574850000000002</v>
      </c>
      <c r="U41" s="60">
        <v>0.96411040000000003</v>
      </c>
      <c r="V41" s="60">
        <v>0.97634359999999998</v>
      </c>
      <c r="W41" s="60">
        <v>312.68099999999998</v>
      </c>
      <c r="X41" s="60">
        <v>0.26600000000000001</v>
      </c>
      <c r="Y41" s="15">
        <v>0</v>
      </c>
      <c r="Z41" s="16">
        <f t="shared" si="5"/>
        <v>8.6855833333333327E-2</v>
      </c>
      <c r="AA41" s="10">
        <f t="shared" si="6"/>
        <v>1.0827091881784656</v>
      </c>
      <c r="AB41" s="15">
        <f t="shared" si="42"/>
        <v>0.92361111111111127</v>
      </c>
      <c r="AC41" s="15" t="e">
        <f t="shared" si="42"/>
        <v>#DIV/0!</v>
      </c>
      <c r="AD41" s="16">
        <f t="shared" si="7"/>
        <v>2.4275892741321744E-3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>
        <f>V41/J41</f>
        <v>0.99990004518449238</v>
      </c>
      <c r="AY41" s="15">
        <f t="shared" si="49"/>
        <v>0.92361111111111127</v>
      </c>
      <c r="AZ41" s="15">
        <f t="shared" si="10"/>
        <v>1.0827091881784656</v>
      </c>
      <c r="BA41" s="15">
        <f>V41/J41</f>
        <v>0.99990004518449238</v>
      </c>
      <c r="BB41" s="15">
        <f t="shared" si="47"/>
        <v>0.92361111111111127</v>
      </c>
      <c r="BC41" s="15">
        <f t="shared" si="11"/>
        <v>1.0827091881784656</v>
      </c>
      <c r="BD41" s="1">
        <f t="shared" si="12"/>
        <v>0</v>
      </c>
    </row>
    <row r="42" spans="1:56" ht="15.75" thickBot="1" x14ac:dyDescent="0.25">
      <c r="A42" s="13"/>
      <c r="B42" s="17"/>
      <c r="C42" s="44">
        <v>42</v>
      </c>
      <c r="D42" s="55">
        <v>1667.04</v>
      </c>
      <c r="E42" s="55">
        <v>29.448399999999999</v>
      </c>
      <c r="F42" s="55">
        <v>37.022199999999998</v>
      </c>
      <c r="G42" s="55">
        <v>39.545200000000001</v>
      </c>
      <c r="H42" s="55">
        <v>0.95368600000000003</v>
      </c>
      <c r="I42" s="55">
        <v>0.95199449999999997</v>
      </c>
      <c r="J42" s="55">
        <v>0.97042390000000001</v>
      </c>
      <c r="K42" s="55">
        <v>185.56899999999999</v>
      </c>
      <c r="L42" s="55">
        <v>0.22700000000000001</v>
      </c>
      <c r="M42" s="19">
        <v>0</v>
      </c>
      <c r="N42" s="20">
        <f t="shared" si="0"/>
        <v>5.1546944444444444E-2</v>
      </c>
      <c r="P42" s="60">
        <v>1667.34</v>
      </c>
      <c r="Q42" s="60">
        <v>29.4589</v>
      </c>
      <c r="R42" s="60">
        <v>37.056699999999999</v>
      </c>
      <c r="S42" s="60">
        <v>39.458500000000001</v>
      </c>
      <c r="T42" s="60">
        <v>0.95366839999999997</v>
      </c>
      <c r="U42" s="60">
        <v>0.95195879999999999</v>
      </c>
      <c r="V42" s="60">
        <v>0.96938420000000003</v>
      </c>
      <c r="W42" s="60">
        <v>194.517</v>
      </c>
      <c r="X42" s="60">
        <v>0.22700000000000001</v>
      </c>
      <c r="Y42" s="19">
        <v>0</v>
      </c>
      <c r="Z42" s="20">
        <f t="shared" si="5"/>
        <v>5.4032499999999997E-2</v>
      </c>
      <c r="AA42" s="10">
        <f t="shared" si="6"/>
        <v>1.0482192607601486</v>
      </c>
      <c r="AB42" s="15">
        <f t="shared" si="42"/>
        <v>1</v>
      </c>
      <c r="AC42" s="15" t="e">
        <f t="shared" si="42"/>
        <v>#DIV/0!</v>
      </c>
      <c r="AD42" s="20">
        <f t="shared" si="7"/>
        <v>1.7995968902963008E-4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>
        <f>V42/J42</f>
        <v>0.99892861253726339</v>
      </c>
      <c r="AY42" s="15">
        <f t="shared" si="49"/>
        <v>1</v>
      </c>
      <c r="AZ42" s="15">
        <f t="shared" si="10"/>
        <v>1.0482192607601484</v>
      </c>
      <c r="BA42" s="15"/>
      <c r="BB42" s="15"/>
      <c r="BC42" s="15"/>
      <c r="BD42" s="1">
        <f t="shared" si="12"/>
        <v>0</v>
      </c>
    </row>
    <row r="43" spans="1:56" ht="15.75" thickBot="1" x14ac:dyDescent="0.25">
      <c r="A43" s="13"/>
      <c r="B43" s="8" t="s">
        <v>2</v>
      </c>
      <c r="C43" s="39">
        <v>22</v>
      </c>
      <c r="D43" s="55">
        <v>12716.7</v>
      </c>
      <c r="E43" s="55">
        <v>41.201599999999999</v>
      </c>
      <c r="F43" s="55">
        <v>41.544199999999996</v>
      </c>
      <c r="G43" s="55">
        <v>44.517800000000001</v>
      </c>
      <c r="H43" s="55">
        <v>0.99469059999999998</v>
      </c>
      <c r="I43" s="55">
        <v>0.99106269999999996</v>
      </c>
      <c r="J43" s="55">
        <v>0.99503889999999995</v>
      </c>
      <c r="K43" s="55">
        <v>750.48199999999997</v>
      </c>
      <c r="L43" s="55">
        <v>0.41899999999999998</v>
      </c>
      <c r="M43" s="10">
        <v>0</v>
      </c>
      <c r="N43" s="11">
        <f t="shared" si="0"/>
        <v>0.20846722222222222</v>
      </c>
      <c r="P43" s="60">
        <v>12731.4</v>
      </c>
      <c r="Q43" s="60">
        <v>41.211199999999998</v>
      </c>
      <c r="R43" s="60">
        <v>41.539400000000001</v>
      </c>
      <c r="S43" s="60">
        <v>44.531500000000001</v>
      </c>
      <c r="T43" s="60">
        <v>0.99469830000000004</v>
      </c>
      <c r="U43" s="60">
        <v>0.99104999999999999</v>
      </c>
      <c r="V43" s="60">
        <v>0.995062</v>
      </c>
      <c r="W43" s="60">
        <v>911.56100000000004</v>
      </c>
      <c r="X43" s="60">
        <v>0.41</v>
      </c>
      <c r="Y43" s="10">
        <v>0</v>
      </c>
      <c r="Z43" s="11">
        <f t="shared" si="5"/>
        <v>0.25321138888888889</v>
      </c>
      <c r="AA43" s="10">
        <f t="shared" si="6"/>
        <v>1.2146340618429223</v>
      </c>
      <c r="AB43" s="15">
        <f t="shared" si="42"/>
        <v>0.97852028639618138</v>
      </c>
      <c r="AC43" s="15" t="e">
        <f t="shared" si="42"/>
        <v>#DIV/0!</v>
      </c>
      <c r="AD43" s="11">
        <f t="shared" si="7"/>
        <v>1.1559602727121744E-3</v>
      </c>
      <c r="AE43" s="12"/>
      <c r="AF43" s="25">
        <f t="shared" ref="AF43:AK43" si="50">bdRateExtend($D43:$D47,E43:E47,$P43:$P47,Q43:Q47)</f>
        <v>-1.5603393389318487E-4</v>
      </c>
      <c r="AG43" s="30">
        <f t="shared" si="50"/>
        <v>4.5363553319972549E-3</v>
      </c>
      <c r="AH43" s="31">
        <f t="shared" si="50"/>
        <v>1.0317781379553637E-2</v>
      </c>
      <c r="AI43" s="25">
        <f t="shared" si="50"/>
        <v>1.3510662625129122E-3</v>
      </c>
      <c r="AJ43" s="30">
        <f t="shared" si="50"/>
        <v>6.0565180962286469E-3</v>
      </c>
      <c r="AK43" s="30">
        <f t="shared" si="50"/>
        <v>7.4730217496088436E-3</v>
      </c>
      <c r="AL43" s="26"/>
      <c r="AM43" s="21"/>
      <c r="AN43" s="36"/>
      <c r="AO43" s="21"/>
      <c r="AP43" s="21"/>
      <c r="AQ43" s="36"/>
      <c r="AR43" s="30">
        <f t="shared" ref="AR43:AW43" si="51">bdrate($D43:$D46,E43:E46,$P43:$P46,Q43:Q46)</f>
        <v>-8.2020464214715982E-4</v>
      </c>
      <c r="AS43" s="30">
        <f t="shared" si="51"/>
        <v>2.7569458779157507E-3</v>
      </c>
      <c r="AT43" s="31">
        <f t="shared" si="51"/>
        <v>9.9905026118720652E-3</v>
      </c>
      <c r="AU43" s="25">
        <f t="shared" si="51"/>
        <v>5.6491827585647414E-4</v>
      </c>
      <c r="AV43" s="30">
        <f t="shared" si="51"/>
        <v>6.191467020700836E-3</v>
      </c>
      <c r="AW43" s="31">
        <f t="shared" si="51"/>
        <v>1.5779779064062582E-2</v>
      </c>
      <c r="AX43" s="15"/>
      <c r="AY43" s="15"/>
      <c r="AZ43" s="15"/>
      <c r="BA43" s="15">
        <f>V43/J43</f>
        <v>1.0000232151727939</v>
      </c>
      <c r="BB43" s="15">
        <f t="shared" ref="BB43:BB46" si="52">X43/L43</f>
        <v>0.97852028639618138</v>
      </c>
      <c r="BC43" s="15">
        <f t="shared" si="11"/>
        <v>1.2146340618429223</v>
      </c>
      <c r="BD43" s="1">
        <f t="shared" si="12"/>
        <v>1</v>
      </c>
    </row>
    <row r="44" spans="1:56" ht="15.75" thickBot="1" x14ac:dyDescent="0.25">
      <c r="A44" s="13"/>
      <c r="B44" s="13"/>
      <c r="C44" s="43">
        <v>27</v>
      </c>
      <c r="D44" s="55">
        <v>5492.15</v>
      </c>
      <c r="E44" s="55">
        <v>38.240900000000003</v>
      </c>
      <c r="F44" s="55">
        <v>39.528700000000001</v>
      </c>
      <c r="G44" s="55">
        <v>42.489100000000001</v>
      </c>
      <c r="H44" s="55">
        <v>0.9891993</v>
      </c>
      <c r="I44" s="55">
        <v>0.98274989999999995</v>
      </c>
      <c r="J44" s="55">
        <v>0.99094680000000002</v>
      </c>
      <c r="K44" s="55">
        <v>439.34300000000002</v>
      </c>
      <c r="L44" s="55">
        <v>0.34200000000000003</v>
      </c>
      <c r="M44" s="15">
        <v>0</v>
      </c>
      <c r="N44" s="16">
        <f t="shared" si="0"/>
        <v>0.12203972222222223</v>
      </c>
      <c r="P44" s="60">
        <v>5494.2</v>
      </c>
      <c r="Q44" s="60">
        <v>38.244399999999999</v>
      </c>
      <c r="R44" s="60">
        <v>39.523800000000001</v>
      </c>
      <c r="S44" s="60">
        <v>42.4741</v>
      </c>
      <c r="T44" s="60">
        <v>0.98925030000000003</v>
      </c>
      <c r="U44" s="60">
        <v>0.9826028</v>
      </c>
      <c r="V44" s="60">
        <v>0.99093580000000003</v>
      </c>
      <c r="W44" s="60">
        <v>537.34299999999996</v>
      </c>
      <c r="X44" s="60">
        <v>0.32300000000000001</v>
      </c>
      <c r="Y44" s="15">
        <v>0</v>
      </c>
      <c r="Z44" s="16">
        <f t="shared" si="5"/>
        <v>0.14926194444444443</v>
      </c>
      <c r="AA44" s="10">
        <f t="shared" si="6"/>
        <v>1.2230603423748641</v>
      </c>
      <c r="AB44" s="15">
        <f t="shared" si="42"/>
        <v>0.94444444444444442</v>
      </c>
      <c r="AC44" s="15" t="e">
        <f t="shared" si="42"/>
        <v>#DIV/0!</v>
      </c>
      <c r="AD44" s="16">
        <f t="shared" si="7"/>
        <v>3.732600165691363E-4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-9.583900738796558E-6</v>
      </c>
      <c r="AM44" s="21">
        <f>bdrate($D44:$D47,F44:F47,$P44:$P47,R44:R47)</f>
        <v>4.1344154147009426E-3</v>
      </c>
      <c r="AN44" s="36">
        <f t="shared" ref="AN44" si="53">bdrate($D44:$D47,G44:G47,$P44:$P47,S44:S47)</f>
        <v>1.4537218164727195E-2</v>
      </c>
      <c r="AO44" s="26">
        <f>bdrate($D44:$D47,H44:H47,$P44:$P47,T44:T47)</f>
        <v>2.0058457210900826E-3</v>
      </c>
      <c r="AP44" s="21">
        <f>bdrate($D44:$D47,I44:I47,$P44:$P47,U44:U47)</f>
        <v>4.0850405411025914E-3</v>
      </c>
      <c r="AQ44" s="36">
        <f>bdrate($D44:$D47,J44:J47,$P44:$P47,V44:V47)</f>
        <v>9.7100077500797966E-3</v>
      </c>
      <c r="AR44" s="21"/>
      <c r="AS44" s="21"/>
      <c r="AT44" s="36"/>
      <c r="AU44" s="26"/>
      <c r="AV44" s="21"/>
      <c r="AW44" s="36"/>
      <c r="AX44" s="15">
        <f>V44/J44</f>
        <v>0.9999888995049987</v>
      </c>
      <c r="AY44" s="15">
        <f t="shared" ref="AY44:AY47" si="54">X44/L44</f>
        <v>0.94444444444444442</v>
      </c>
      <c r="AZ44" s="15">
        <f t="shared" si="10"/>
        <v>1.2230603423748641</v>
      </c>
      <c r="BA44" s="15">
        <f>V44/J44</f>
        <v>0.9999888995049987</v>
      </c>
      <c r="BB44" s="15">
        <f t="shared" si="52"/>
        <v>0.94444444444444442</v>
      </c>
      <c r="BC44" s="15">
        <f t="shared" si="11"/>
        <v>1.2230603423748641</v>
      </c>
      <c r="BD44" s="1">
        <f t="shared" si="12"/>
        <v>0</v>
      </c>
    </row>
    <row r="45" spans="1:56" ht="15.75" thickBot="1" x14ac:dyDescent="0.25">
      <c r="A45" s="13"/>
      <c r="B45" s="13"/>
      <c r="C45" s="43">
        <v>32</v>
      </c>
      <c r="D45" s="55">
        <v>2958.35</v>
      </c>
      <c r="E45" s="55">
        <v>36.103999999999999</v>
      </c>
      <c r="F45" s="55">
        <v>38.5002</v>
      </c>
      <c r="G45" s="55">
        <v>40.513800000000003</v>
      </c>
      <c r="H45" s="55">
        <v>0.98172150000000002</v>
      </c>
      <c r="I45" s="55">
        <v>0.97515479999999999</v>
      </c>
      <c r="J45" s="55">
        <v>0.98397769999999996</v>
      </c>
      <c r="K45" s="55">
        <v>278.74</v>
      </c>
      <c r="L45" s="55">
        <v>0.27300000000000002</v>
      </c>
      <c r="M45" s="15">
        <v>0</v>
      </c>
      <c r="N45" s="16">
        <f t="shared" si="0"/>
        <v>7.7427777777777776E-2</v>
      </c>
      <c r="P45" s="60">
        <v>2963.15</v>
      </c>
      <c r="Q45" s="60">
        <v>36.118499999999997</v>
      </c>
      <c r="R45" s="60">
        <v>38.513100000000001</v>
      </c>
      <c r="S45" s="60">
        <v>40.465499999999999</v>
      </c>
      <c r="T45" s="60">
        <v>0.98173069999999996</v>
      </c>
      <c r="U45" s="60">
        <v>0.9752248</v>
      </c>
      <c r="V45" s="60">
        <v>0.9836357</v>
      </c>
      <c r="W45" s="60">
        <v>332.70600000000002</v>
      </c>
      <c r="X45" s="60">
        <v>0.27700000000000002</v>
      </c>
      <c r="Y45" s="15">
        <v>0</v>
      </c>
      <c r="Z45" s="16">
        <f t="shared" si="5"/>
        <v>9.2418333333333338E-2</v>
      </c>
      <c r="AA45" s="10">
        <f t="shared" si="6"/>
        <v>1.1936069455406473</v>
      </c>
      <c r="AB45" s="15">
        <f t="shared" si="42"/>
        <v>1.0146520146520146</v>
      </c>
      <c r="AC45" s="15" t="e">
        <f t="shared" si="42"/>
        <v>#DIV/0!</v>
      </c>
      <c r="AD45" s="16">
        <f t="shared" si="7"/>
        <v>1.6225260702757219E-3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>
        <f>V45/J45</f>
        <v>0.99965243114757585</v>
      </c>
      <c r="AY45" s="15">
        <f t="shared" si="54"/>
        <v>1.0146520146520146</v>
      </c>
      <c r="AZ45" s="15">
        <f t="shared" si="10"/>
        <v>1.1936069455406473</v>
      </c>
      <c r="BA45" s="15">
        <f>V45/J45</f>
        <v>0.99965243114757585</v>
      </c>
      <c r="BB45" s="15">
        <f t="shared" si="52"/>
        <v>1.0146520146520146</v>
      </c>
      <c r="BC45" s="15">
        <f t="shared" si="11"/>
        <v>1.1936069455406473</v>
      </c>
      <c r="BD45" s="1">
        <f t="shared" si="12"/>
        <v>0</v>
      </c>
    </row>
    <row r="46" spans="1:56" ht="15.75" thickBot="1" x14ac:dyDescent="0.25">
      <c r="A46" s="13"/>
      <c r="B46" s="13"/>
      <c r="C46" s="43" t="s">
        <v>77</v>
      </c>
      <c r="D46" s="55">
        <v>1595.75</v>
      </c>
      <c r="E46" s="55">
        <v>33.746499999999997</v>
      </c>
      <c r="F46" s="55">
        <v>37.340600000000002</v>
      </c>
      <c r="G46" s="55">
        <v>38.670299999999997</v>
      </c>
      <c r="H46" s="55">
        <v>0.96631849999999997</v>
      </c>
      <c r="I46" s="55">
        <v>0.96486709999999998</v>
      </c>
      <c r="J46" s="55">
        <v>0.97454770000000002</v>
      </c>
      <c r="K46" s="55">
        <v>159.24600000000001</v>
      </c>
      <c r="L46" s="55">
        <v>0.24299999999999999</v>
      </c>
      <c r="M46" s="15">
        <v>0</v>
      </c>
      <c r="N46" s="16">
        <f t="shared" si="0"/>
        <v>4.4235000000000003E-2</v>
      </c>
      <c r="P46" s="60">
        <v>1601.95</v>
      </c>
      <c r="Q46" s="60">
        <v>33.747700000000002</v>
      </c>
      <c r="R46" s="60">
        <v>37.305100000000003</v>
      </c>
      <c r="S46" s="60">
        <v>38.6233</v>
      </c>
      <c r="T46" s="60">
        <v>0.96627770000000002</v>
      </c>
      <c r="U46" s="60">
        <v>0.96457150000000003</v>
      </c>
      <c r="V46" s="60">
        <v>0.97441089999999997</v>
      </c>
      <c r="W46" s="60">
        <v>194.38900000000001</v>
      </c>
      <c r="X46" s="60">
        <v>0.23300000000000001</v>
      </c>
      <c r="Y46" s="15">
        <v>0</v>
      </c>
      <c r="Z46" s="16">
        <f t="shared" si="5"/>
        <v>5.3996944444444445E-2</v>
      </c>
      <c r="AA46" s="10">
        <f t="shared" si="6"/>
        <v>1.2206837220401141</v>
      </c>
      <c r="AB46" s="15">
        <f t="shared" si="42"/>
        <v>0.95884773662551448</v>
      </c>
      <c r="AC46" s="15" t="e">
        <f t="shared" si="42"/>
        <v>#DIV/0!</v>
      </c>
      <c r="AD46" s="16">
        <f t="shared" si="7"/>
        <v>3.885320382265421E-3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>
        <f>V46/J46</f>
        <v>0.99985962718910526</v>
      </c>
      <c r="AY46" s="15">
        <f t="shared" si="54"/>
        <v>0.95884773662551448</v>
      </c>
      <c r="AZ46" s="15">
        <f t="shared" si="10"/>
        <v>1.2206837220401139</v>
      </c>
      <c r="BA46" s="15">
        <f>V46/J46</f>
        <v>0.99985962718910526</v>
      </c>
      <c r="BB46" s="15">
        <f t="shared" si="52"/>
        <v>0.95884773662551448</v>
      </c>
      <c r="BC46" s="15">
        <f t="shared" si="11"/>
        <v>1.2206837220401139</v>
      </c>
      <c r="BD46" s="1">
        <f t="shared" si="12"/>
        <v>0</v>
      </c>
    </row>
    <row r="47" spans="1:56" ht="15.75" thickBot="1" x14ac:dyDescent="0.25">
      <c r="A47" s="13"/>
      <c r="B47" s="17"/>
      <c r="C47" s="44">
        <v>42</v>
      </c>
      <c r="D47" s="55">
        <v>846.8</v>
      </c>
      <c r="E47" s="55">
        <v>31.265499999999999</v>
      </c>
      <c r="F47" s="55">
        <v>36.347099999999998</v>
      </c>
      <c r="G47" s="55">
        <v>37.295200000000001</v>
      </c>
      <c r="H47" s="55">
        <v>0.93750770000000005</v>
      </c>
      <c r="I47" s="55">
        <v>0.95299560000000005</v>
      </c>
      <c r="J47" s="55">
        <v>0.96342369999999999</v>
      </c>
      <c r="K47" s="55">
        <v>86.406999999999996</v>
      </c>
      <c r="L47" s="55">
        <v>0.20799999999999999</v>
      </c>
      <c r="M47" s="19">
        <v>0</v>
      </c>
      <c r="N47" s="20">
        <f t="shared" si="0"/>
        <v>2.4001944444444444E-2</v>
      </c>
      <c r="P47" s="60">
        <v>842.45</v>
      </c>
      <c r="Q47" s="60">
        <v>31.2608</v>
      </c>
      <c r="R47" s="60">
        <v>36.383699999999997</v>
      </c>
      <c r="S47" s="60">
        <v>37.3065</v>
      </c>
      <c r="T47" s="60">
        <v>0.93740829999999997</v>
      </c>
      <c r="U47" s="60">
        <v>0.95360500000000004</v>
      </c>
      <c r="V47" s="60">
        <v>0.96391769999999999</v>
      </c>
      <c r="W47" s="60">
        <v>103.246</v>
      </c>
      <c r="X47" s="60">
        <v>0.22500000000000001</v>
      </c>
      <c r="Y47" s="19">
        <v>0</v>
      </c>
      <c r="Z47" s="20">
        <f t="shared" si="5"/>
        <v>2.8679444444444441E-2</v>
      </c>
      <c r="AA47" s="10">
        <f t="shared" si="6"/>
        <v>1.1948800444408438</v>
      </c>
      <c r="AB47" s="15">
        <f t="shared" si="42"/>
        <v>1.0817307692307694</v>
      </c>
      <c r="AC47" s="15" t="e">
        <f t="shared" si="42"/>
        <v>#DIV/0!</v>
      </c>
      <c r="AD47" s="20">
        <f t="shared" si="7"/>
        <v>5.136986301369756E-3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>
        <f>V47/J47</f>
        <v>1.0005127546685846</v>
      </c>
      <c r="AY47" s="15">
        <f t="shared" si="54"/>
        <v>1.0817307692307694</v>
      </c>
      <c r="AZ47" s="15">
        <f t="shared" si="10"/>
        <v>1.1948800444408438</v>
      </c>
      <c r="BA47" s="15"/>
      <c r="BB47" s="15"/>
      <c r="BC47" s="15"/>
      <c r="BD47" s="1">
        <f t="shared" si="12"/>
        <v>0</v>
      </c>
    </row>
    <row r="48" spans="1:56" ht="15.75" thickBot="1" x14ac:dyDescent="0.25">
      <c r="A48" s="13"/>
      <c r="B48" s="8" t="s">
        <v>47</v>
      </c>
      <c r="C48" s="39">
        <v>22</v>
      </c>
      <c r="D48" s="55">
        <v>9012.06</v>
      </c>
      <c r="E48" s="55">
        <v>42.829099999999997</v>
      </c>
      <c r="F48" s="55">
        <v>45.3399</v>
      </c>
      <c r="G48" s="55">
        <v>46.063000000000002</v>
      </c>
      <c r="H48" s="55">
        <v>0.99473659999999997</v>
      </c>
      <c r="I48" s="55">
        <v>0.99299950000000003</v>
      </c>
      <c r="J48" s="55">
        <v>0.99357669999999998</v>
      </c>
      <c r="K48" s="55">
        <v>560.92100000000005</v>
      </c>
      <c r="L48" s="55">
        <v>0.317</v>
      </c>
      <c r="M48" s="10">
        <v>0</v>
      </c>
      <c r="N48" s="11">
        <f t="shared" si="0"/>
        <v>0.1558113888888889</v>
      </c>
      <c r="P48" s="60">
        <v>8985.7800000000007</v>
      </c>
      <c r="Q48" s="60">
        <v>42.819400000000002</v>
      </c>
      <c r="R48" s="60">
        <v>45.317</v>
      </c>
      <c r="S48" s="60">
        <v>46.06</v>
      </c>
      <c r="T48" s="60">
        <v>0.99472609999999995</v>
      </c>
      <c r="U48" s="60">
        <v>0.99297650000000004</v>
      </c>
      <c r="V48" s="60">
        <v>0.99357139999999999</v>
      </c>
      <c r="W48" s="60">
        <v>651.32600000000002</v>
      </c>
      <c r="X48" s="60">
        <v>0.31900000000000001</v>
      </c>
      <c r="Y48" s="10">
        <v>0</v>
      </c>
      <c r="Z48" s="11">
        <f t="shared" si="5"/>
        <v>0.18092388888888888</v>
      </c>
      <c r="AA48" s="10">
        <f t="shared" si="6"/>
        <v>1.1611724289160148</v>
      </c>
      <c r="AB48" s="15">
        <f t="shared" si="42"/>
        <v>1.0063091482649842</v>
      </c>
      <c r="AC48" s="15" t="e">
        <f t="shared" si="42"/>
        <v>#DIV/0!</v>
      </c>
      <c r="AD48" s="11">
        <f t="shared" si="7"/>
        <v>2.9160924361354493E-3</v>
      </c>
      <c r="AE48" s="12"/>
      <c r="AF48" s="25">
        <f t="shared" ref="AF48:AK48" si="55">bdRateExtend($D48:$D52,E48:E52,$P48:$P52,Q48:Q52)</f>
        <v>1.1384821879911744E-3</v>
      </c>
      <c r="AG48" s="30">
        <f t="shared" si="55"/>
        <v>-1.8459116150494337E-3</v>
      </c>
      <c r="AH48" s="31">
        <f t="shared" si="55"/>
        <v>7.3756169549998862E-3</v>
      </c>
      <c r="AI48" s="25">
        <f t="shared" si="55"/>
        <v>1.432594161015821E-3</v>
      </c>
      <c r="AJ48" s="30">
        <f t="shared" si="55"/>
        <v>-2.4032035246221772E-2</v>
      </c>
      <c r="AK48" s="30">
        <f t="shared" si="55"/>
        <v>7.8487186362625749E-3</v>
      </c>
      <c r="AL48" s="45"/>
      <c r="AM48" s="46"/>
      <c r="AN48" s="47"/>
      <c r="AO48" s="46"/>
      <c r="AP48" s="46"/>
      <c r="AQ48" s="47"/>
      <c r="AR48" s="30">
        <f t="shared" ref="AR48:AW48" si="56">bdrate($D48:$D51,E48:E51,$P48:$P51,Q48:Q51)</f>
        <v>1.2795038311894658E-3</v>
      </c>
      <c r="AS48" s="30">
        <f t="shared" si="56"/>
        <v>6.8105226722285916E-3</v>
      </c>
      <c r="AT48" s="31">
        <f t="shared" si="56"/>
        <v>3.5810635322424123E-3</v>
      </c>
      <c r="AU48" s="25">
        <f t="shared" si="56"/>
        <v>-1.5072506543956088E-4</v>
      </c>
      <c r="AV48" s="30">
        <f t="shared" si="56"/>
        <v>-2.9747222181164545E-4</v>
      </c>
      <c r="AW48" s="31">
        <f t="shared" si="56"/>
        <v>-8.6942898853569206E-3</v>
      </c>
      <c r="AX48" s="15"/>
      <c r="AY48" s="15"/>
      <c r="AZ48" s="15"/>
      <c r="BA48" s="15">
        <f>V48/J48</f>
        <v>0.99999466573642481</v>
      </c>
      <c r="BB48" s="15">
        <f t="shared" ref="BB48:BB51" si="57">X48/L48</f>
        <v>1.0063091482649842</v>
      </c>
      <c r="BC48" s="15">
        <f t="shared" si="11"/>
        <v>1.1611724289160148</v>
      </c>
      <c r="BD48" s="1">
        <f t="shared" si="12"/>
        <v>0</v>
      </c>
    </row>
    <row r="49" spans="1:56" ht="15.75" thickBot="1" x14ac:dyDescent="0.25">
      <c r="A49" s="13"/>
      <c r="B49" s="13"/>
      <c r="C49" s="43">
        <v>27</v>
      </c>
      <c r="D49" s="55">
        <v>4520.6400000000003</v>
      </c>
      <c r="E49" s="55">
        <v>40.496699999999997</v>
      </c>
      <c r="F49" s="55">
        <v>43.528799999999997</v>
      </c>
      <c r="G49" s="55">
        <v>44.432699999999997</v>
      </c>
      <c r="H49" s="55">
        <v>0.98909899999999995</v>
      </c>
      <c r="I49" s="55">
        <v>0.98801490000000003</v>
      </c>
      <c r="J49" s="55">
        <v>0.98971439999999999</v>
      </c>
      <c r="K49" s="55">
        <v>321.166</v>
      </c>
      <c r="L49" s="55">
        <v>0.27100000000000002</v>
      </c>
      <c r="M49" s="15">
        <v>0</v>
      </c>
      <c r="N49" s="16">
        <f t="shared" si="0"/>
        <v>8.921277777777778E-2</v>
      </c>
      <c r="P49" s="60">
        <v>4532.46</v>
      </c>
      <c r="Q49" s="60">
        <v>40.503599999999999</v>
      </c>
      <c r="R49" s="60">
        <v>43.493200000000002</v>
      </c>
      <c r="S49" s="60">
        <v>44.4176</v>
      </c>
      <c r="T49" s="60">
        <v>0.98911550000000004</v>
      </c>
      <c r="U49" s="60">
        <v>0.98784419999999995</v>
      </c>
      <c r="V49" s="60">
        <v>0.98968429999999996</v>
      </c>
      <c r="W49" s="60">
        <v>361.601</v>
      </c>
      <c r="X49" s="60">
        <v>0.26800000000000002</v>
      </c>
      <c r="Y49" s="15">
        <v>0</v>
      </c>
      <c r="Z49" s="16">
        <f t="shared" si="5"/>
        <v>0.10044472222222223</v>
      </c>
      <c r="AA49" s="10">
        <f t="shared" si="6"/>
        <v>1.125900624599117</v>
      </c>
      <c r="AB49" s="15">
        <f t="shared" si="42"/>
        <v>0.98892988929889303</v>
      </c>
      <c r="AC49" s="15" t="e">
        <f t="shared" si="42"/>
        <v>#DIV/0!</v>
      </c>
      <c r="AD49" s="16">
        <f t="shared" si="7"/>
        <v>2.6146740284560834E-3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1.5520102487383003E-3</v>
      </c>
      <c r="AM49" s="21">
        <f>bdrate($D49:$D52,F49:F52,$P49:$P52,R49:R52)</f>
        <v>-1.0284318245297408E-2</v>
      </c>
      <c r="AN49" s="36">
        <f t="shared" ref="AN49" si="58">bdrate($D49:$D52,G49:G52,$P49:$P52,S49:S52)</f>
        <v>6.6352598319219247E-3</v>
      </c>
      <c r="AO49" s="26">
        <f>bdrate($D49:$D52,H49:H52,$P49:$P52,T49:T52)</f>
        <v>1.5225278417514421E-3</v>
      </c>
      <c r="AP49" s="21">
        <f>bdrate($D49:$D52,I49:I52,$P49:$P52,U49:U52)</f>
        <v>-3.5534502619470665E-2</v>
      </c>
      <c r="AQ49" s="36">
        <f>bdrate($D49:$D52,J49:J52,$P49:$P52,V49:V52)</f>
        <v>6.210205618832898E-3</v>
      </c>
      <c r="AR49" s="21"/>
      <c r="AS49" s="21"/>
      <c r="AT49" s="36"/>
      <c r="AU49" s="26"/>
      <c r="AV49" s="21"/>
      <c r="AW49" s="36"/>
      <c r="AX49" s="15">
        <f>V49/J49</f>
        <v>0.99996958718595985</v>
      </c>
      <c r="AY49" s="15">
        <f t="shared" ref="AY49:AY52" si="59">X49/L49</f>
        <v>0.98892988929889303</v>
      </c>
      <c r="AZ49" s="15">
        <f t="shared" si="10"/>
        <v>1.125900624599117</v>
      </c>
      <c r="BA49" s="15">
        <f>V49/J49</f>
        <v>0.99996958718595985</v>
      </c>
      <c r="BB49" s="15">
        <f t="shared" si="57"/>
        <v>0.98892988929889303</v>
      </c>
      <c r="BC49" s="15">
        <f t="shared" si="11"/>
        <v>1.125900624599117</v>
      </c>
      <c r="BD49" s="1">
        <f t="shared" si="12"/>
        <v>0</v>
      </c>
    </row>
    <row r="50" spans="1:56" ht="15.75" thickBot="1" x14ac:dyDescent="0.25">
      <c r="A50" s="13"/>
      <c r="B50" s="13"/>
      <c r="C50" s="43">
        <v>32</v>
      </c>
      <c r="D50" s="55">
        <v>2368.62</v>
      </c>
      <c r="E50" s="55">
        <v>38.313200000000002</v>
      </c>
      <c r="F50" s="55">
        <v>42.151200000000003</v>
      </c>
      <c r="G50" s="55">
        <v>42.735900000000001</v>
      </c>
      <c r="H50" s="55">
        <v>0.97936160000000005</v>
      </c>
      <c r="I50" s="55">
        <v>0.98223059999999995</v>
      </c>
      <c r="J50" s="55">
        <v>0.98384579999999999</v>
      </c>
      <c r="K50" s="55">
        <v>197.68199999999999</v>
      </c>
      <c r="L50" s="55">
        <v>0.23899999999999999</v>
      </c>
      <c r="M50" s="15">
        <v>0</v>
      </c>
      <c r="N50" s="16">
        <f t="shared" si="0"/>
        <v>5.4911666666666664E-2</v>
      </c>
      <c r="P50" s="60">
        <v>2373.96</v>
      </c>
      <c r="Q50" s="60">
        <v>38.311300000000003</v>
      </c>
      <c r="R50" s="60">
        <v>42.155700000000003</v>
      </c>
      <c r="S50" s="60">
        <v>42.749299999999998</v>
      </c>
      <c r="T50" s="60">
        <v>0.97941129999999998</v>
      </c>
      <c r="U50" s="60">
        <v>0.98229730000000004</v>
      </c>
      <c r="V50" s="60">
        <v>0.98412849999999996</v>
      </c>
      <c r="W50" s="60">
        <v>215.148</v>
      </c>
      <c r="X50" s="60">
        <v>0.249</v>
      </c>
      <c r="Y50" s="15">
        <v>0</v>
      </c>
      <c r="Z50" s="16">
        <f t="shared" si="5"/>
        <v>5.9763333333333335E-2</v>
      </c>
      <c r="AA50" s="10">
        <f t="shared" si="6"/>
        <v>1.0883540231280542</v>
      </c>
      <c r="AB50" s="15">
        <f t="shared" si="42"/>
        <v>1.0418410041841004</v>
      </c>
      <c r="AC50" s="15" t="e">
        <f t="shared" si="42"/>
        <v>#DIV/0!</v>
      </c>
      <c r="AD50" s="16">
        <f t="shared" si="7"/>
        <v>2.2544772905743198E-3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>
        <f>V50/J50</f>
        <v>1.0002873417765263</v>
      </c>
      <c r="AY50" s="15">
        <f t="shared" si="59"/>
        <v>1.0418410041841004</v>
      </c>
      <c r="AZ50" s="15">
        <f t="shared" si="10"/>
        <v>1.0883540231280542</v>
      </c>
      <c r="BA50" s="15">
        <f>V50/J50</f>
        <v>1.0002873417765263</v>
      </c>
      <c r="BB50" s="15">
        <f t="shared" si="57"/>
        <v>1.0418410041841004</v>
      </c>
      <c r="BC50" s="15">
        <f t="shared" si="11"/>
        <v>1.0883540231280542</v>
      </c>
      <c r="BD50" s="1">
        <f t="shared" si="12"/>
        <v>0</v>
      </c>
    </row>
    <row r="51" spans="1:56" ht="15.75" thickBot="1" x14ac:dyDescent="0.25">
      <c r="A51" s="13"/>
      <c r="B51" s="13"/>
      <c r="C51" s="43">
        <v>37</v>
      </c>
      <c r="D51" s="55">
        <v>1228.6199999999999</v>
      </c>
      <c r="E51" s="55">
        <v>35.940399999999997</v>
      </c>
      <c r="F51" s="55">
        <v>40.688299999999998</v>
      </c>
      <c r="G51" s="55">
        <v>41.584200000000003</v>
      </c>
      <c r="H51" s="55">
        <v>0.96075730000000004</v>
      </c>
      <c r="I51" s="55">
        <v>0.97451149999999997</v>
      </c>
      <c r="J51" s="55">
        <v>0.97856430000000005</v>
      </c>
      <c r="K51" s="55">
        <v>100.295</v>
      </c>
      <c r="L51" s="55">
        <v>0.24199999999999999</v>
      </c>
      <c r="M51" s="15">
        <v>0</v>
      </c>
      <c r="N51" s="16">
        <f t="shared" si="0"/>
        <v>2.7859722222222223E-2</v>
      </c>
      <c r="P51" s="60">
        <v>1227.42</v>
      </c>
      <c r="Q51" s="60">
        <v>35.935899999999997</v>
      </c>
      <c r="R51" s="60">
        <v>40.710700000000003</v>
      </c>
      <c r="S51" s="60">
        <v>41.558100000000003</v>
      </c>
      <c r="T51" s="60">
        <v>0.96071819999999997</v>
      </c>
      <c r="U51" s="60">
        <v>0.97501329999999997</v>
      </c>
      <c r="V51" s="60">
        <v>0.97842759999999995</v>
      </c>
      <c r="W51" s="60">
        <v>116.304</v>
      </c>
      <c r="X51" s="60">
        <v>0.20399999999999999</v>
      </c>
      <c r="Y51" s="15">
        <v>0</v>
      </c>
      <c r="Z51" s="16">
        <f t="shared" si="5"/>
        <v>3.2306666666666664E-2</v>
      </c>
      <c r="AA51" s="10">
        <f t="shared" si="6"/>
        <v>1.159619123585423</v>
      </c>
      <c r="AB51" s="15">
        <f t="shared" si="42"/>
        <v>0.84297520661157022</v>
      </c>
      <c r="AC51" s="15" t="e">
        <f t="shared" si="42"/>
        <v>#DIV/0!</v>
      </c>
      <c r="AD51" s="16">
        <f t="shared" si="7"/>
        <v>9.7670557210514084E-4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>
        <f>V51/J51</f>
        <v>0.99986030555171479</v>
      </c>
      <c r="AY51" s="15">
        <f t="shared" si="59"/>
        <v>0.84297520661157022</v>
      </c>
      <c r="AZ51" s="15">
        <f t="shared" si="10"/>
        <v>1.159619123585423</v>
      </c>
      <c r="BA51" s="15">
        <f>V51/J51</f>
        <v>0.99986030555171479</v>
      </c>
      <c r="BB51" s="15">
        <f t="shared" si="57"/>
        <v>0.84297520661157022</v>
      </c>
      <c r="BC51" s="15">
        <f t="shared" si="11"/>
        <v>1.159619123585423</v>
      </c>
      <c r="BD51" s="1">
        <f t="shared" si="12"/>
        <v>0</v>
      </c>
    </row>
    <row r="52" spans="1:56" ht="15.75" thickBot="1" x14ac:dyDescent="0.25">
      <c r="A52" s="13"/>
      <c r="B52" s="17"/>
      <c r="C52" s="44">
        <v>42</v>
      </c>
      <c r="D52" s="55">
        <v>597.72</v>
      </c>
      <c r="E52" s="55">
        <v>33.479399999999998</v>
      </c>
      <c r="F52" s="55">
        <v>39.691000000000003</v>
      </c>
      <c r="G52" s="55">
        <v>40.425699999999999</v>
      </c>
      <c r="H52" s="55">
        <v>0.92800660000000001</v>
      </c>
      <c r="I52" s="55">
        <v>0.96773509999999996</v>
      </c>
      <c r="J52" s="55">
        <v>0.9717616</v>
      </c>
      <c r="K52" s="55">
        <v>45.603000000000002</v>
      </c>
      <c r="L52" s="55">
        <v>0.26200000000000001</v>
      </c>
      <c r="M52" s="19">
        <v>0</v>
      </c>
      <c r="N52" s="20">
        <f t="shared" si="0"/>
        <v>1.26675E-2</v>
      </c>
      <c r="P52" s="60">
        <v>596.88</v>
      </c>
      <c r="Q52" s="60">
        <v>33.465200000000003</v>
      </c>
      <c r="R52" s="60">
        <v>39.8093</v>
      </c>
      <c r="S52" s="60">
        <v>40.381399999999999</v>
      </c>
      <c r="T52" s="60">
        <v>0.92746949999999995</v>
      </c>
      <c r="U52" s="60">
        <v>0.96914049999999996</v>
      </c>
      <c r="V52" s="60">
        <v>0.97092990000000001</v>
      </c>
      <c r="W52" s="60">
        <v>52.201000000000001</v>
      </c>
      <c r="X52" s="60">
        <v>0.182</v>
      </c>
      <c r="Y52" s="19">
        <v>0</v>
      </c>
      <c r="Z52" s="20">
        <f t="shared" si="5"/>
        <v>1.4500277777777779E-2</v>
      </c>
      <c r="AA52" s="10">
        <f t="shared" si="6"/>
        <v>1.1446834638072056</v>
      </c>
      <c r="AB52" s="15">
        <f t="shared" si="42"/>
        <v>0.69465648854961826</v>
      </c>
      <c r="AC52" s="15" t="e">
        <f t="shared" si="42"/>
        <v>#DIV/0!</v>
      </c>
      <c r="AD52" s="20">
        <f t="shared" si="7"/>
        <v>1.4053402931138857E-3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>
        <f>V52/J52</f>
        <v>0.99914413164710358</v>
      </c>
      <c r="AY52" s="15">
        <f t="shared" si="59"/>
        <v>0.69465648854961826</v>
      </c>
      <c r="AZ52" s="15">
        <f t="shared" si="10"/>
        <v>1.1446834638072056</v>
      </c>
      <c r="BA52" s="15"/>
      <c r="BB52" s="15"/>
      <c r="BC52" s="15"/>
      <c r="BD52" s="1">
        <f t="shared" si="12"/>
        <v>0</v>
      </c>
    </row>
    <row r="53" spans="1:56" ht="15.75" thickBot="1" x14ac:dyDescent="0.25">
      <c r="A53" s="13"/>
      <c r="B53" s="8" t="s">
        <v>46</v>
      </c>
      <c r="C53" s="39">
        <v>22</v>
      </c>
      <c r="D53" s="55">
        <v>2980.32</v>
      </c>
      <c r="E53" s="55">
        <v>48.625799999999998</v>
      </c>
      <c r="F53" s="55">
        <v>50.292700000000004</v>
      </c>
      <c r="G53" s="55">
        <v>51.497999999999998</v>
      </c>
      <c r="H53" s="55">
        <v>0.99794050000000001</v>
      </c>
      <c r="I53" s="55">
        <v>0.99750720000000004</v>
      </c>
      <c r="J53" s="55">
        <v>0.99822699999999998</v>
      </c>
      <c r="K53" s="55">
        <v>191.45099999999999</v>
      </c>
      <c r="L53" s="55">
        <v>0.35299999999999998</v>
      </c>
      <c r="M53" s="10">
        <v>0</v>
      </c>
      <c r="N53" s="11">
        <f t="shared" si="0"/>
        <v>5.318083333333333E-2</v>
      </c>
      <c r="P53" s="60">
        <v>2975.94</v>
      </c>
      <c r="Q53" s="60">
        <v>48.642000000000003</v>
      </c>
      <c r="R53" s="60">
        <v>50.2682</v>
      </c>
      <c r="S53" s="60">
        <v>51.507199999999997</v>
      </c>
      <c r="T53" s="60">
        <v>0.99795520000000004</v>
      </c>
      <c r="U53" s="60">
        <v>0.997506</v>
      </c>
      <c r="V53" s="60">
        <v>0.99821769999999999</v>
      </c>
      <c r="W53" s="60">
        <v>226.267</v>
      </c>
      <c r="X53" s="60">
        <v>0.25600000000000001</v>
      </c>
      <c r="Y53" s="10">
        <v>0</v>
      </c>
      <c r="Z53" s="11">
        <f t="shared" si="5"/>
        <v>6.2851944444444446E-2</v>
      </c>
      <c r="AA53" s="10">
        <f t="shared" si="6"/>
        <v>1.1818533201706964</v>
      </c>
      <c r="AB53" s="15">
        <f t="shared" si="42"/>
        <v>0.72521246458923516</v>
      </c>
      <c r="AC53" s="15" t="e">
        <f t="shared" si="42"/>
        <v>#DIV/0!</v>
      </c>
      <c r="AD53" s="11">
        <f t="shared" si="7"/>
        <v>1.4696408439362583E-3</v>
      </c>
      <c r="AE53" s="12"/>
      <c r="AF53" s="25">
        <f t="shared" ref="AF53:AK53" si="60">bdRateExtend($D53:$D57,E53:E57,$P53:$P57,Q53:Q57)</f>
        <v>3.4757223202834808E-3</v>
      </c>
      <c r="AG53" s="30">
        <f t="shared" si="60"/>
        <v>7.6779322984907861E-3</v>
      </c>
      <c r="AH53" s="31">
        <f t="shared" si="60"/>
        <v>1.9176508018043936E-3</v>
      </c>
      <c r="AI53" s="25">
        <f t="shared" si="60"/>
        <v>5.6040316252226052E-3</v>
      </c>
      <c r="AJ53" s="30">
        <f t="shared" si="60"/>
        <v>1.0572193320108614E-3</v>
      </c>
      <c r="AK53" s="30">
        <f t="shared" si="60"/>
        <v>6.1207906162676906E-3</v>
      </c>
      <c r="AL53" s="26"/>
      <c r="AM53" s="21"/>
      <c r="AN53" s="36"/>
      <c r="AO53" s="21"/>
      <c r="AP53" s="21"/>
      <c r="AQ53" s="36"/>
      <c r="AR53" s="30">
        <f t="shared" ref="AR53:AW53" si="61">bdrate($D53:$D56,E53:E56,$P53:$P56,Q53:Q56)</f>
        <v>3.459406379008545E-3</v>
      </c>
      <c r="AS53" s="30">
        <f t="shared" si="61"/>
        <v>5.6157191103043402E-3</v>
      </c>
      <c r="AT53" s="31">
        <f t="shared" si="61"/>
        <v>-7.1058316010655931E-3</v>
      </c>
      <c r="AU53" s="25">
        <f t="shared" si="61"/>
        <v>4.1893665195449348E-3</v>
      </c>
      <c r="AV53" s="30">
        <f t="shared" si="61"/>
        <v>2.2608119421385631E-4</v>
      </c>
      <c r="AW53" s="31">
        <f t="shared" si="61"/>
        <v>-8.2393914778776667E-3</v>
      </c>
      <c r="AX53" s="15"/>
      <c r="AY53" s="15"/>
      <c r="AZ53" s="15"/>
      <c r="BA53" s="15">
        <f>V53/J53</f>
        <v>0.9999906834818133</v>
      </c>
      <c r="BB53" s="15">
        <f t="shared" ref="BB53:BB56" si="62">X53/L53</f>
        <v>0.72521246458923516</v>
      </c>
      <c r="BC53" s="15">
        <f t="shared" si="11"/>
        <v>1.1818533201706964</v>
      </c>
      <c r="BD53" s="1">
        <f t="shared" si="12"/>
        <v>0</v>
      </c>
    </row>
    <row r="54" spans="1:56" ht="15.75" thickBot="1" x14ac:dyDescent="0.25">
      <c r="A54" s="13"/>
      <c r="B54" s="13"/>
      <c r="C54" s="43">
        <v>27</v>
      </c>
      <c r="D54" s="55">
        <v>1763.34</v>
      </c>
      <c r="E54" s="55">
        <v>46.3292</v>
      </c>
      <c r="F54" s="55">
        <v>47.926000000000002</v>
      </c>
      <c r="G54" s="55">
        <v>48.619599999999998</v>
      </c>
      <c r="H54" s="55">
        <v>0.99646599999999996</v>
      </c>
      <c r="I54" s="55">
        <v>0.99525920000000001</v>
      </c>
      <c r="J54" s="55">
        <v>0.99629380000000001</v>
      </c>
      <c r="K54" s="55">
        <v>114.953</v>
      </c>
      <c r="L54" s="55">
        <v>0.26200000000000001</v>
      </c>
      <c r="M54" s="15">
        <v>0</v>
      </c>
      <c r="N54" s="16">
        <f t="shared" si="0"/>
        <v>3.1931388888888891E-2</v>
      </c>
      <c r="P54" s="60">
        <v>1761.84</v>
      </c>
      <c r="Q54" s="60">
        <v>46.311100000000003</v>
      </c>
      <c r="R54" s="60">
        <v>47.879100000000001</v>
      </c>
      <c r="S54" s="60">
        <v>48.639099999999999</v>
      </c>
      <c r="T54" s="60">
        <v>0.99645229999999996</v>
      </c>
      <c r="U54" s="60">
        <v>0.9952548</v>
      </c>
      <c r="V54" s="60">
        <v>0.9963052</v>
      </c>
      <c r="W54" s="60">
        <v>133.14500000000001</v>
      </c>
      <c r="X54" s="60">
        <v>0.23100000000000001</v>
      </c>
      <c r="Y54" s="15">
        <v>0</v>
      </c>
      <c r="Z54" s="16">
        <f t="shared" si="5"/>
        <v>3.6984722222222224E-2</v>
      </c>
      <c r="AA54" s="10">
        <f t="shared" si="6"/>
        <v>1.1582559828799597</v>
      </c>
      <c r="AB54" s="15">
        <f t="shared" si="42"/>
        <v>0.88167938931297707</v>
      </c>
      <c r="AC54" s="15" t="e">
        <f t="shared" si="42"/>
        <v>#DIV/0!</v>
      </c>
      <c r="AD54" s="16">
        <f t="shared" si="7"/>
        <v>8.5065840960903746E-4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4.5924178914154012E-3</v>
      </c>
      <c r="AM54" s="21">
        <f>bdrate($D54:$D57,F54:F57,$P54:$P57,R54:R57)</f>
        <v>6.7811981472651883E-3</v>
      </c>
      <c r="AN54" s="36">
        <f t="shared" ref="AN54" si="63">bdrate($D54:$D57,G54:G57,$P54:$P57,S54:S57)</f>
        <v>-2.8724953112946316E-4</v>
      </c>
      <c r="AO54" s="26">
        <f>bdrate($D54:$D57,H54:H57,$P54:$P57,T54:T57)</f>
        <v>6.0520847899683261E-3</v>
      </c>
      <c r="AP54" s="21">
        <f>bdrate($D54:$D57,I54:I57,$P54:$P57,U54:U57)</f>
        <v>1.3295269067459259E-3</v>
      </c>
      <c r="AQ54" s="36">
        <f>bdrate($D54:$D57,J54:J57,$P54:$P57,V54:V57)</f>
        <v>5.7223144910663049E-3</v>
      </c>
      <c r="AR54" s="21"/>
      <c r="AS54" s="21"/>
      <c r="AT54" s="36"/>
      <c r="AU54" s="26"/>
      <c r="AV54" s="21"/>
      <c r="AW54" s="36"/>
      <c r="AX54" s="15">
        <f>V54/J54</f>
        <v>1.0000114424078519</v>
      </c>
      <c r="AY54" s="15">
        <f t="shared" ref="AY54:AY57" si="64">X54/L54</f>
        <v>0.88167938931297707</v>
      </c>
      <c r="AZ54" s="15">
        <f t="shared" si="10"/>
        <v>1.1582559828799597</v>
      </c>
      <c r="BA54" s="15">
        <f>V54/J54</f>
        <v>1.0000114424078519</v>
      </c>
      <c r="BB54" s="15">
        <f t="shared" si="62"/>
        <v>0.88167938931297707</v>
      </c>
      <c r="BC54" s="15">
        <f t="shared" si="11"/>
        <v>1.1582559828799597</v>
      </c>
      <c r="BD54" s="1">
        <f t="shared" si="12"/>
        <v>0</v>
      </c>
    </row>
    <row r="55" spans="1:56" ht="15.75" thickBot="1" x14ac:dyDescent="0.25">
      <c r="A55" s="13"/>
      <c r="B55" s="13"/>
      <c r="C55" s="43">
        <v>32</v>
      </c>
      <c r="D55" s="55">
        <v>1026.6600000000001</v>
      </c>
      <c r="E55" s="55">
        <v>43.565600000000003</v>
      </c>
      <c r="F55" s="55">
        <v>45.9221</v>
      </c>
      <c r="G55" s="55">
        <v>45.964700000000001</v>
      </c>
      <c r="H55" s="55">
        <v>0.99327169999999998</v>
      </c>
      <c r="I55" s="55">
        <v>0.991892</v>
      </c>
      <c r="J55" s="55">
        <v>0.99270840000000005</v>
      </c>
      <c r="K55" s="55">
        <v>79.234999999999999</v>
      </c>
      <c r="L55" s="55">
        <v>0.215</v>
      </c>
      <c r="M55" s="15">
        <v>0</v>
      </c>
      <c r="N55" s="16">
        <f t="shared" si="0"/>
        <v>2.2009722222222222E-2</v>
      </c>
      <c r="P55" s="60">
        <v>1030.6199999999999</v>
      </c>
      <c r="Q55" s="60">
        <v>43.553100000000001</v>
      </c>
      <c r="R55" s="60">
        <v>45.937199999999997</v>
      </c>
      <c r="S55" s="60">
        <v>46.077199999999998</v>
      </c>
      <c r="T55" s="60">
        <v>0.99326049999999999</v>
      </c>
      <c r="U55" s="60">
        <v>0.99191399999999996</v>
      </c>
      <c r="V55" s="60">
        <v>0.99289919999999998</v>
      </c>
      <c r="W55" s="60">
        <v>90.281000000000006</v>
      </c>
      <c r="X55" s="60">
        <v>0.21099999999999999</v>
      </c>
      <c r="Y55" s="15">
        <v>0</v>
      </c>
      <c r="Z55" s="16">
        <f t="shared" si="5"/>
        <v>2.5078055555555558E-2</v>
      </c>
      <c r="AA55" s="10">
        <f t="shared" si="6"/>
        <v>1.1394080898592795</v>
      </c>
      <c r="AB55" s="15">
        <f t="shared" si="42"/>
        <v>0.98139534883720925</v>
      </c>
      <c r="AC55" s="15" t="e">
        <f t="shared" si="42"/>
        <v>#DIV/0!</v>
      </c>
      <c r="AD55" s="16">
        <f t="shared" si="7"/>
        <v>3.8571679036875002E-3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>
        <f>V55/J55</f>
        <v>1.0001922014561375</v>
      </c>
      <c r="AY55" s="15">
        <f t="shared" si="64"/>
        <v>0.98139534883720925</v>
      </c>
      <c r="AZ55" s="15">
        <f t="shared" si="10"/>
        <v>1.1394080898592795</v>
      </c>
      <c r="BA55" s="15">
        <f>V55/J55</f>
        <v>1.0001922014561375</v>
      </c>
      <c r="BB55" s="15">
        <f t="shared" si="62"/>
        <v>0.98139534883720925</v>
      </c>
      <c r="BC55" s="15">
        <f t="shared" si="11"/>
        <v>1.1394080898592795</v>
      </c>
      <c r="BD55" s="1">
        <f t="shared" si="12"/>
        <v>0</v>
      </c>
    </row>
    <row r="56" spans="1:56" ht="15.75" thickBot="1" x14ac:dyDescent="0.25">
      <c r="A56" s="13"/>
      <c r="B56" s="13"/>
      <c r="C56" s="43">
        <v>37</v>
      </c>
      <c r="D56" s="55">
        <v>598.32000000000005</v>
      </c>
      <c r="E56" s="55">
        <v>40.622199999999999</v>
      </c>
      <c r="F56" s="55">
        <v>43.744999999999997</v>
      </c>
      <c r="G56" s="55">
        <v>44.455599999999997</v>
      </c>
      <c r="H56" s="55">
        <v>0.98689190000000004</v>
      </c>
      <c r="I56" s="55">
        <v>0.98651120000000003</v>
      </c>
      <c r="J56" s="55">
        <v>0.98935119999999999</v>
      </c>
      <c r="K56" s="55">
        <v>46.941000000000003</v>
      </c>
      <c r="L56" s="55">
        <v>0.18099999999999999</v>
      </c>
      <c r="M56" s="15">
        <v>0</v>
      </c>
      <c r="N56" s="16">
        <f t="shared" si="0"/>
        <v>1.3039166666666668E-2</v>
      </c>
      <c r="P56" s="60">
        <v>597.17999999999995</v>
      </c>
      <c r="Q56" s="60">
        <v>40.594299999999997</v>
      </c>
      <c r="R56" s="60">
        <v>43.7012</v>
      </c>
      <c r="S56" s="60">
        <v>44.3294</v>
      </c>
      <c r="T56" s="60">
        <v>0.98675539999999995</v>
      </c>
      <c r="U56" s="60">
        <v>0.98649640000000005</v>
      </c>
      <c r="V56" s="60">
        <v>0.98914029999999997</v>
      </c>
      <c r="W56" s="60">
        <v>54.911999999999999</v>
      </c>
      <c r="X56" s="60">
        <v>0.19500000000000001</v>
      </c>
      <c r="Y56" s="15">
        <v>0</v>
      </c>
      <c r="Z56" s="16">
        <f t="shared" si="5"/>
        <v>1.5253333333333332E-2</v>
      </c>
      <c r="AA56" s="10">
        <f t="shared" si="6"/>
        <v>1.1698089090560491</v>
      </c>
      <c r="AB56" s="15">
        <f t="shared" si="42"/>
        <v>1.0773480662983426</v>
      </c>
      <c r="AC56" s="15" t="e">
        <f t="shared" si="42"/>
        <v>#DIV/0!</v>
      </c>
      <c r="AD56" s="16">
        <f t="shared" si="7"/>
        <v>1.9053349378260797E-3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>
        <f>V56/J56</f>
        <v>0.99978682999525348</v>
      </c>
      <c r="AY56" s="15">
        <f t="shared" si="64"/>
        <v>1.0773480662983426</v>
      </c>
      <c r="AZ56" s="15">
        <f t="shared" si="10"/>
        <v>1.1698089090560488</v>
      </c>
      <c r="BA56" s="15">
        <f>V56/J56</f>
        <v>0.99978682999525348</v>
      </c>
      <c r="BB56" s="15">
        <f t="shared" si="62"/>
        <v>1.0773480662983426</v>
      </c>
      <c r="BC56" s="15">
        <f t="shared" si="11"/>
        <v>1.1698089090560488</v>
      </c>
      <c r="BD56" s="1">
        <f t="shared" si="12"/>
        <v>0</v>
      </c>
    </row>
    <row r="57" spans="1:56" ht="15.75" thickBot="1" x14ac:dyDescent="0.25">
      <c r="A57" s="17"/>
      <c r="B57" s="17"/>
      <c r="C57" s="44">
        <v>42</v>
      </c>
      <c r="D57" s="55">
        <v>343.44</v>
      </c>
      <c r="E57" s="55">
        <v>37.6783</v>
      </c>
      <c r="F57" s="55">
        <v>42.530099999999997</v>
      </c>
      <c r="G57" s="55">
        <v>43.002499999999998</v>
      </c>
      <c r="H57" s="55">
        <v>0.9754254</v>
      </c>
      <c r="I57" s="55">
        <v>0.98228510000000002</v>
      </c>
      <c r="J57" s="55">
        <v>0.98511689999999996</v>
      </c>
      <c r="K57" s="55">
        <v>28.148</v>
      </c>
      <c r="L57" s="55">
        <v>0.20599999999999999</v>
      </c>
      <c r="M57" s="19">
        <v>0</v>
      </c>
      <c r="N57" s="20">
        <f t="shared" si="0"/>
        <v>7.8188888888888891E-3</v>
      </c>
      <c r="P57" s="60">
        <v>345.42</v>
      </c>
      <c r="Q57" s="60">
        <v>37.679299999999998</v>
      </c>
      <c r="R57" s="60">
        <v>42.520400000000002</v>
      </c>
      <c r="S57" s="60">
        <v>42.969799999999999</v>
      </c>
      <c r="T57" s="60">
        <v>0.97546860000000002</v>
      </c>
      <c r="U57" s="60">
        <v>0.98226309999999994</v>
      </c>
      <c r="V57" s="60">
        <v>0.98496030000000001</v>
      </c>
      <c r="W57" s="60">
        <v>32.220999999999997</v>
      </c>
      <c r="X57" s="60">
        <v>0.17100000000000001</v>
      </c>
      <c r="Y57" s="19">
        <v>0</v>
      </c>
      <c r="Z57" s="20">
        <f t="shared" si="5"/>
        <v>8.9502777777777775E-3</v>
      </c>
      <c r="AA57" s="10">
        <f t="shared" si="6"/>
        <v>1.1446994457865567</v>
      </c>
      <c r="AB57" s="15">
        <f t="shared" si="42"/>
        <v>0.83009708737864085</v>
      </c>
      <c r="AC57" s="15" t="e">
        <f t="shared" si="42"/>
        <v>#DIV/0!</v>
      </c>
      <c r="AD57" s="20">
        <f t="shared" si="7"/>
        <v>5.7651991614256293E-3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>
        <f>V57/J57</f>
        <v>0.9998410340945324</v>
      </c>
      <c r="AY57" s="15">
        <f t="shared" si="64"/>
        <v>0.83009708737864085</v>
      </c>
      <c r="AZ57" s="15">
        <f t="shared" si="10"/>
        <v>1.1446994457865567</v>
      </c>
      <c r="BA57" s="15"/>
      <c r="BB57" s="15"/>
      <c r="BC57" s="15"/>
      <c r="BD57" s="1">
        <f t="shared" si="12"/>
        <v>0</v>
      </c>
    </row>
    <row r="58" spans="1:56" ht="15.75" thickBot="1" x14ac:dyDescent="0.25">
      <c r="A58" s="48" t="s">
        <v>5</v>
      </c>
      <c r="B58" s="8" t="s">
        <v>26</v>
      </c>
      <c r="C58" s="39">
        <v>22</v>
      </c>
      <c r="D58" s="55">
        <v>2215.75</v>
      </c>
      <c r="E58" s="55">
        <v>42.912399999999998</v>
      </c>
      <c r="F58" s="55">
        <v>44.7149</v>
      </c>
      <c r="G58" s="55">
        <v>45.951000000000001</v>
      </c>
      <c r="H58" s="55">
        <v>0.99633459999999996</v>
      </c>
      <c r="I58" s="55">
        <v>0.99585440000000003</v>
      </c>
      <c r="J58" s="55">
        <v>0.99700719999999998</v>
      </c>
      <c r="K58" s="55">
        <v>224.66399999999999</v>
      </c>
      <c r="L58" s="55">
        <v>0.17899999999999999</v>
      </c>
      <c r="M58" s="10">
        <v>0</v>
      </c>
      <c r="N58" s="11">
        <f t="shared" si="0"/>
        <v>6.2406666666666666E-2</v>
      </c>
      <c r="P58" s="60">
        <v>2214.5500000000002</v>
      </c>
      <c r="Q58" s="60">
        <v>42.904899999999998</v>
      </c>
      <c r="R58" s="60">
        <v>44.710900000000002</v>
      </c>
      <c r="S58" s="60">
        <v>45.995699999999999</v>
      </c>
      <c r="T58" s="60">
        <v>0.99632089999999995</v>
      </c>
      <c r="U58" s="60">
        <v>0.99583630000000001</v>
      </c>
      <c r="V58" s="60">
        <v>0.99704499999999996</v>
      </c>
      <c r="W58" s="60">
        <v>204.02600000000001</v>
      </c>
      <c r="X58" s="60">
        <v>0.17299999999999999</v>
      </c>
      <c r="Y58" s="10">
        <v>0</v>
      </c>
      <c r="Z58" s="11">
        <f t="shared" si="5"/>
        <v>5.6673888888888892E-2</v>
      </c>
      <c r="AA58" s="10">
        <f t="shared" si="6"/>
        <v>0.90813837552968002</v>
      </c>
      <c r="AB58" s="10">
        <f>X58/L58</f>
        <v>0.96648044692737423</v>
      </c>
      <c r="AC58" s="10" t="e">
        <f>Y58/M58</f>
        <v>#DIV/0!</v>
      </c>
      <c r="AD58" s="11">
        <f t="shared" si="7"/>
        <v>5.4157734401435998E-4</v>
      </c>
      <c r="AE58" s="40"/>
      <c r="AF58" s="25">
        <f t="shared" ref="AF58:AK58" si="65">bdRateExtend($D58:$D62,E58:E62,$P58:$P62,Q58:Q62)</f>
        <v>3.2337001040603219E-3</v>
      </c>
      <c r="AG58" s="30">
        <f t="shared" si="65"/>
        <v>1.0928192460282649E-2</v>
      </c>
      <c r="AH58" s="31">
        <f t="shared" si="65"/>
        <v>-1.2850791770640524E-2</v>
      </c>
      <c r="AI58" s="25">
        <f t="shared" si="65"/>
        <v>6.0254010721938478E-3</v>
      </c>
      <c r="AJ58" s="30">
        <f t="shared" si="65"/>
        <v>3.5763140562948825E-2</v>
      </c>
      <c r="AK58" s="30">
        <f t="shared" si="65"/>
        <v>-8.0188324528267518E-3</v>
      </c>
      <c r="AL58" s="45"/>
      <c r="AM58" s="46"/>
      <c r="AN58" s="47"/>
      <c r="AO58" s="46"/>
      <c r="AP58" s="46"/>
      <c r="AQ58" s="47"/>
      <c r="AR58" s="30">
        <f t="shared" ref="AR58:AW58" si="66">bdrate($D58:$D61,E58:E61,$P58:$P61,Q58:Q61)</f>
        <v>2.4671276060448388E-3</v>
      </c>
      <c r="AS58" s="30">
        <f t="shared" si="66"/>
        <v>3.2738494610256019E-3</v>
      </c>
      <c r="AT58" s="31">
        <f t="shared" si="66"/>
        <v>-1.5105328529943285E-2</v>
      </c>
      <c r="AU58" s="25">
        <f t="shared" si="66"/>
        <v>3.6899356072928047E-3</v>
      </c>
      <c r="AV58" s="30">
        <f t="shared" si="66"/>
        <v>1.520873970590686E-2</v>
      </c>
      <c r="AW58" s="31">
        <f t="shared" si="66"/>
        <v>2.0224631349943234E-2</v>
      </c>
      <c r="AX58" s="10"/>
      <c r="AY58" s="10"/>
      <c r="AZ58" s="10"/>
      <c r="BA58" s="10">
        <f>V58/J58</f>
        <v>1.0000379134674253</v>
      </c>
      <c r="BB58" s="10">
        <f t="shared" ref="BB58:BB61" si="67">X58/L58</f>
        <v>0.96648044692737423</v>
      </c>
      <c r="BC58" s="10">
        <f t="shared" si="11"/>
        <v>0.90813837552967991</v>
      </c>
      <c r="BD58" s="1">
        <f t="shared" si="12"/>
        <v>0</v>
      </c>
    </row>
    <row r="59" spans="1:56" ht="15.75" thickBot="1" x14ac:dyDescent="0.25">
      <c r="A59" s="13" t="s">
        <v>21</v>
      </c>
      <c r="B59" s="13"/>
      <c r="C59" s="43">
        <v>27</v>
      </c>
      <c r="D59" s="55">
        <v>1171.8</v>
      </c>
      <c r="E59" s="55">
        <v>39.658700000000003</v>
      </c>
      <c r="F59" s="55">
        <v>42.077500000000001</v>
      </c>
      <c r="G59" s="55">
        <v>43.197800000000001</v>
      </c>
      <c r="H59" s="55">
        <v>0.99103799999999997</v>
      </c>
      <c r="I59" s="55">
        <v>0.99221510000000002</v>
      </c>
      <c r="J59" s="55">
        <v>0.99417310000000003</v>
      </c>
      <c r="K59" s="55">
        <v>163.42699999999999</v>
      </c>
      <c r="L59" s="55">
        <v>0.14699999999999999</v>
      </c>
      <c r="M59" s="15">
        <v>0</v>
      </c>
      <c r="N59" s="16">
        <f t="shared" si="0"/>
        <v>4.5396388888888889E-2</v>
      </c>
      <c r="P59" s="60">
        <v>1173.25</v>
      </c>
      <c r="Q59" s="60">
        <v>39.660800000000002</v>
      </c>
      <c r="R59" s="60">
        <v>42.073500000000003</v>
      </c>
      <c r="S59" s="60">
        <v>43.249400000000001</v>
      </c>
      <c r="T59" s="60">
        <v>0.99102429999999997</v>
      </c>
      <c r="U59" s="60">
        <v>0.99230339999999995</v>
      </c>
      <c r="V59" s="60">
        <v>0.99417250000000001</v>
      </c>
      <c r="W59" s="60">
        <v>143.54499999999999</v>
      </c>
      <c r="X59" s="60">
        <v>0.16900000000000001</v>
      </c>
      <c r="Y59" s="15">
        <v>0</v>
      </c>
      <c r="Z59" s="16">
        <f t="shared" si="5"/>
        <v>3.987361111111111E-2</v>
      </c>
      <c r="AA59" s="10">
        <f t="shared" si="6"/>
        <v>0.87834323581782692</v>
      </c>
      <c r="AB59" s="15">
        <f t="shared" ref="AB59:AC77" si="68">X59/L59</f>
        <v>1.1496598639455784</v>
      </c>
      <c r="AC59" s="15" t="e">
        <f t="shared" si="68"/>
        <v>#DIV/0!</v>
      </c>
      <c r="AD59" s="16">
        <f t="shared" si="7"/>
        <v>1.2374125277351473E-3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4.5699972621899843E-3</v>
      </c>
      <c r="AM59" s="21">
        <f>bdrate($D59:$D62,F59:F62,$P59:$P62,R59:R62)</f>
        <v>1.4524439364558273E-2</v>
      </c>
      <c r="AN59" s="36">
        <f t="shared" ref="AN59" si="69">bdrate($D59:$D62,G59:G62,$P59:$P62,S59:S62)</f>
        <v>-1.2988131093666144E-2</v>
      </c>
      <c r="AO59" s="26">
        <f>bdrate($D59:$D62,H59:H62,$P59:$P62,T59:T62)</f>
        <v>6.2922689391644582E-3</v>
      </c>
      <c r="AP59" s="21">
        <f>bdrate($D59:$D62,I59:I62,$P59:$P62,U59:U62)</f>
        <v>4.324701663860453E-2</v>
      </c>
      <c r="AQ59" s="36">
        <f>bdrate($D59:$D62,J59:J62,$P59:$P62,V59:V62)</f>
        <v>-5.5814049625571016E-3</v>
      </c>
      <c r="AR59" s="21"/>
      <c r="AS59" s="21"/>
      <c r="AT59" s="36"/>
      <c r="AU59" s="26"/>
      <c r="AV59" s="21"/>
      <c r="AW59" s="36"/>
      <c r="AX59" s="15">
        <f>V59/J59</f>
        <v>0.99999939648336889</v>
      </c>
      <c r="AY59" s="15">
        <f t="shared" ref="AY59:AY62" si="70">X59/L59</f>
        <v>1.1496598639455784</v>
      </c>
      <c r="AZ59" s="15">
        <f t="shared" si="10"/>
        <v>0.87834323581782692</v>
      </c>
      <c r="BA59" s="15">
        <f>V59/J59</f>
        <v>0.99999939648336889</v>
      </c>
      <c r="BB59" s="15">
        <f t="shared" si="67"/>
        <v>1.1496598639455784</v>
      </c>
      <c r="BC59" s="15">
        <f t="shared" si="11"/>
        <v>0.87834323581782692</v>
      </c>
      <c r="BD59" s="1">
        <f t="shared" si="12"/>
        <v>0</v>
      </c>
    </row>
    <row r="60" spans="1:56" ht="15.75" thickBot="1" x14ac:dyDescent="0.25">
      <c r="A60" s="13"/>
      <c r="B60" s="13"/>
      <c r="C60" s="43">
        <v>32</v>
      </c>
      <c r="D60" s="55">
        <v>621.70000000000005</v>
      </c>
      <c r="E60" s="55">
        <v>36.715200000000003</v>
      </c>
      <c r="F60" s="55">
        <v>39.935600000000001</v>
      </c>
      <c r="G60" s="55">
        <v>40.706299999999999</v>
      </c>
      <c r="H60" s="55">
        <v>0.98001059999999995</v>
      </c>
      <c r="I60" s="55">
        <v>0.986402</v>
      </c>
      <c r="J60" s="55">
        <v>0.98925470000000004</v>
      </c>
      <c r="K60" s="55">
        <v>110.633</v>
      </c>
      <c r="L60" s="55">
        <v>0.126</v>
      </c>
      <c r="M60" s="15">
        <v>0</v>
      </c>
      <c r="N60" s="16">
        <f t="shared" si="0"/>
        <v>3.0731388888888888E-2</v>
      </c>
      <c r="P60" s="60">
        <v>623.45000000000005</v>
      </c>
      <c r="Q60" s="60">
        <v>36.703800000000001</v>
      </c>
      <c r="R60" s="60">
        <v>39.946100000000001</v>
      </c>
      <c r="S60" s="60">
        <v>40.764099999999999</v>
      </c>
      <c r="T60" s="60">
        <v>0.98004570000000002</v>
      </c>
      <c r="U60" s="60">
        <v>0.98624650000000003</v>
      </c>
      <c r="V60" s="60">
        <v>0.9886857</v>
      </c>
      <c r="W60" s="60">
        <v>99.945999999999998</v>
      </c>
      <c r="X60" s="60">
        <v>0.123</v>
      </c>
      <c r="Y60" s="15">
        <v>0</v>
      </c>
      <c r="Z60" s="16">
        <f t="shared" si="5"/>
        <v>2.7762777777777779E-2</v>
      </c>
      <c r="AA60" s="10">
        <f t="shared" si="6"/>
        <v>0.90340133594858674</v>
      </c>
      <c r="AB60" s="15">
        <f t="shared" si="68"/>
        <v>0.97619047619047616</v>
      </c>
      <c r="AC60" s="15" t="e">
        <f t="shared" si="68"/>
        <v>#DIV/0!</v>
      </c>
      <c r="AD60" s="16">
        <f t="shared" si="7"/>
        <v>2.8148624738619913E-3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>
        <f>V60/J60</f>
        <v>0.99942481951311424</v>
      </c>
      <c r="AY60" s="15">
        <f t="shared" si="70"/>
        <v>0.97619047619047616</v>
      </c>
      <c r="AZ60" s="15">
        <f t="shared" si="10"/>
        <v>0.90340133594858685</v>
      </c>
      <c r="BA60" s="15">
        <f>V60/J60</f>
        <v>0.99942481951311424</v>
      </c>
      <c r="BB60" s="15">
        <f t="shared" si="67"/>
        <v>0.97619047619047616</v>
      </c>
      <c r="BC60" s="15">
        <f t="shared" si="11"/>
        <v>0.90340133594858685</v>
      </c>
      <c r="BD60" s="1">
        <f t="shared" si="12"/>
        <v>0</v>
      </c>
    </row>
    <row r="61" spans="1:56" ht="15.75" thickBot="1" x14ac:dyDescent="0.25">
      <c r="A61" s="13"/>
      <c r="B61" s="13"/>
      <c r="C61" s="43">
        <v>37</v>
      </c>
      <c r="D61" s="55">
        <v>340.6</v>
      </c>
      <c r="E61" s="55">
        <v>34.0884</v>
      </c>
      <c r="F61" s="55">
        <v>38.441000000000003</v>
      </c>
      <c r="G61" s="55">
        <v>38.752699999999997</v>
      </c>
      <c r="H61" s="55">
        <v>0.96111040000000003</v>
      </c>
      <c r="I61" s="55">
        <v>0.98142149999999995</v>
      </c>
      <c r="J61" s="55">
        <v>0.98236950000000001</v>
      </c>
      <c r="K61" s="55">
        <v>64.692999999999998</v>
      </c>
      <c r="L61" s="55">
        <v>0.11</v>
      </c>
      <c r="M61" s="15">
        <v>0</v>
      </c>
      <c r="N61" s="16">
        <f t="shared" si="0"/>
        <v>1.7970277777777776E-2</v>
      </c>
      <c r="P61" s="60">
        <v>343.35</v>
      </c>
      <c r="Q61" s="60">
        <v>34.115099999999998</v>
      </c>
      <c r="R61" s="60">
        <v>38.392499999999998</v>
      </c>
      <c r="S61" s="60">
        <v>38.922499999999999</v>
      </c>
      <c r="T61" s="60">
        <v>0.96093779999999995</v>
      </c>
      <c r="U61" s="60">
        <v>0.98074130000000004</v>
      </c>
      <c r="V61" s="60">
        <v>0.98344160000000003</v>
      </c>
      <c r="W61" s="60">
        <v>58.279000000000003</v>
      </c>
      <c r="X61" s="60">
        <v>0.11700000000000001</v>
      </c>
      <c r="Y61" s="15">
        <v>0</v>
      </c>
      <c r="Z61" s="16">
        <f t="shared" si="5"/>
        <v>1.6188611111111112E-2</v>
      </c>
      <c r="AA61" s="10">
        <f t="shared" si="6"/>
        <v>0.90085480654784911</v>
      </c>
      <c r="AB61" s="15">
        <f t="shared" si="68"/>
        <v>1.0636363636363637</v>
      </c>
      <c r="AC61" s="15" t="e">
        <f t="shared" si="68"/>
        <v>#DIV/0!</v>
      </c>
      <c r="AD61" s="16">
        <f t="shared" si="7"/>
        <v>8.073987081620668E-3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>
        <f>V61/J61</f>
        <v>1.0010913408854816</v>
      </c>
      <c r="AY61" s="15">
        <f t="shared" si="70"/>
        <v>1.0636363636363637</v>
      </c>
      <c r="AZ61" s="15">
        <f t="shared" si="10"/>
        <v>0.90085480654784922</v>
      </c>
      <c r="BA61" s="15">
        <f>V61/J61</f>
        <v>1.0010913408854816</v>
      </c>
      <c r="BB61" s="15">
        <f t="shared" si="67"/>
        <v>1.0636363636363637</v>
      </c>
      <c r="BC61" s="15">
        <f t="shared" si="11"/>
        <v>0.90085480654784922</v>
      </c>
      <c r="BD61" s="1">
        <f t="shared" si="12"/>
        <v>0</v>
      </c>
    </row>
    <row r="62" spans="1:56" ht="15.75" thickBot="1" x14ac:dyDescent="0.25">
      <c r="A62" s="13"/>
      <c r="B62" s="17"/>
      <c r="C62" s="44">
        <v>42</v>
      </c>
      <c r="D62" s="55">
        <v>192.3</v>
      </c>
      <c r="E62" s="55">
        <v>31.501200000000001</v>
      </c>
      <c r="F62" s="55">
        <v>36.821300000000001</v>
      </c>
      <c r="G62" s="55">
        <v>36.991399999999999</v>
      </c>
      <c r="H62" s="55">
        <v>0.93006290000000003</v>
      </c>
      <c r="I62" s="55">
        <v>0.97022640000000004</v>
      </c>
      <c r="J62" s="55">
        <v>0.97223250000000005</v>
      </c>
      <c r="K62" s="55">
        <v>36.164999999999999</v>
      </c>
      <c r="L62" s="55">
        <v>0.10199999999999999</v>
      </c>
      <c r="M62" s="19">
        <v>0</v>
      </c>
      <c r="N62" s="20">
        <f t="shared" si="0"/>
        <v>1.0045833333333334E-2</v>
      </c>
      <c r="P62" s="60">
        <v>192.65</v>
      </c>
      <c r="Q62" s="60">
        <v>31.444400000000002</v>
      </c>
      <c r="R62" s="60">
        <v>36.649299999999997</v>
      </c>
      <c r="S62" s="60">
        <v>36.668100000000003</v>
      </c>
      <c r="T62" s="60">
        <v>0.93046099999999998</v>
      </c>
      <c r="U62" s="60">
        <v>0.96894380000000002</v>
      </c>
      <c r="V62" s="60">
        <v>0.96964079999999997</v>
      </c>
      <c r="W62" s="60">
        <v>31.882000000000001</v>
      </c>
      <c r="X62" s="60">
        <v>0.104</v>
      </c>
      <c r="Y62" s="19">
        <v>0</v>
      </c>
      <c r="Z62" s="20">
        <f t="shared" si="5"/>
        <v>8.8561111111111115E-3</v>
      </c>
      <c r="AA62" s="10">
        <f t="shared" si="6"/>
        <v>0.88157057928936822</v>
      </c>
      <c r="AB62" s="15">
        <f t="shared" si="68"/>
        <v>1.0196078431372548</v>
      </c>
      <c r="AC62" s="15" t="e">
        <f t="shared" si="68"/>
        <v>#DIV/0!</v>
      </c>
      <c r="AD62" s="20">
        <f t="shared" si="7"/>
        <v>1.8200728029120869E-3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>
        <f>V62/J62</f>
        <v>0.99733427960904408</v>
      </c>
      <c r="AY62" s="15">
        <f t="shared" si="70"/>
        <v>1.0196078431372548</v>
      </c>
      <c r="AZ62" s="15">
        <f t="shared" si="10"/>
        <v>0.88157057928936822</v>
      </c>
      <c r="BA62" s="15"/>
      <c r="BB62" s="15"/>
      <c r="BC62" s="15"/>
      <c r="BD62" s="1">
        <f t="shared" si="12"/>
        <v>0</v>
      </c>
    </row>
    <row r="63" spans="1:56" ht="15.75" thickBot="1" x14ac:dyDescent="0.25">
      <c r="A63" s="13"/>
      <c r="B63" s="8" t="s">
        <v>17</v>
      </c>
      <c r="C63" s="39">
        <v>22</v>
      </c>
      <c r="D63" s="55">
        <v>3334.08</v>
      </c>
      <c r="E63" s="55">
        <v>42.403500000000001</v>
      </c>
      <c r="F63" s="55">
        <v>44.073399999999999</v>
      </c>
      <c r="G63" s="55">
        <v>45.617400000000004</v>
      </c>
      <c r="H63" s="55">
        <v>0.99738510000000002</v>
      </c>
      <c r="I63" s="55">
        <v>0.99479550000000005</v>
      </c>
      <c r="J63" s="55">
        <v>0.99610500000000002</v>
      </c>
      <c r="K63" s="55">
        <v>241.20699999999999</v>
      </c>
      <c r="L63" s="55">
        <v>0.153</v>
      </c>
      <c r="M63" s="10">
        <v>0</v>
      </c>
      <c r="N63" s="11">
        <f t="shared" si="0"/>
        <v>6.7001944444444447E-2</v>
      </c>
      <c r="P63" s="60">
        <v>3329.94</v>
      </c>
      <c r="Q63" s="60">
        <v>42.392499999999998</v>
      </c>
      <c r="R63" s="60">
        <v>44.128599999999999</v>
      </c>
      <c r="S63" s="60">
        <v>45.645899999999997</v>
      </c>
      <c r="T63" s="60">
        <v>0.99738629999999995</v>
      </c>
      <c r="U63" s="60">
        <v>0.994869</v>
      </c>
      <c r="V63" s="60">
        <v>0.99608779999999997</v>
      </c>
      <c r="W63" s="60">
        <v>222.887</v>
      </c>
      <c r="X63" s="60">
        <v>0.16400000000000001</v>
      </c>
      <c r="Y63" s="10">
        <v>0</v>
      </c>
      <c r="Z63" s="11">
        <f t="shared" si="5"/>
        <v>6.1913055555555555E-2</v>
      </c>
      <c r="AA63" s="10">
        <f t="shared" si="6"/>
        <v>0.92404863872109855</v>
      </c>
      <c r="AB63" s="15">
        <f t="shared" si="68"/>
        <v>1.0718954248366013</v>
      </c>
      <c r="AC63" s="15" t="e">
        <f t="shared" si="68"/>
        <v>#DIV/0!</v>
      </c>
      <c r="AD63" s="11">
        <f t="shared" si="7"/>
        <v>1.2417218543045977E-3</v>
      </c>
      <c r="AE63" s="12"/>
      <c r="AF63" s="25">
        <f t="shared" ref="AF63:AK63" si="71">bdRateExtend($D63:$D67,E63:E67,$P63:$P67,Q63:Q67)</f>
        <v>-1.7283386874666906E-4</v>
      </c>
      <c r="AG63" s="30">
        <f t="shared" si="71"/>
        <v>4.8523149844603708E-5</v>
      </c>
      <c r="AH63" s="31">
        <f t="shared" si="71"/>
        <v>-9.5398571094971185E-3</v>
      </c>
      <c r="AI63" s="25">
        <f t="shared" si="71"/>
        <v>4.869499172939884E-3</v>
      </c>
      <c r="AJ63" s="30">
        <f t="shared" si="71"/>
        <v>1.6325739465872235E-3</v>
      </c>
      <c r="AK63" s="30">
        <f t="shared" si="71"/>
        <v>4.4465980117456283E-3</v>
      </c>
      <c r="AL63" s="26"/>
      <c r="AM63" s="21"/>
      <c r="AN63" s="36"/>
      <c r="AO63" s="21"/>
      <c r="AP63" s="21"/>
      <c r="AQ63" s="36"/>
      <c r="AR63" s="30">
        <f t="shared" ref="AR63:AW63" si="72">bdrate($D63:$D66,E63:E66,$P63:$P66,Q63:Q66)</f>
        <v>-1.0974509972550006E-3</v>
      </c>
      <c r="AS63" s="30">
        <f t="shared" si="72"/>
        <v>5.3524415190204788E-3</v>
      </c>
      <c r="AT63" s="31">
        <f t="shared" si="72"/>
        <v>2.1085381351884092E-3</v>
      </c>
      <c r="AU63" s="25">
        <f t="shared" si="72"/>
        <v>5.0524265017097836E-3</v>
      </c>
      <c r="AV63" s="30">
        <f t="shared" si="72"/>
        <v>9.0760539753009795E-4</v>
      </c>
      <c r="AW63" s="31">
        <f t="shared" si="72"/>
        <v>2.2271492506384938E-2</v>
      </c>
      <c r="AX63" s="15"/>
      <c r="AY63" s="15"/>
      <c r="AZ63" s="15"/>
      <c r="BA63" s="15">
        <f>V63/J63</f>
        <v>0.99998273274403793</v>
      </c>
      <c r="BB63" s="15">
        <f t="shared" ref="BB63:BB66" si="73">X63/L63</f>
        <v>1.0718954248366013</v>
      </c>
      <c r="BC63" s="15">
        <f t="shared" si="11"/>
        <v>0.92404863872109844</v>
      </c>
      <c r="BD63" s="1">
        <f t="shared" si="12"/>
        <v>0</v>
      </c>
    </row>
    <row r="64" spans="1:56" ht="11.25" customHeight="1" thickBot="1" x14ac:dyDescent="0.25">
      <c r="A64" s="13"/>
      <c r="B64" s="13"/>
      <c r="C64" s="43">
        <v>27</v>
      </c>
      <c r="D64" s="55">
        <v>2040.36</v>
      </c>
      <c r="E64" s="55">
        <v>39.388199999999998</v>
      </c>
      <c r="F64" s="55">
        <v>41.6599</v>
      </c>
      <c r="G64" s="55">
        <v>42.754100000000001</v>
      </c>
      <c r="H64" s="55">
        <v>0.99521749999999998</v>
      </c>
      <c r="I64" s="55">
        <v>0.98889590000000005</v>
      </c>
      <c r="J64" s="55">
        <v>0.99095129999999998</v>
      </c>
      <c r="K64" s="55">
        <v>160.82</v>
      </c>
      <c r="L64" s="55">
        <v>0.13600000000000001</v>
      </c>
      <c r="M64" s="15">
        <v>0</v>
      </c>
      <c r="N64" s="16">
        <f t="shared" si="0"/>
        <v>4.4672222222222217E-2</v>
      </c>
      <c r="P64" s="60">
        <v>2049.54</v>
      </c>
      <c r="Q64" s="60">
        <v>39.431199999999997</v>
      </c>
      <c r="R64" s="60">
        <v>41.583399999999997</v>
      </c>
      <c r="S64" s="60">
        <v>42.783700000000003</v>
      </c>
      <c r="T64" s="60">
        <v>0.99522750000000004</v>
      </c>
      <c r="U64" s="60">
        <v>0.98839480000000002</v>
      </c>
      <c r="V64" s="60">
        <v>0.99090370000000005</v>
      </c>
      <c r="W64" s="60">
        <v>144.208</v>
      </c>
      <c r="X64" s="60">
        <v>0.183</v>
      </c>
      <c r="Y64" s="15">
        <v>0</v>
      </c>
      <c r="Z64" s="16">
        <f t="shared" si="5"/>
        <v>4.0057777777777775E-2</v>
      </c>
      <c r="AA64" s="10">
        <f t="shared" si="6"/>
        <v>0.89670439000124369</v>
      </c>
      <c r="AB64" s="15">
        <f t="shared" si="68"/>
        <v>1.3455882352941175</v>
      </c>
      <c r="AC64" s="15" t="e">
        <f t="shared" si="68"/>
        <v>#DIV/0!</v>
      </c>
      <c r="AD64" s="16">
        <f t="shared" si="7"/>
        <v>4.4992060224666548E-3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2.0843968775841049E-4</v>
      </c>
      <c r="AM64" s="21">
        <f>bdrate($D64:$D67,F64:F67,$P64:$P67,R64:R67)</f>
        <v>-7.755270455127472E-3</v>
      </c>
      <c r="AN64" s="36">
        <f t="shared" ref="AN64" si="74">bdrate($D64:$D67,G64:G67,$P64:$P67,S64:S67)</f>
        <v>-6.0588494587626718E-3</v>
      </c>
      <c r="AO64" s="26">
        <f>bdrate($D64:$D67,H64:H67,$P64:$P67,T64:T67)</f>
        <v>5.1344476726433719E-3</v>
      </c>
      <c r="AP64" s="21">
        <f>bdrate($D64:$D67,I64:I67,$P64:$P67,U64:U67)</f>
        <v>-5.3440344980739685E-3</v>
      </c>
      <c r="AQ64" s="36">
        <f>bdrate($D64:$D67,J64:J67,$P64:$P67,V64:V67)</f>
        <v>7.2452060359755599E-3</v>
      </c>
      <c r="AR64" s="21"/>
      <c r="AS64" s="21"/>
      <c r="AT64" s="36"/>
      <c r="AU64" s="26"/>
      <c r="AV64" s="21"/>
      <c r="AW64" s="36"/>
      <c r="AX64" s="15">
        <f>V64/J64</f>
        <v>0.99995196534885222</v>
      </c>
      <c r="AY64" s="15">
        <f t="shared" ref="AY64:AY67" si="75">X64/L64</f>
        <v>1.3455882352941175</v>
      </c>
      <c r="AZ64" s="15">
        <f t="shared" si="10"/>
        <v>0.89670439000124369</v>
      </c>
      <c r="BA64" s="15">
        <f>V64/J64</f>
        <v>0.99995196534885222</v>
      </c>
      <c r="BB64" s="15">
        <f t="shared" si="73"/>
        <v>1.3455882352941175</v>
      </c>
      <c r="BC64" s="15">
        <f t="shared" si="11"/>
        <v>0.89670439000124369</v>
      </c>
      <c r="BD64" s="1">
        <f t="shared" si="12"/>
        <v>0</v>
      </c>
    </row>
    <row r="65" spans="1:56" ht="15.75" thickBot="1" x14ac:dyDescent="0.25">
      <c r="A65" s="13"/>
      <c r="B65" s="13"/>
      <c r="C65" s="43">
        <v>32</v>
      </c>
      <c r="D65" s="55">
        <v>1226.0999999999999</v>
      </c>
      <c r="E65" s="55">
        <v>36.193600000000004</v>
      </c>
      <c r="F65" s="55">
        <v>39.529200000000003</v>
      </c>
      <c r="G65" s="55">
        <v>40.335599999999999</v>
      </c>
      <c r="H65" s="55">
        <v>0.99070530000000001</v>
      </c>
      <c r="I65" s="55">
        <v>0.9776049</v>
      </c>
      <c r="J65" s="55">
        <v>0.98150090000000001</v>
      </c>
      <c r="K65" s="55">
        <v>119.47799999999999</v>
      </c>
      <c r="L65" s="55">
        <v>0.13200000000000001</v>
      </c>
      <c r="M65" s="15">
        <v>0</v>
      </c>
      <c r="N65" s="16">
        <f t="shared" si="0"/>
        <v>3.3188333333333334E-2</v>
      </c>
      <c r="P65" s="60">
        <v>1221.96</v>
      </c>
      <c r="Q65" s="60">
        <v>36.182699999999997</v>
      </c>
      <c r="R65" s="60">
        <v>39.540999999999997</v>
      </c>
      <c r="S65" s="60">
        <v>40.241500000000002</v>
      </c>
      <c r="T65" s="60">
        <v>0.99061759999999999</v>
      </c>
      <c r="U65" s="60">
        <v>0.97806249999999995</v>
      </c>
      <c r="V65" s="60">
        <v>0.98057369999999999</v>
      </c>
      <c r="W65" s="60">
        <v>112.517</v>
      </c>
      <c r="X65" s="60">
        <v>0.13</v>
      </c>
      <c r="Y65" s="15">
        <v>0</v>
      </c>
      <c r="Z65" s="16">
        <f t="shared" si="5"/>
        <v>3.1254722222222218E-2</v>
      </c>
      <c r="AA65" s="10">
        <f t="shared" si="6"/>
        <v>0.94173822795828521</v>
      </c>
      <c r="AB65" s="15">
        <f t="shared" si="68"/>
        <v>0.98484848484848486</v>
      </c>
      <c r="AC65" s="15" t="e">
        <f t="shared" si="68"/>
        <v>#DIV/0!</v>
      </c>
      <c r="AD65" s="16">
        <f t="shared" si="7"/>
        <v>3.3765598238315576E-3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>
        <f>V65/J65</f>
        <v>0.99905532435069599</v>
      </c>
      <c r="AY65" s="15">
        <f t="shared" si="75"/>
        <v>0.98484848484848486</v>
      </c>
      <c r="AZ65" s="15">
        <f t="shared" si="10"/>
        <v>0.9417382279582851</v>
      </c>
      <c r="BA65" s="15">
        <f>V65/J65</f>
        <v>0.99905532435069599</v>
      </c>
      <c r="BB65" s="15">
        <f t="shared" si="73"/>
        <v>0.98484848484848486</v>
      </c>
      <c r="BC65" s="15">
        <f t="shared" si="11"/>
        <v>0.9417382279582851</v>
      </c>
      <c r="BD65" s="1">
        <f t="shared" si="12"/>
        <v>0</v>
      </c>
    </row>
    <row r="66" spans="1:56" ht="15.75" thickBot="1" x14ac:dyDescent="0.25">
      <c r="A66" s="13"/>
      <c r="B66" s="13"/>
      <c r="C66" s="43">
        <v>37</v>
      </c>
      <c r="D66" s="55">
        <v>688.32</v>
      </c>
      <c r="E66" s="55">
        <v>32.836399999999998</v>
      </c>
      <c r="F66" s="55">
        <v>38.036499999999997</v>
      </c>
      <c r="G66" s="55">
        <v>38.817500000000003</v>
      </c>
      <c r="H66" s="55">
        <v>0.98012889999999997</v>
      </c>
      <c r="I66" s="55">
        <v>0.96710779999999996</v>
      </c>
      <c r="J66" s="55">
        <v>0.97156399999999998</v>
      </c>
      <c r="K66" s="55">
        <v>85.65</v>
      </c>
      <c r="L66" s="55">
        <v>0.113</v>
      </c>
      <c r="M66" s="15">
        <v>0</v>
      </c>
      <c r="N66" s="16">
        <f t="shared" si="0"/>
        <v>2.3791666666666669E-2</v>
      </c>
      <c r="P66" s="60">
        <v>694.14</v>
      </c>
      <c r="Q66" s="60">
        <v>32.869500000000002</v>
      </c>
      <c r="R66" s="60">
        <v>38.07</v>
      </c>
      <c r="S66" s="60">
        <v>38.945</v>
      </c>
      <c r="T66" s="60">
        <v>0.98011190000000004</v>
      </c>
      <c r="U66" s="60">
        <v>0.96697619999999995</v>
      </c>
      <c r="V66" s="60">
        <v>0.97196479999999996</v>
      </c>
      <c r="W66" s="60">
        <v>82.430999999999997</v>
      </c>
      <c r="X66" s="60">
        <v>0.124</v>
      </c>
      <c r="Y66" s="15">
        <v>0</v>
      </c>
      <c r="Z66" s="16">
        <f t="shared" si="5"/>
        <v>2.2897499999999998E-2</v>
      </c>
      <c r="AA66" s="10">
        <f t="shared" si="6"/>
        <v>0.962416812609457</v>
      </c>
      <c r="AB66" s="15">
        <f t="shared" si="68"/>
        <v>1.0973451327433628</v>
      </c>
      <c r="AC66" s="15" t="e">
        <f t="shared" si="68"/>
        <v>#DIV/0!</v>
      </c>
      <c r="AD66" s="16">
        <f t="shared" si="7"/>
        <v>8.4553695955368671E-3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>
        <f>V66/J66</f>
        <v>1.000412530723658</v>
      </c>
      <c r="AY66" s="15">
        <f t="shared" si="75"/>
        <v>1.0973451327433628</v>
      </c>
      <c r="AZ66" s="15">
        <f t="shared" si="10"/>
        <v>0.96241681260945688</v>
      </c>
      <c r="BA66" s="15">
        <f>V66/J66</f>
        <v>1.000412530723658</v>
      </c>
      <c r="BB66" s="15">
        <f t="shared" si="73"/>
        <v>1.0973451327433628</v>
      </c>
      <c r="BC66" s="15">
        <f t="shared" si="11"/>
        <v>0.96241681260945688</v>
      </c>
      <c r="BD66" s="1">
        <f t="shared" si="12"/>
        <v>0</v>
      </c>
    </row>
    <row r="67" spans="1:56" ht="15.75" thickBot="1" x14ac:dyDescent="0.25">
      <c r="A67" s="13"/>
      <c r="B67" s="17"/>
      <c r="C67" s="44">
        <v>42</v>
      </c>
      <c r="D67" s="55">
        <v>369.66</v>
      </c>
      <c r="E67" s="55">
        <v>29.7468</v>
      </c>
      <c r="F67" s="55">
        <v>36.665500000000002</v>
      </c>
      <c r="G67" s="55">
        <v>37.360999999999997</v>
      </c>
      <c r="H67" s="55">
        <v>0.95838120000000004</v>
      </c>
      <c r="I67" s="55">
        <v>0.95222689999999999</v>
      </c>
      <c r="J67" s="55">
        <v>0.95742649999999996</v>
      </c>
      <c r="K67" s="55">
        <v>53.756999999999998</v>
      </c>
      <c r="L67" s="55">
        <v>0.112</v>
      </c>
      <c r="M67" s="19">
        <v>0</v>
      </c>
      <c r="N67" s="20">
        <f t="shared" ref="N67:N130" si="76">K67/3600</f>
        <v>1.49325E-2</v>
      </c>
      <c r="P67" s="60">
        <v>364.98</v>
      </c>
      <c r="Q67" s="60">
        <v>29.679500000000001</v>
      </c>
      <c r="R67" s="60">
        <v>36.760800000000003</v>
      </c>
      <c r="S67" s="60">
        <v>37.4878</v>
      </c>
      <c r="T67" s="60">
        <v>0.95788810000000002</v>
      </c>
      <c r="U67" s="60">
        <v>0.95293260000000002</v>
      </c>
      <c r="V67" s="60">
        <v>0.95744189999999996</v>
      </c>
      <c r="W67" s="60">
        <v>50.030999999999999</v>
      </c>
      <c r="X67" s="60">
        <v>0.11</v>
      </c>
      <c r="Y67" s="19">
        <v>0</v>
      </c>
      <c r="Z67" s="20">
        <f t="shared" si="5"/>
        <v>1.38975E-2</v>
      </c>
      <c r="AA67" s="10">
        <f t="shared" si="6"/>
        <v>0.93068809643395278</v>
      </c>
      <c r="AB67" s="15">
        <f t="shared" si="68"/>
        <v>0.9821428571428571</v>
      </c>
      <c r="AC67" s="15" t="e">
        <f t="shared" si="68"/>
        <v>#DIV/0!</v>
      </c>
      <c r="AD67" s="20">
        <f t="shared" si="7"/>
        <v>1.2660282421684809E-2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>
        <f>V67/J67</f>
        <v>1.0000160847856205</v>
      </c>
      <c r="AY67" s="15">
        <f t="shared" si="75"/>
        <v>0.9821428571428571</v>
      </c>
      <c r="AZ67" s="15">
        <f t="shared" si="10"/>
        <v>0.93068809643395278</v>
      </c>
      <c r="BA67" s="15"/>
      <c r="BB67" s="15"/>
      <c r="BC67" s="15"/>
      <c r="BD67" s="1">
        <f t="shared" si="12"/>
        <v>0</v>
      </c>
    </row>
    <row r="68" spans="1:56" ht="15.75" thickBot="1" x14ac:dyDescent="0.25">
      <c r="A68" s="13"/>
      <c r="B68" s="8" t="s">
        <v>27</v>
      </c>
      <c r="C68" s="39">
        <v>22</v>
      </c>
      <c r="D68" s="55">
        <v>6051.55</v>
      </c>
      <c r="E68" s="55">
        <v>41.972099999999998</v>
      </c>
      <c r="F68" s="55">
        <v>42.4221</v>
      </c>
      <c r="G68" s="55">
        <v>43.165500000000002</v>
      </c>
      <c r="H68" s="55">
        <v>0.99839549999999999</v>
      </c>
      <c r="I68" s="55">
        <v>0.99463060000000003</v>
      </c>
      <c r="J68" s="55">
        <v>0.99574810000000002</v>
      </c>
      <c r="K68" s="55">
        <v>268.87900000000002</v>
      </c>
      <c r="L68" s="55">
        <v>0.19700000000000001</v>
      </c>
      <c r="M68" s="10">
        <v>0</v>
      </c>
      <c r="N68" s="11">
        <f t="shared" si="76"/>
        <v>7.4688611111111122E-2</v>
      </c>
      <c r="P68" s="60">
        <v>6055.75</v>
      </c>
      <c r="Q68" s="60">
        <v>41.980400000000003</v>
      </c>
      <c r="R68" s="60">
        <v>42.418500000000002</v>
      </c>
      <c r="S68" s="60">
        <v>43.168100000000003</v>
      </c>
      <c r="T68" s="60">
        <v>0.99840329999999999</v>
      </c>
      <c r="U68" s="60">
        <v>0.99467660000000002</v>
      </c>
      <c r="V68" s="60">
        <v>0.99575219999999998</v>
      </c>
      <c r="W68" s="60">
        <v>253.17099999999999</v>
      </c>
      <c r="X68" s="60">
        <v>0.20399999999999999</v>
      </c>
      <c r="Y68" s="10">
        <v>0</v>
      </c>
      <c r="Z68" s="11">
        <f t="shared" ref="Z68:Z131" si="77">W68/3600</f>
        <v>7.0325277777777778E-2</v>
      </c>
      <c r="AA68" s="10">
        <f t="shared" ref="AA68:AA131" si="78">W68/K68</f>
        <v>0.94157966966553719</v>
      </c>
      <c r="AB68" s="15">
        <f t="shared" si="68"/>
        <v>1.0355329949238579</v>
      </c>
      <c r="AC68" s="15" t="e">
        <f t="shared" si="68"/>
        <v>#DIV/0!</v>
      </c>
      <c r="AD68" s="11">
        <f t="shared" ref="AD68:AD131" si="79">ABS(P68-D68)/D68</f>
        <v>6.9403706488417312E-4</v>
      </c>
      <c r="AE68" s="12"/>
      <c r="AF68" s="25">
        <f t="shared" ref="AF68:AK68" si="80">bdRateExtend($D68:$D72,E68:E72,$P68:$P72,Q68:Q72)</f>
        <v>3.907446775583967E-4</v>
      </c>
      <c r="AG68" s="30">
        <f t="shared" si="80"/>
        <v>-1.2398973969000249E-2</v>
      </c>
      <c r="AH68" s="31">
        <f t="shared" si="80"/>
        <v>-8.7536226785164262E-3</v>
      </c>
      <c r="AI68" s="25">
        <f t="shared" si="80"/>
        <v>1.9238881152907616E-3</v>
      </c>
      <c r="AJ68" s="30">
        <f t="shared" si="80"/>
        <v>-2.9165659884481054E-2</v>
      </c>
      <c r="AK68" s="30">
        <f t="shared" si="80"/>
        <v>-8.8626686661852361E-3</v>
      </c>
      <c r="AL68" s="45"/>
      <c r="AM68" s="46"/>
      <c r="AN68" s="47"/>
      <c r="AO68" s="46"/>
      <c r="AP68" s="46"/>
      <c r="AQ68" s="47"/>
      <c r="AR68" s="30">
        <f t="shared" ref="AR68:AW68" si="81">bdrate($D68:$D71,E68:E71,$P68:$P71,Q68:Q71)</f>
        <v>-4.1228923600389322E-4</v>
      </c>
      <c r="AS68" s="30">
        <f t="shared" si="81"/>
        <v>-2.6718642029740503E-3</v>
      </c>
      <c r="AT68" s="31">
        <f t="shared" si="81"/>
        <v>1.6524997225868532E-3</v>
      </c>
      <c r="AU68" s="25">
        <f t="shared" si="81"/>
        <v>-2.4652451282917154E-3</v>
      </c>
      <c r="AV68" s="30">
        <f t="shared" si="81"/>
        <v>-9.9844925070637913E-3</v>
      </c>
      <c r="AW68" s="31">
        <f t="shared" si="81"/>
        <v>-4.089684430801821E-3</v>
      </c>
      <c r="AX68" s="15"/>
      <c r="AY68" s="15"/>
      <c r="AZ68" s="15"/>
      <c r="BA68" s="15">
        <f>V68/J68</f>
        <v>1.000004117507229</v>
      </c>
      <c r="BB68" s="15">
        <f t="shared" ref="BB68:BB71" si="82">X68/L68</f>
        <v>1.0355329949238579</v>
      </c>
      <c r="BC68" s="15">
        <f t="shared" ref="BC68:BC96" si="83">Z68/N68</f>
        <v>0.94157966966553719</v>
      </c>
      <c r="BD68" s="1">
        <f t="shared" ref="BD68:BD131" si="84">IF((((AF68&lt;0)*AND(AL69&lt;0)*AND(AR68&lt;0))),1,0)</f>
        <v>0</v>
      </c>
    </row>
    <row r="69" spans="1:56" ht="15.75" thickBot="1" x14ac:dyDescent="0.25">
      <c r="A69" s="13"/>
      <c r="B69" s="13"/>
      <c r="C69" s="43">
        <v>27</v>
      </c>
      <c r="D69" s="55">
        <v>3809.1</v>
      </c>
      <c r="E69" s="55">
        <v>37.473799999999997</v>
      </c>
      <c r="F69" s="55">
        <v>38.889400000000002</v>
      </c>
      <c r="G69" s="55">
        <v>39.601199999999999</v>
      </c>
      <c r="H69" s="55">
        <v>0.99542470000000005</v>
      </c>
      <c r="I69" s="55">
        <v>0.98677309999999996</v>
      </c>
      <c r="J69" s="55">
        <v>0.9893016</v>
      </c>
      <c r="K69" s="55">
        <v>225.577</v>
      </c>
      <c r="L69" s="55">
        <v>0.17199999999999999</v>
      </c>
      <c r="M69" s="15">
        <v>0</v>
      </c>
      <c r="N69" s="16">
        <f t="shared" si="76"/>
        <v>6.2660277777777773E-2</v>
      </c>
      <c r="P69" s="60">
        <v>3806.9</v>
      </c>
      <c r="Q69" s="60">
        <v>37.484400000000001</v>
      </c>
      <c r="R69" s="60">
        <v>38.915900000000001</v>
      </c>
      <c r="S69" s="60">
        <v>39.565399999999997</v>
      </c>
      <c r="T69" s="60">
        <v>0.99544129999999997</v>
      </c>
      <c r="U69" s="60">
        <v>0.98694440000000005</v>
      </c>
      <c r="V69" s="60">
        <v>0.98950720000000003</v>
      </c>
      <c r="W69" s="60">
        <v>218.66499999999999</v>
      </c>
      <c r="X69" s="60">
        <v>0.17799999999999999</v>
      </c>
      <c r="Y69" s="15">
        <v>0</v>
      </c>
      <c r="Z69" s="16">
        <f t="shared" si="77"/>
        <v>6.0740277777777775E-2</v>
      </c>
      <c r="AA69" s="10">
        <f t="shared" si="78"/>
        <v>0.96935857822384375</v>
      </c>
      <c r="AB69" s="15">
        <f t="shared" si="68"/>
        <v>1.0348837209302326</v>
      </c>
      <c r="AC69" s="15" t="e">
        <f t="shared" si="68"/>
        <v>#DIV/0!</v>
      </c>
      <c r="AD69" s="16">
        <f t="shared" si="79"/>
        <v>5.7756425402321232E-4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1.0194811392703063E-3</v>
      </c>
      <c r="AM69" s="21">
        <f>bdrate($D69:$D72,F69:F72,$P69:$P72,R69:R72)</f>
        <v>-1.3098748614929989E-2</v>
      </c>
      <c r="AN69" s="36">
        <f t="shared" ref="AN69" si="85">bdrate($D69:$D72,G69:G72,$P69:$P72,S69:S72)</f>
        <v>-1.393724542499708E-2</v>
      </c>
      <c r="AO69" s="26">
        <f>bdrate($D69:$D72,H69:H72,$P69:$P72,T69:T72)</f>
        <v>2.0852847218755244E-3</v>
      </c>
      <c r="AP69" s="21">
        <f>bdrate($D69:$D72,I69:I72,$P69:$P72,U69:U72)</f>
        <v>-3.1940632616234921E-2</v>
      </c>
      <c r="AQ69" s="36">
        <f>bdrate($D69:$D72,J69:J72,$P69:$P72,V69:V72)</f>
        <v>-7.9737431100735945E-3</v>
      </c>
      <c r="AR69" s="21"/>
      <c r="AS69" s="21"/>
      <c r="AT69" s="36"/>
      <c r="AU69" s="26"/>
      <c r="AV69" s="21"/>
      <c r="AW69" s="36"/>
      <c r="AX69" s="15">
        <f>V69/J69</f>
        <v>1.0002078233776233</v>
      </c>
      <c r="AY69" s="15">
        <f t="shared" ref="AY69:AY72" si="86">X69/L69</f>
        <v>1.0348837209302326</v>
      </c>
      <c r="AZ69" s="15">
        <f t="shared" ref="AZ69:AZ97" si="87">Z69/N69</f>
        <v>0.96935857822384375</v>
      </c>
      <c r="BA69" s="15">
        <f>V69/J69</f>
        <v>1.0002078233776233</v>
      </c>
      <c r="BB69" s="15">
        <f t="shared" si="82"/>
        <v>1.0348837209302326</v>
      </c>
      <c r="BC69" s="15">
        <f t="shared" si="83"/>
        <v>0.96935857822384375</v>
      </c>
      <c r="BD69" s="1">
        <f t="shared" si="84"/>
        <v>0</v>
      </c>
    </row>
    <row r="70" spans="1:56" ht="15.75" thickBot="1" x14ac:dyDescent="0.25">
      <c r="A70" s="13"/>
      <c r="B70" s="13"/>
      <c r="C70" s="43">
        <v>32</v>
      </c>
      <c r="D70" s="55">
        <v>2298.5</v>
      </c>
      <c r="E70" s="55">
        <v>33.513500000000001</v>
      </c>
      <c r="F70" s="55">
        <v>36.528599999999997</v>
      </c>
      <c r="G70" s="55">
        <v>37.0032</v>
      </c>
      <c r="H70" s="55">
        <v>0.98829739999999999</v>
      </c>
      <c r="I70" s="55">
        <v>0.9742248</v>
      </c>
      <c r="J70" s="55">
        <v>0.97808459999999997</v>
      </c>
      <c r="K70" s="55">
        <v>186.024</v>
      </c>
      <c r="L70" s="55">
        <v>0.156</v>
      </c>
      <c r="M70" s="15">
        <v>0</v>
      </c>
      <c r="N70" s="16">
        <f t="shared" si="76"/>
        <v>5.1673333333333335E-2</v>
      </c>
      <c r="P70" s="60">
        <v>2294.85</v>
      </c>
      <c r="Q70" s="60">
        <v>33.505800000000001</v>
      </c>
      <c r="R70" s="60">
        <v>36.473100000000002</v>
      </c>
      <c r="S70" s="60">
        <v>36.963799999999999</v>
      </c>
      <c r="T70" s="60">
        <v>0.98835090000000003</v>
      </c>
      <c r="U70" s="60">
        <v>0.97413039999999995</v>
      </c>
      <c r="V70" s="60">
        <v>0.97792590000000001</v>
      </c>
      <c r="W70" s="60">
        <v>181.244</v>
      </c>
      <c r="X70" s="60">
        <v>0.17100000000000001</v>
      </c>
      <c r="Y70" s="15">
        <v>0</v>
      </c>
      <c r="Z70" s="16">
        <f t="shared" si="77"/>
        <v>5.0345555555555553E-2</v>
      </c>
      <c r="AA70" s="10">
        <f t="shared" si="78"/>
        <v>0.97430439083129061</v>
      </c>
      <c r="AB70" s="15">
        <f t="shared" si="68"/>
        <v>1.0961538461538463</v>
      </c>
      <c r="AC70" s="15" t="e">
        <f t="shared" si="68"/>
        <v>#DIV/0!</v>
      </c>
      <c r="AD70" s="16">
        <f t="shared" si="79"/>
        <v>1.5879921688057824E-3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>
        <f>V70/J70</f>
        <v>0.99983774409698312</v>
      </c>
      <c r="AY70" s="15">
        <f t="shared" si="86"/>
        <v>1.0961538461538463</v>
      </c>
      <c r="AZ70" s="15">
        <f t="shared" si="87"/>
        <v>0.9743043908312905</v>
      </c>
      <c r="BA70" s="15">
        <f>V70/J70</f>
        <v>0.99983774409698312</v>
      </c>
      <c r="BB70" s="15">
        <f t="shared" si="82"/>
        <v>1.0961538461538463</v>
      </c>
      <c r="BC70" s="15">
        <f t="shared" si="83"/>
        <v>0.9743043908312905</v>
      </c>
      <c r="BD70" s="1">
        <f t="shared" si="84"/>
        <v>0</v>
      </c>
    </row>
    <row r="71" spans="1:56" ht="15.75" thickBot="1" x14ac:dyDescent="0.25">
      <c r="A71" s="13"/>
      <c r="B71" s="13"/>
      <c r="C71" s="43">
        <v>37</v>
      </c>
      <c r="D71" s="55">
        <v>1263.8499999999999</v>
      </c>
      <c r="E71" s="55">
        <v>29.745200000000001</v>
      </c>
      <c r="F71" s="55">
        <v>34.939</v>
      </c>
      <c r="G71" s="55">
        <v>35.2532</v>
      </c>
      <c r="H71" s="55">
        <v>0.97187959999999995</v>
      </c>
      <c r="I71" s="55">
        <v>0.96006659999999999</v>
      </c>
      <c r="J71" s="55">
        <v>0.96443080000000003</v>
      </c>
      <c r="K71" s="55">
        <v>146.05099999999999</v>
      </c>
      <c r="L71" s="55">
        <v>0.13500000000000001</v>
      </c>
      <c r="M71" s="15">
        <v>0</v>
      </c>
      <c r="N71" s="16">
        <f t="shared" si="76"/>
        <v>4.0569722222222215E-2</v>
      </c>
      <c r="P71" s="60">
        <v>1273.3499999999999</v>
      </c>
      <c r="Q71" s="60">
        <v>29.7636</v>
      </c>
      <c r="R71" s="60">
        <v>35.085000000000001</v>
      </c>
      <c r="S71" s="60">
        <v>35.383800000000001</v>
      </c>
      <c r="T71" s="60">
        <v>0.9721265</v>
      </c>
      <c r="U71" s="60">
        <v>0.96153350000000004</v>
      </c>
      <c r="V71" s="60">
        <v>0.96505050000000003</v>
      </c>
      <c r="W71" s="60">
        <v>133.233</v>
      </c>
      <c r="X71" s="60">
        <v>0.13900000000000001</v>
      </c>
      <c r="Y71" s="15">
        <v>0</v>
      </c>
      <c r="Z71" s="16">
        <f t="shared" si="77"/>
        <v>3.7009166666666669E-2</v>
      </c>
      <c r="AA71" s="10">
        <f t="shared" si="78"/>
        <v>0.91223613669197756</v>
      </c>
      <c r="AB71" s="15">
        <f t="shared" si="68"/>
        <v>1.0296296296296297</v>
      </c>
      <c r="AC71" s="15" t="e">
        <f t="shared" si="68"/>
        <v>#DIV/0!</v>
      </c>
      <c r="AD71" s="16">
        <f t="shared" si="79"/>
        <v>7.5167148000158251E-3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>
        <f>V71/J71</f>
        <v>1.0006425551734763</v>
      </c>
      <c r="AY71" s="15">
        <f t="shared" si="86"/>
        <v>1.0296296296296297</v>
      </c>
      <c r="AZ71" s="15">
        <f t="shared" si="87"/>
        <v>0.91223613669197767</v>
      </c>
      <c r="BA71" s="15">
        <f>V71/J71</f>
        <v>1.0006425551734763</v>
      </c>
      <c r="BB71" s="15">
        <f t="shared" si="82"/>
        <v>1.0296296296296297</v>
      </c>
      <c r="BC71" s="15">
        <f t="shared" si="83"/>
        <v>0.91223613669197767</v>
      </c>
      <c r="BD71" s="1">
        <f t="shared" si="84"/>
        <v>0</v>
      </c>
    </row>
    <row r="72" spans="1:56" ht="15.75" thickBot="1" x14ac:dyDescent="0.25">
      <c r="A72" s="13"/>
      <c r="B72" s="17"/>
      <c r="C72" s="44">
        <v>42</v>
      </c>
      <c r="D72" s="55">
        <v>596.45000000000005</v>
      </c>
      <c r="E72" s="55">
        <v>26.267199999999999</v>
      </c>
      <c r="F72" s="55">
        <v>33.542099999999998</v>
      </c>
      <c r="G72" s="55">
        <v>33.760100000000001</v>
      </c>
      <c r="H72" s="55">
        <v>0.93422430000000001</v>
      </c>
      <c r="I72" s="55">
        <v>0.941994</v>
      </c>
      <c r="J72" s="55">
        <v>0.94790969999999997</v>
      </c>
      <c r="K72" s="55">
        <v>95.367999999999995</v>
      </c>
      <c r="L72" s="55">
        <v>0.129</v>
      </c>
      <c r="M72" s="19">
        <v>0</v>
      </c>
      <c r="N72" s="20">
        <f t="shared" si="76"/>
        <v>2.6491111111111111E-2</v>
      </c>
      <c r="P72" s="60">
        <v>596.04999999999995</v>
      </c>
      <c r="Q72" s="60">
        <v>26.264299999999999</v>
      </c>
      <c r="R72" s="60">
        <v>33.592799999999997</v>
      </c>
      <c r="S72" s="60">
        <v>33.869100000000003</v>
      </c>
      <c r="T72" s="60">
        <v>0.93331160000000002</v>
      </c>
      <c r="U72" s="60">
        <v>0.94331500000000001</v>
      </c>
      <c r="V72" s="60">
        <v>0.94787889999999997</v>
      </c>
      <c r="W72" s="60">
        <v>95.179000000000002</v>
      </c>
      <c r="X72" s="60">
        <v>0.126</v>
      </c>
      <c r="Y72" s="19">
        <v>0</v>
      </c>
      <c r="Z72" s="20">
        <f t="shared" si="77"/>
        <v>2.6438611111111111E-2</v>
      </c>
      <c r="AA72" s="10">
        <f t="shared" si="78"/>
        <v>0.99801820317087497</v>
      </c>
      <c r="AB72" s="15">
        <f t="shared" si="68"/>
        <v>0.97674418604651159</v>
      </c>
      <c r="AC72" s="15" t="e">
        <f t="shared" si="68"/>
        <v>#DIV/0!</v>
      </c>
      <c r="AD72" s="20">
        <f t="shared" si="79"/>
        <v>6.7063458797902748E-4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>
        <f>V72/J72</f>
        <v>0.99996750745350538</v>
      </c>
      <c r="AY72" s="15">
        <f t="shared" si="86"/>
        <v>0.97674418604651159</v>
      </c>
      <c r="AZ72" s="15">
        <f t="shared" si="87"/>
        <v>0.99801820317087486</v>
      </c>
      <c r="BA72" s="15"/>
      <c r="BB72" s="15"/>
      <c r="BC72" s="15"/>
      <c r="BD72" s="1">
        <f t="shared" si="84"/>
        <v>0</v>
      </c>
    </row>
    <row r="73" spans="1:56" ht="15.75" thickBot="1" x14ac:dyDescent="0.25">
      <c r="A73" s="13"/>
      <c r="B73" s="8" t="s">
        <v>28</v>
      </c>
      <c r="C73" s="39">
        <v>22</v>
      </c>
      <c r="D73" s="55">
        <v>2099.85</v>
      </c>
      <c r="E73" s="55">
        <v>43.209299999999999</v>
      </c>
      <c r="F73" s="55">
        <v>43.644799999999996</v>
      </c>
      <c r="G73" s="55">
        <v>44.431199999999997</v>
      </c>
      <c r="H73" s="55">
        <v>0.99756489999999998</v>
      </c>
      <c r="I73" s="55">
        <v>0.99616769999999999</v>
      </c>
      <c r="J73" s="55">
        <v>0.99616839999999995</v>
      </c>
      <c r="K73" s="55">
        <v>203.39500000000001</v>
      </c>
      <c r="L73" s="55">
        <v>0.153</v>
      </c>
      <c r="M73" s="10">
        <v>0</v>
      </c>
      <c r="N73" s="11">
        <f t="shared" si="76"/>
        <v>5.6498611111111111E-2</v>
      </c>
      <c r="P73" s="60">
        <v>2097.63</v>
      </c>
      <c r="Q73" s="60">
        <v>43.2042</v>
      </c>
      <c r="R73" s="60">
        <v>43.686500000000002</v>
      </c>
      <c r="S73" s="60">
        <v>44.410800000000002</v>
      </c>
      <c r="T73" s="60">
        <v>0.99757560000000001</v>
      </c>
      <c r="U73" s="60">
        <v>0.99620379999999997</v>
      </c>
      <c r="V73" s="60">
        <v>0.99614329999999995</v>
      </c>
      <c r="W73" s="60">
        <v>195.18199999999999</v>
      </c>
      <c r="X73" s="60">
        <v>0.154</v>
      </c>
      <c r="Y73" s="10">
        <v>0</v>
      </c>
      <c r="Z73" s="11">
        <f t="shared" si="77"/>
        <v>5.4217222222222222E-2</v>
      </c>
      <c r="AA73" s="10">
        <f t="shared" si="78"/>
        <v>0.9596204429804075</v>
      </c>
      <c r="AB73" s="15">
        <f t="shared" si="68"/>
        <v>1.0065359477124183</v>
      </c>
      <c r="AC73" s="15" t="e">
        <f t="shared" si="68"/>
        <v>#DIV/0!</v>
      </c>
      <c r="AD73" s="11">
        <f t="shared" si="79"/>
        <v>1.0572183727408147E-3</v>
      </c>
      <c r="AE73" s="12"/>
      <c r="AF73" s="25">
        <f t="shared" ref="AF73:AK73" si="88">bdRateExtend($D73:$D77,E73:E77,$P73:$P77,Q73:Q77)</f>
        <v>-1.1296407567940037E-4</v>
      </c>
      <c r="AG73" s="30">
        <f t="shared" si="88"/>
        <v>-3.1358000114312112E-3</v>
      </c>
      <c r="AH73" s="31">
        <f t="shared" si="88"/>
        <v>-6.6965686083945153E-3</v>
      </c>
      <c r="AI73" s="25">
        <f t="shared" si="88"/>
        <v>8.1807085913290223E-3</v>
      </c>
      <c r="AJ73" s="30">
        <f t="shared" si="88"/>
        <v>-2.6984280298277818E-3</v>
      </c>
      <c r="AK73" s="30">
        <f t="shared" si="88"/>
        <v>-1.6407960440276481E-2</v>
      </c>
      <c r="AL73" s="26"/>
      <c r="AM73" s="21"/>
      <c r="AN73" s="36"/>
      <c r="AO73" s="21"/>
      <c r="AP73" s="21"/>
      <c r="AQ73" s="36"/>
      <c r="AR73" s="30">
        <f t="shared" ref="AR73:AT73" si="89">bdrate($D73:$D76,E73:E76,$P73:$P76,Q73:Q76)</f>
        <v>-7.641342371478288E-5</v>
      </c>
      <c r="AS73" s="30">
        <f t="shared" si="89"/>
        <v>-3.4466848980000409E-3</v>
      </c>
      <c r="AT73" s="31">
        <f t="shared" si="89"/>
        <v>-8.5650307806159898E-3</v>
      </c>
      <c r="AU73" s="25">
        <f>bdrate($D73:$D76,H73:H76,$P73:$P76,T73:T76)</f>
        <v>3.4460779475071757E-3</v>
      </c>
      <c r="AV73" s="30">
        <f>bdrate($D73:$D76,H73:H76,$P73:$P76,T73:T76)</f>
        <v>3.4460779475071757E-3</v>
      </c>
      <c r="AW73" s="31">
        <f>bdrate($D73:$D76,I73:I76,$P73:$P76,U73:U76)</f>
        <v>-7.6805096263388162E-4</v>
      </c>
      <c r="AX73" s="15"/>
      <c r="AY73" s="15"/>
      <c r="AZ73" s="15"/>
      <c r="BA73" s="15">
        <f>V73/J73</f>
        <v>0.99997480345692558</v>
      </c>
      <c r="BB73" s="15">
        <f t="shared" ref="BB73:BB76" si="90">X73/L73</f>
        <v>1.0065359477124183</v>
      </c>
      <c r="BC73" s="15">
        <f t="shared" si="83"/>
        <v>0.95962044298040761</v>
      </c>
      <c r="BD73" s="1">
        <f t="shared" si="84"/>
        <v>0</v>
      </c>
    </row>
    <row r="74" spans="1:56" ht="15.75" thickBot="1" x14ac:dyDescent="0.25">
      <c r="A74" s="13"/>
      <c r="B74" s="13"/>
      <c r="C74" s="43">
        <v>27</v>
      </c>
      <c r="D74" s="55">
        <v>1261.56</v>
      </c>
      <c r="E74" s="55">
        <v>39.442399999999999</v>
      </c>
      <c r="F74" s="55">
        <v>39.950899999999997</v>
      </c>
      <c r="G74" s="55">
        <v>41.397399999999998</v>
      </c>
      <c r="H74" s="55">
        <v>0.99464520000000001</v>
      </c>
      <c r="I74" s="55">
        <v>0.98943219999999998</v>
      </c>
      <c r="J74" s="55">
        <v>0.99073739999999999</v>
      </c>
      <c r="K74" s="55">
        <v>152.54599999999999</v>
      </c>
      <c r="L74" s="55">
        <v>0.14599999999999999</v>
      </c>
      <c r="M74" s="15">
        <v>0</v>
      </c>
      <c r="N74" s="16">
        <f t="shared" si="76"/>
        <v>4.2373888888888885E-2</v>
      </c>
      <c r="P74" s="60">
        <v>1257.3900000000001</v>
      </c>
      <c r="Q74" s="60">
        <v>39.4251</v>
      </c>
      <c r="R74" s="60">
        <v>39.901400000000002</v>
      </c>
      <c r="S74" s="60">
        <v>41.369599999999998</v>
      </c>
      <c r="T74" s="60">
        <v>0.99470320000000001</v>
      </c>
      <c r="U74" s="60">
        <v>0.9891799</v>
      </c>
      <c r="V74" s="60">
        <v>0.99070639999999999</v>
      </c>
      <c r="W74" s="60">
        <v>146.64400000000001</v>
      </c>
      <c r="X74" s="60">
        <v>0.14199999999999999</v>
      </c>
      <c r="Y74" s="15">
        <v>0</v>
      </c>
      <c r="Z74" s="16">
        <f t="shared" si="77"/>
        <v>4.0734444444444448E-2</v>
      </c>
      <c r="AA74" s="10">
        <f t="shared" si="78"/>
        <v>0.96131003107259461</v>
      </c>
      <c r="AB74" s="15">
        <f t="shared" si="68"/>
        <v>0.9726027397260274</v>
      </c>
      <c r="AC74" s="15" t="e">
        <f t="shared" si="68"/>
        <v>#DIV/0!</v>
      </c>
      <c r="AD74" s="16">
        <f t="shared" si="79"/>
        <v>3.3054313706837929E-3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3.2307015093313574E-4</v>
      </c>
      <c r="AM74" s="21">
        <f>bdrate($D74:$D77,F74:F77,$P74:$P77,R74:R77)</f>
        <v>-1.4062524293209644E-2</v>
      </c>
      <c r="AN74" s="36">
        <f t="shared" ref="AN74" si="91">bdrate($D74:$D77,G74:G77,$P74:$P77,S74:S77)</f>
        <v>-1.4978451992367692E-2</v>
      </c>
      <c r="AO74" s="26">
        <f>bdrate($D74:$D77,H74:H77,$P74:$P77,T74:T77)</f>
        <v>9.2119567892392507E-3</v>
      </c>
      <c r="AP74" s="21">
        <f>bdrate($D74:$D77,I74:I77,$P74:$P77,U74:U77)</f>
        <v>-5.7822841045985784E-3</v>
      </c>
      <c r="AQ74" s="36">
        <f>bdrate($D74:$D77,J74:J77,$P74:$P77,V74:V77)</f>
        <v>-2.153578282799895E-2</v>
      </c>
      <c r="AR74" s="21"/>
      <c r="AS74" s="21"/>
      <c r="AT74" s="36"/>
      <c r="AU74" s="26"/>
      <c r="AV74" s="21"/>
      <c r="AW74" s="36"/>
      <c r="AX74" s="15">
        <f>V74/J74</f>
        <v>0.99996871017486566</v>
      </c>
      <c r="AY74" s="15">
        <f t="shared" ref="AY74:AY77" si="92">X74/L74</f>
        <v>0.9726027397260274</v>
      </c>
      <c r="AZ74" s="15">
        <f t="shared" si="87"/>
        <v>0.96131003107259472</v>
      </c>
      <c r="BA74" s="15">
        <f>V74/J74</f>
        <v>0.99996871017486566</v>
      </c>
      <c r="BB74" s="15">
        <f t="shared" si="90"/>
        <v>0.9726027397260274</v>
      </c>
      <c r="BC74" s="15">
        <f t="shared" si="83"/>
        <v>0.96131003107259472</v>
      </c>
      <c r="BD74" s="1">
        <f t="shared" si="84"/>
        <v>0</v>
      </c>
    </row>
    <row r="75" spans="1:56" ht="15.75" thickBot="1" x14ac:dyDescent="0.25">
      <c r="A75" s="13"/>
      <c r="B75" s="13"/>
      <c r="C75" s="43">
        <v>32</v>
      </c>
      <c r="D75" s="55">
        <v>733.2</v>
      </c>
      <c r="E75" s="55">
        <v>35.798200000000001</v>
      </c>
      <c r="F75" s="55">
        <v>37.425800000000002</v>
      </c>
      <c r="G75" s="55">
        <v>39.069499999999998</v>
      </c>
      <c r="H75" s="55">
        <v>0.98884139999999998</v>
      </c>
      <c r="I75" s="55">
        <v>0.97779380000000005</v>
      </c>
      <c r="J75" s="55">
        <v>0.98236259999999997</v>
      </c>
      <c r="K75" s="55">
        <v>115.67100000000001</v>
      </c>
      <c r="L75" s="55">
        <v>0.13100000000000001</v>
      </c>
      <c r="M75" s="15">
        <v>0</v>
      </c>
      <c r="N75" s="16">
        <f t="shared" si="76"/>
        <v>3.2130833333333338E-2</v>
      </c>
      <c r="P75" s="60">
        <v>732.51</v>
      </c>
      <c r="Q75" s="60">
        <v>35.780999999999999</v>
      </c>
      <c r="R75" s="60">
        <v>37.497300000000003</v>
      </c>
      <c r="S75" s="60">
        <v>39.162500000000001</v>
      </c>
      <c r="T75" s="60">
        <v>0.98874430000000002</v>
      </c>
      <c r="U75" s="60">
        <v>0.97790809999999995</v>
      </c>
      <c r="V75" s="60">
        <v>0.98314999999999997</v>
      </c>
      <c r="W75" s="60">
        <v>117.21299999999999</v>
      </c>
      <c r="X75" s="60">
        <v>0.13500000000000001</v>
      </c>
      <c r="Y75" s="15">
        <v>0</v>
      </c>
      <c r="Z75" s="16">
        <f t="shared" si="77"/>
        <v>3.2559166666666667E-2</v>
      </c>
      <c r="AA75" s="10">
        <f t="shared" si="78"/>
        <v>1.0133309126747412</v>
      </c>
      <c r="AB75" s="15">
        <f t="shared" si="68"/>
        <v>1.0305343511450382</v>
      </c>
      <c r="AC75" s="15" t="e">
        <f t="shared" si="68"/>
        <v>#DIV/0!</v>
      </c>
      <c r="AD75" s="16">
        <f t="shared" si="79"/>
        <v>9.4108019639941969E-4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>
        <f>V75/J75</f>
        <v>1.0008015370291987</v>
      </c>
      <c r="AY75" s="15">
        <f t="shared" si="92"/>
        <v>1.0305343511450382</v>
      </c>
      <c r="AZ75" s="15">
        <f t="shared" si="87"/>
        <v>1.0133309126747412</v>
      </c>
      <c r="BA75" s="15">
        <f>V75/J75</f>
        <v>1.0008015370291987</v>
      </c>
      <c r="BB75" s="15">
        <f t="shared" si="90"/>
        <v>1.0305343511450382</v>
      </c>
      <c r="BC75" s="15">
        <f t="shared" si="83"/>
        <v>1.0133309126747412</v>
      </c>
      <c r="BD75" s="1">
        <f t="shared" si="84"/>
        <v>0</v>
      </c>
    </row>
    <row r="76" spans="1:56" ht="15.75" thickBot="1" x14ac:dyDescent="0.25">
      <c r="A76" s="13"/>
      <c r="B76" s="13"/>
      <c r="C76" s="43">
        <v>37</v>
      </c>
      <c r="D76" s="55">
        <v>385.53</v>
      </c>
      <c r="E76" s="55">
        <v>32.176000000000002</v>
      </c>
      <c r="F76" s="55">
        <v>36.182000000000002</v>
      </c>
      <c r="G76" s="55">
        <v>37.341799999999999</v>
      </c>
      <c r="H76" s="55">
        <v>0.97441279999999997</v>
      </c>
      <c r="I76" s="55">
        <v>0.96793490000000004</v>
      </c>
      <c r="J76" s="55">
        <v>0.97296649999999996</v>
      </c>
      <c r="K76" s="55">
        <v>85.831000000000003</v>
      </c>
      <c r="L76" s="55">
        <v>0.126</v>
      </c>
      <c r="M76" s="15">
        <v>0</v>
      </c>
      <c r="N76" s="16">
        <f t="shared" si="76"/>
        <v>2.3841944444444447E-2</v>
      </c>
      <c r="P76" s="60">
        <v>382.17</v>
      </c>
      <c r="Q76" s="60">
        <v>32.146700000000003</v>
      </c>
      <c r="R76" s="60">
        <v>36.156700000000001</v>
      </c>
      <c r="S76" s="60">
        <v>37.365299999999998</v>
      </c>
      <c r="T76" s="60">
        <v>0.97384490000000001</v>
      </c>
      <c r="U76" s="60">
        <v>0.96794760000000002</v>
      </c>
      <c r="V76" s="60">
        <v>0.97315589999999996</v>
      </c>
      <c r="W76" s="60">
        <v>86.322000000000003</v>
      </c>
      <c r="X76" s="60">
        <v>0.121</v>
      </c>
      <c r="Y76" s="15">
        <v>0</v>
      </c>
      <c r="Z76" s="16">
        <f t="shared" si="77"/>
        <v>2.3978333333333334E-2</v>
      </c>
      <c r="AA76" s="10">
        <f t="shared" si="78"/>
        <v>1.0057205438594448</v>
      </c>
      <c r="AB76" s="15">
        <f t="shared" si="68"/>
        <v>0.96031746031746024</v>
      </c>
      <c r="AC76" s="15" t="e">
        <f t="shared" si="68"/>
        <v>#DIV/0!</v>
      </c>
      <c r="AD76" s="16">
        <f t="shared" si="79"/>
        <v>8.7152750758694702E-3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>
        <f>V76/J76</f>
        <v>1.0001946624061568</v>
      </c>
      <c r="AY76" s="15">
        <f t="shared" si="92"/>
        <v>0.96031746031746024</v>
      </c>
      <c r="AZ76" s="15">
        <f t="shared" si="87"/>
        <v>1.0057205438594448</v>
      </c>
      <c r="BA76" s="15">
        <f>V76/J76</f>
        <v>1.0001946624061568</v>
      </c>
      <c r="BB76" s="15">
        <f t="shared" si="90"/>
        <v>0.96031746031746024</v>
      </c>
      <c r="BC76" s="15">
        <f t="shared" si="83"/>
        <v>1.0057205438594448</v>
      </c>
      <c r="BD76" s="1">
        <f t="shared" si="84"/>
        <v>0</v>
      </c>
    </row>
    <row r="77" spans="1:56" ht="15.75" thickBot="1" x14ac:dyDescent="0.25">
      <c r="A77" s="17"/>
      <c r="B77" s="17"/>
      <c r="C77" s="44">
        <v>42</v>
      </c>
      <c r="D77" s="55">
        <v>166.86</v>
      </c>
      <c r="E77" s="55">
        <v>28.867999999999999</v>
      </c>
      <c r="F77" s="55">
        <v>34.8797</v>
      </c>
      <c r="G77" s="55">
        <v>35.820300000000003</v>
      </c>
      <c r="H77" s="55">
        <v>0.93499310000000002</v>
      </c>
      <c r="I77" s="55">
        <v>0.95468629999999999</v>
      </c>
      <c r="J77" s="55">
        <v>0.96095410000000003</v>
      </c>
      <c r="K77" s="55">
        <v>51.404000000000003</v>
      </c>
      <c r="L77" s="55">
        <v>0.111</v>
      </c>
      <c r="M77" s="19">
        <v>0</v>
      </c>
      <c r="N77" s="20">
        <f t="shared" si="76"/>
        <v>1.427888888888889E-2</v>
      </c>
      <c r="P77" s="60">
        <v>169.14</v>
      </c>
      <c r="Q77" s="60">
        <v>28.895199999999999</v>
      </c>
      <c r="R77" s="60">
        <v>34.938099999999999</v>
      </c>
      <c r="S77" s="60">
        <v>35.790399999999998</v>
      </c>
      <c r="T77" s="60">
        <v>0.93571400000000005</v>
      </c>
      <c r="U77" s="60">
        <v>0.95494489999999999</v>
      </c>
      <c r="V77" s="60">
        <v>0.96073719999999996</v>
      </c>
      <c r="W77" s="60">
        <v>52.363</v>
      </c>
      <c r="X77" s="60">
        <v>0.121</v>
      </c>
      <c r="Y77" s="19">
        <v>0</v>
      </c>
      <c r="Z77" s="20">
        <f t="shared" si="77"/>
        <v>1.4545277777777778E-2</v>
      </c>
      <c r="AA77" s="10">
        <f t="shared" si="78"/>
        <v>1.0186561357092832</v>
      </c>
      <c r="AB77" s="19">
        <f t="shared" si="68"/>
        <v>1.0900900900900901</v>
      </c>
      <c r="AC77" s="19" t="e">
        <f t="shared" si="68"/>
        <v>#DIV/0!</v>
      </c>
      <c r="AD77" s="20">
        <f t="shared" si="79"/>
        <v>1.3664149586479518E-2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>
        <f>V77/J77</f>
        <v>0.99977428682597835</v>
      </c>
      <c r="AY77" s="19">
        <f t="shared" si="92"/>
        <v>1.0900900900900901</v>
      </c>
      <c r="AZ77" s="19">
        <f t="shared" si="87"/>
        <v>1.0186561357092834</v>
      </c>
      <c r="BA77" s="19"/>
      <c r="BB77" s="19"/>
      <c r="BC77" s="19"/>
      <c r="BD77" s="1">
        <f t="shared" si="84"/>
        <v>0</v>
      </c>
    </row>
    <row r="78" spans="1:56" ht="15.75" thickBot="1" x14ac:dyDescent="0.25">
      <c r="A78" s="48" t="s">
        <v>6</v>
      </c>
      <c r="B78" s="8" t="s">
        <v>29</v>
      </c>
      <c r="C78" s="39">
        <f>C73</f>
        <v>22</v>
      </c>
      <c r="D78" s="55">
        <v>621.6</v>
      </c>
      <c r="E78" s="55">
        <v>43.623600000000003</v>
      </c>
      <c r="F78" s="55">
        <v>45.669199999999996</v>
      </c>
      <c r="G78" s="55">
        <v>45.907299999999999</v>
      </c>
      <c r="H78" s="55">
        <v>0.99697389999999997</v>
      </c>
      <c r="I78" s="55">
        <v>0.99596929999999995</v>
      </c>
      <c r="J78" s="55">
        <v>0.9969249</v>
      </c>
      <c r="K78" s="55">
        <v>63.162999999999997</v>
      </c>
      <c r="L78" s="55">
        <v>9.5000000000000001E-2</v>
      </c>
      <c r="M78" s="10">
        <v>0</v>
      </c>
      <c r="N78" s="11">
        <f t="shared" si="76"/>
        <v>1.7545277777777778E-2</v>
      </c>
      <c r="P78" s="60">
        <v>623.29999999999995</v>
      </c>
      <c r="Q78" s="60">
        <v>43.626300000000001</v>
      </c>
      <c r="R78" s="60">
        <v>45.653199999999998</v>
      </c>
      <c r="S78" s="60">
        <v>45.867899999999999</v>
      </c>
      <c r="T78" s="60">
        <v>0.9969401</v>
      </c>
      <c r="U78" s="60">
        <v>0.99603759999999997</v>
      </c>
      <c r="V78" s="60">
        <v>0.99694680000000002</v>
      </c>
      <c r="W78" s="60">
        <v>56.350999999999999</v>
      </c>
      <c r="X78" s="60">
        <v>9.6000000000000002E-2</v>
      </c>
      <c r="Y78" s="10">
        <v>0</v>
      </c>
      <c r="Z78" s="11">
        <f t="shared" si="77"/>
        <v>1.5653055555555555E-2</v>
      </c>
      <c r="AA78" s="10">
        <f t="shared" si="78"/>
        <v>0.89215205104254081</v>
      </c>
      <c r="AB78" s="10">
        <f>X78/L78</f>
        <v>1.0105263157894737</v>
      </c>
      <c r="AC78" s="10" t="e">
        <f>Y78/M78</f>
        <v>#DIV/0!</v>
      </c>
      <c r="AD78" s="11">
        <f t="shared" si="79"/>
        <v>2.734877734877625E-3</v>
      </c>
      <c r="AE78" s="40"/>
      <c r="AF78" s="25">
        <f t="shared" ref="AF78:AK78" si="93">bdRateExtend($D78:$D82,E78:E82,$P78:$P82,Q78:Q82)</f>
        <v>-3.490387739370826E-3</v>
      </c>
      <c r="AG78" s="30">
        <f t="shared" si="93"/>
        <v>-1.7315196794870036E-2</v>
      </c>
      <c r="AH78" s="31">
        <f t="shared" si="93"/>
        <v>-2.883340320683081E-2</v>
      </c>
      <c r="AI78" s="25">
        <f t="shared" si="93"/>
        <v>6.5205885316301782E-3</v>
      </c>
      <c r="AJ78" s="30">
        <f t="shared" si="93"/>
        <v>-1.6120501067722337E-2</v>
      </c>
      <c r="AK78" s="30">
        <f t="shared" si="93"/>
        <v>-4.9906832289217329E-2</v>
      </c>
      <c r="AL78" s="45"/>
      <c r="AM78" s="46"/>
      <c r="AN78" s="47"/>
      <c r="AO78" s="46"/>
      <c r="AP78" s="46"/>
      <c r="AQ78" s="47"/>
      <c r="AR78" s="30">
        <f t="shared" ref="AR78:AW78" si="94">bdrate($D78:$D81,E78:E81,$P78:$P81,Q78:Q81)</f>
        <v>-3.0081048109537045E-3</v>
      </c>
      <c r="AS78" s="30">
        <f t="shared" si="94"/>
        <v>-2.1401458185833722E-2</v>
      </c>
      <c r="AT78" s="31">
        <f t="shared" si="94"/>
        <v>-1.4368068303566517E-2</v>
      </c>
      <c r="AU78" s="25">
        <f t="shared" si="94"/>
        <v>6.5613759912608316E-4</v>
      </c>
      <c r="AV78" s="30">
        <f t="shared" si="94"/>
        <v>-4.6481942800467468E-2</v>
      </c>
      <c r="AW78" s="31">
        <f t="shared" si="94"/>
        <v>-3.1325830384483333E-2</v>
      </c>
      <c r="AX78" s="10"/>
      <c r="AY78" s="10"/>
      <c r="AZ78" s="10"/>
      <c r="BA78" s="10">
        <f>V78/J78</f>
        <v>1.0000219675524205</v>
      </c>
      <c r="BB78" s="10">
        <f t="shared" ref="BB78:BB81" si="95">X78/L78</f>
        <v>1.0105263157894737</v>
      </c>
      <c r="BC78" s="10">
        <f t="shared" si="83"/>
        <v>0.89215205104254069</v>
      </c>
      <c r="BD78" s="1">
        <f t="shared" si="84"/>
        <v>1</v>
      </c>
    </row>
    <row r="79" spans="1:56" ht="15.75" thickBot="1" x14ac:dyDescent="0.25">
      <c r="A79" s="13" t="s">
        <v>22</v>
      </c>
      <c r="B79" s="13"/>
      <c r="C79" s="43">
        <f>C74</f>
        <v>27</v>
      </c>
      <c r="D79" s="55">
        <v>367.35</v>
      </c>
      <c r="E79" s="55">
        <v>40.123699999999999</v>
      </c>
      <c r="F79" s="55">
        <v>42.287399999999998</v>
      </c>
      <c r="G79" s="55">
        <v>42.3142</v>
      </c>
      <c r="H79" s="55">
        <v>0.99271699999999996</v>
      </c>
      <c r="I79" s="55">
        <v>0.99084459999999996</v>
      </c>
      <c r="J79" s="55">
        <v>0.99372240000000001</v>
      </c>
      <c r="K79" s="55">
        <v>47.119</v>
      </c>
      <c r="L79" s="55">
        <v>9.1999999999999998E-2</v>
      </c>
      <c r="M79" s="15">
        <v>0</v>
      </c>
      <c r="N79" s="16">
        <f t="shared" si="76"/>
        <v>1.3088611111111112E-2</v>
      </c>
      <c r="P79" s="60">
        <v>367.4</v>
      </c>
      <c r="Q79" s="60">
        <v>40.1432</v>
      </c>
      <c r="R79" s="60">
        <v>42.453099999999999</v>
      </c>
      <c r="S79" s="60">
        <v>42.4756</v>
      </c>
      <c r="T79" s="60">
        <v>0.9926682</v>
      </c>
      <c r="U79" s="60">
        <v>0.99147859999999999</v>
      </c>
      <c r="V79" s="60">
        <v>0.99361710000000003</v>
      </c>
      <c r="W79" s="60">
        <v>40.323</v>
      </c>
      <c r="X79" s="60">
        <v>9.9000000000000005E-2</v>
      </c>
      <c r="Y79" s="15">
        <v>0</v>
      </c>
      <c r="Z79" s="16">
        <f t="shared" si="77"/>
        <v>1.1200833333333333E-2</v>
      </c>
      <c r="AA79" s="10">
        <f t="shared" si="78"/>
        <v>0.85576943483520451</v>
      </c>
      <c r="AB79" s="15">
        <f t="shared" ref="AB79:AC97" si="96">X79/L79</f>
        <v>1.0760869565217392</v>
      </c>
      <c r="AC79" s="15" t="e">
        <f t="shared" si="96"/>
        <v>#DIV/0!</v>
      </c>
      <c r="AD79" s="16">
        <f t="shared" si="79"/>
        <v>1.3610997686118014E-4</v>
      </c>
      <c r="AE79" s="12"/>
      <c r="AF79" s="26"/>
      <c r="AG79" s="21"/>
      <c r="AH79" s="36"/>
      <c r="AI79" s="26"/>
      <c r="AJ79" s="21"/>
      <c r="AK79" s="21"/>
      <c r="AL79" s="26">
        <f>bdrate($D79:$D82,E79:E82,$P79:$P82,Q79:Q82)</f>
        <v>-4.5476993967028534E-3</v>
      </c>
      <c r="AM79" s="21">
        <f>bdrate($D79:$D82,F79:F82,$P79:$P82,R79:R82)</f>
        <v>-1.7089441451642262E-2</v>
      </c>
      <c r="AN79" s="36">
        <f t="shared" ref="AN79" si="97">bdrate($D79:$D82,G79:G82,$P79:$P82,S79:S82)</f>
        <v>-2.2463914063688417E-2</v>
      </c>
      <c r="AO79" s="26">
        <f>bdrate($D79:$D82,H79:H82,$P79:$P82,T79:T82)</f>
        <v>6.3251874466234703E-3</v>
      </c>
      <c r="AP79" s="21">
        <f>bdrate($D79:$D82,I79:I82,$P79:$P82,U79:U82)</f>
        <v>-1.5290504287905238E-2</v>
      </c>
      <c r="AQ79" s="36">
        <f>bdrate($D79:$D82,J79:J82,$P79:$P82,V79:V82)</f>
        <v>-5.6042239132410243E-2</v>
      </c>
      <c r="AR79" s="21"/>
      <c r="AS79" s="21"/>
      <c r="AT79" s="36"/>
      <c r="AU79" s="26"/>
      <c r="AV79" s="21"/>
      <c r="AW79" s="36"/>
      <c r="AX79" s="15">
        <f>V79/J79</f>
        <v>0.99989403479281536</v>
      </c>
      <c r="AY79" s="15">
        <f t="shared" ref="AY79:AY82" si="98">X79/L79</f>
        <v>1.0760869565217392</v>
      </c>
      <c r="AZ79" s="15">
        <f t="shared" si="87"/>
        <v>0.85576943483520451</v>
      </c>
      <c r="BA79" s="15">
        <f>V79/J79</f>
        <v>0.99989403479281536</v>
      </c>
      <c r="BB79" s="15">
        <f t="shared" si="95"/>
        <v>1.0760869565217392</v>
      </c>
      <c r="BC79" s="15">
        <f t="shared" si="83"/>
        <v>0.85576943483520451</v>
      </c>
      <c r="BD79" s="1">
        <f t="shared" si="84"/>
        <v>0</v>
      </c>
    </row>
    <row r="80" spans="1:56" ht="15.75" thickBot="1" x14ac:dyDescent="0.25">
      <c r="A80" s="13"/>
      <c r="B80" s="13"/>
      <c r="C80" s="43">
        <f>C75</f>
        <v>32</v>
      </c>
      <c r="D80" s="55">
        <v>206</v>
      </c>
      <c r="E80" s="55">
        <v>36.683700000000002</v>
      </c>
      <c r="F80" s="55">
        <v>39.504600000000003</v>
      </c>
      <c r="G80" s="55">
        <v>39.328699999999998</v>
      </c>
      <c r="H80" s="55">
        <v>0.98301810000000001</v>
      </c>
      <c r="I80" s="55">
        <v>0.98026659999999999</v>
      </c>
      <c r="J80" s="55">
        <v>0.98577579999999998</v>
      </c>
      <c r="K80" s="55">
        <v>32.247</v>
      </c>
      <c r="L80" s="55">
        <v>8.6999999999999994E-2</v>
      </c>
      <c r="M80" s="15">
        <v>0</v>
      </c>
      <c r="N80" s="16">
        <f t="shared" si="76"/>
        <v>8.9575000000000002E-3</v>
      </c>
      <c r="P80" s="60">
        <v>205.5</v>
      </c>
      <c r="Q80" s="60">
        <v>36.697099999999999</v>
      </c>
      <c r="R80" s="60">
        <v>39.5869</v>
      </c>
      <c r="S80" s="60">
        <v>39.253100000000003</v>
      </c>
      <c r="T80" s="60">
        <v>0.9831164</v>
      </c>
      <c r="U80" s="60">
        <v>0.98144949999999997</v>
      </c>
      <c r="V80" s="60">
        <v>0.98615200000000003</v>
      </c>
      <c r="W80" s="60">
        <v>28.033999999999999</v>
      </c>
      <c r="X80" s="60">
        <v>0.09</v>
      </c>
      <c r="Y80" s="15">
        <v>0</v>
      </c>
      <c r="Z80" s="16">
        <f t="shared" si="77"/>
        <v>7.7872222222222223E-3</v>
      </c>
      <c r="AA80" s="10">
        <f t="shared" si="78"/>
        <v>0.86935218780041557</v>
      </c>
      <c r="AB80" s="15">
        <f t="shared" si="96"/>
        <v>1.0344827586206897</v>
      </c>
      <c r="AC80" s="15" t="e">
        <f t="shared" si="96"/>
        <v>#DIV/0!</v>
      </c>
      <c r="AD80" s="16">
        <f t="shared" si="79"/>
        <v>2.4271844660194173E-3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>
        <f>V80/J80</f>
        <v>1.0003816283580913</v>
      </c>
      <c r="AY80" s="15">
        <f t="shared" si="98"/>
        <v>1.0344827586206897</v>
      </c>
      <c r="AZ80" s="15">
        <f t="shared" si="87"/>
        <v>0.86935218780041557</v>
      </c>
      <c r="BA80" s="15">
        <f>V80/J80</f>
        <v>1.0003816283580913</v>
      </c>
      <c r="BB80" s="15">
        <f t="shared" si="95"/>
        <v>1.0344827586206897</v>
      </c>
      <c r="BC80" s="15">
        <f t="shared" si="83"/>
        <v>0.86935218780041557</v>
      </c>
      <c r="BD80" s="1">
        <f t="shared" si="84"/>
        <v>0</v>
      </c>
    </row>
    <row r="81" spans="1:56" ht="15.75" thickBot="1" x14ac:dyDescent="0.25">
      <c r="A81" s="13"/>
      <c r="B81" s="13"/>
      <c r="C81" s="43">
        <f>C76</f>
        <v>37</v>
      </c>
      <c r="D81" s="55">
        <v>111.85</v>
      </c>
      <c r="E81" s="55">
        <v>33.476100000000002</v>
      </c>
      <c r="F81" s="55">
        <v>37.835299999999997</v>
      </c>
      <c r="G81" s="55">
        <v>37.574199999999998</v>
      </c>
      <c r="H81" s="55">
        <v>0.96500730000000001</v>
      </c>
      <c r="I81" s="55">
        <v>0.97182500000000005</v>
      </c>
      <c r="J81" s="55">
        <v>0.97925139999999999</v>
      </c>
      <c r="K81" s="55">
        <v>21.419</v>
      </c>
      <c r="L81" s="55">
        <v>9.1999999999999998E-2</v>
      </c>
      <c r="M81" s="15">
        <v>0</v>
      </c>
      <c r="N81" s="16">
        <f t="shared" si="76"/>
        <v>5.9497222222222226E-3</v>
      </c>
      <c r="P81" s="60">
        <v>111.25</v>
      </c>
      <c r="Q81" s="60">
        <v>33.466299999999997</v>
      </c>
      <c r="R81" s="60">
        <v>37.856299999999997</v>
      </c>
      <c r="S81" s="60">
        <v>37.9011</v>
      </c>
      <c r="T81" s="60">
        <v>0.96387999999999996</v>
      </c>
      <c r="U81" s="60">
        <v>0.97147220000000001</v>
      </c>
      <c r="V81" s="60">
        <v>0.98117310000000002</v>
      </c>
      <c r="W81" s="60">
        <v>19.018999999999998</v>
      </c>
      <c r="X81" s="60">
        <v>9.4E-2</v>
      </c>
      <c r="Y81" s="15">
        <v>0</v>
      </c>
      <c r="Z81" s="16">
        <f t="shared" si="77"/>
        <v>5.2830555555555547E-3</v>
      </c>
      <c r="AA81" s="10">
        <f t="shared" si="78"/>
        <v>0.88794995097810347</v>
      </c>
      <c r="AB81" s="15">
        <f t="shared" si="96"/>
        <v>1.0217391304347827</v>
      </c>
      <c r="AC81" s="15" t="e">
        <f t="shared" si="96"/>
        <v>#DIV/0!</v>
      </c>
      <c r="AD81" s="16">
        <f t="shared" si="79"/>
        <v>5.3643272239606108E-3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>
        <f>V81/J81</f>
        <v>1.0019624174139552</v>
      </c>
      <c r="AY81" s="15">
        <f t="shared" si="98"/>
        <v>1.0217391304347827</v>
      </c>
      <c r="AZ81" s="15">
        <f t="shared" si="87"/>
        <v>0.88794995097810336</v>
      </c>
      <c r="BA81" s="15">
        <f>V81/J81</f>
        <v>1.0019624174139552</v>
      </c>
      <c r="BB81" s="15">
        <f t="shared" si="95"/>
        <v>1.0217391304347827</v>
      </c>
      <c r="BC81" s="15">
        <f t="shared" si="83"/>
        <v>0.88794995097810336</v>
      </c>
      <c r="BD81" s="1">
        <f t="shared" si="84"/>
        <v>0</v>
      </c>
    </row>
    <row r="82" spans="1:56" ht="15.75" thickBot="1" x14ac:dyDescent="0.25">
      <c r="A82" s="13"/>
      <c r="B82" s="17"/>
      <c r="C82" s="44">
        <f>C77</f>
        <v>42</v>
      </c>
      <c r="D82" s="55">
        <v>61.7</v>
      </c>
      <c r="E82" s="55">
        <v>30.6099</v>
      </c>
      <c r="F82" s="55">
        <v>36.0867</v>
      </c>
      <c r="G82" s="55">
        <v>35.7363</v>
      </c>
      <c r="H82" s="55">
        <v>0.93747709999999995</v>
      </c>
      <c r="I82" s="55">
        <v>0.94889349999999995</v>
      </c>
      <c r="J82" s="55">
        <v>0.9680687</v>
      </c>
      <c r="K82" s="55">
        <v>13.27</v>
      </c>
      <c r="L82" s="55">
        <v>8.5999999999999993E-2</v>
      </c>
      <c r="M82" s="19">
        <v>0</v>
      </c>
      <c r="N82" s="20">
        <f t="shared" si="76"/>
        <v>3.6861111111111109E-3</v>
      </c>
      <c r="P82" s="60">
        <v>61.15</v>
      </c>
      <c r="Q82" s="60">
        <v>30.610700000000001</v>
      </c>
      <c r="R82" s="60">
        <v>35.999200000000002</v>
      </c>
      <c r="S82" s="60">
        <v>35.544699999999999</v>
      </c>
      <c r="T82" s="60">
        <v>0.93873759999999995</v>
      </c>
      <c r="U82" s="60">
        <v>0.94747309999999996</v>
      </c>
      <c r="V82" s="60">
        <v>0.96522589999999997</v>
      </c>
      <c r="W82" s="60">
        <v>11.207000000000001</v>
      </c>
      <c r="X82" s="60">
        <v>8.5999999999999993E-2</v>
      </c>
      <c r="Y82" s="19">
        <v>0</v>
      </c>
      <c r="Z82" s="20">
        <f t="shared" si="77"/>
        <v>3.113055555555556E-3</v>
      </c>
      <c r="AA82" s="10">
        <f t="shared" si="78"/>
        <v>0.84453654860587801</v>
      </c>
      <c r="AB82" s="15">
        <f t="shared" si="96"/>
        <v>1</v>
      </c>
      <c r="AC82" s="15" t="e">
        <f t="shared" si="96"/>
        <v>#DIV/0!</v>
      </c>
      <c r="AD82" s="20">
        <f t="shared" si="79"/>
        <v>8.9141004862237309E-3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>
        <f>V82/J82</f>
        <v>0.99706343155191357</v>
      </c>
      <c r="AY82" s="15">
        <f t="shared" si="98"/>
        <v>1</v>
      </c>
      <c r="AZ82" s="15">
        <f t="shared" si="87"/>
        <v>0.84453654860587812</v>
      </c>
      <c r="BA82" s="15"/>
      <c r="BB82" s="15"/>
      <c r="BC82" s="15"/>
      <c r="BD82" s="1">
        <f t="shared" si="84"/>
        <v>0</v>
      </c>
    </row>
    <row r="83" spans="1:56" ht="15.75" thickBot="1" x14ac:dyDescent="0.25">
      <c r="A83" s="13"/>
      <c r="B83" s="8" t="s">
        <v>31</v>
      </c>
      <c r="C83" s="39">
        <v>22</v>
      </c>
      <c r="D83" s="55">
        <v>1129.75</v>
      </c>
      <c r="E83" s="55">
        <v>41.958500000000001</v>
      </c>
      <c r="F83" s="55">
        <v>42.596699999999998</v>
      </c>
      <c r="G83" s="55">
        <v>44.335299999999997</v>
      </c>
      <c r="H83" s="55">
        <v>0.99770230000000004</v>
      </c>
      <c r="I83" s="55">
        <v>0.99413779999999996</v>
      </c>
      <c r="J83" s="55">
        <v>0.9950502</v>
      </c>
      <c r="K83" s="55">
        <v>76.367000000000004</v>
      </c>
      <c r="L83" s="55">
        <v>0.13900000000000001</v>
      </c>
      <c r="M83" s="10">
        <v>0</v>
      </c>
      <c r="N83" s="11">
        <f t="shared" si="76"/>
        <v>2.1213055555555558E-2</v>
      </c>
      <c r="P83" s="60">
        <v>1131.0999999999999</v>
      </c>
      <c r="Q83" s="60">
        <v>41.983400000000003</v>
      </c>
      <c r="R83" s="60">
        <v>42.566299999999998</v>
      </c>
      <c r="S83" s="60">
        <v>44.360999999999997</v>
      </c>
      <c r="T83" s="60">
        <v>0.99773449999999997</v>
      </c>
      <c r="U83" s="60">
        <v>0.99418260000000003</v>
      </c>
      <c r="V83" s="60">
        <v>0.99511640000000001</v>
      </c>
      <c r="W83" s="60">
        <v>68.093000000000004</v>
      </c>
      <c r="X83" s="60">
        <v>0.109</v>
      </c>
      <c r="Y83" s="10">
        <v>0</v>
      </c>
      <c r="Z83" s="11">
        <f t="shared" si="77"/>
        <v>1.8914722222222222E-2</v>
      </c>
      <c r="AA83" s="10">
        <f t="shared" si="78"/>
        <v>0.89165477234931323</v>
      </c>
      <c r="AB83" s="15">
        <f t="shared" si="96"/>
        <v>0.7841726618705035</v>
      </c>
      <c r="AC83" s="15" t="e">
        <f t="shared" si="96"/>
        <v>#DIV/0!</v>
      </c>
      <c r="AD83" s="11">
        <f t="shared" si="79"/>
        <v>1.1949546359813312E-3</v>
      </c>
      <c r="AE83" s="12"/>
      <c r="AF83" s="25">
        <f t="shared" ref="AF83:AK83" si="99">bdRateExtend($D83:$D87,E83:E87,$P83:$P87,Q83:Q87)</f>
        <v>7.9116066234252713E-4</v>
      </c>
      <c r="AG83" s="30">
        <f t="shared" si="99"/>
        <v>1.9059361660407337E-3</v>
      </c>
      <c r="AH83" s="31">
        <f t="shared" si="99"/>
        <v>2.9499142333237138E-2</v>
      </c>
      <c r="AI83" s="25">
        <f t="shared" si="99"/>
        <v>4.0930324533343665E-3</v>
      </c>
      <c r="AJ83" s="30">
        <f t="shared" si="99"/>
        <v>3.3766631201970432E-2</v>
      </c>
      <c r="AK83" s="30">
        <f t="shared" si="99"/>
        <v>7.4925943678270546E-2</v>
      </c>
      <c r="AL83" s="26"/>
      <c r="AM83" s="21"/>
      <c r="AN83" s="36"/>
      <c r="AO83" s="21"/>
      <c r="AP83" s="21"/>
      <c r="AQ83" s="36"/>
      <c r="AR83" s="30">
        <f t="shared" ref="AR83:AW83" si="100">bdrate($D83:$D86,E83:E86,$P83:$P86,Q83:Q86)</f>
        <v>8.782881829298983E-4</v>
      </c>
      <c r="AS83" s="30">
        <f t="shared" si="100"/>
        <v>-9.2559690817755058E-3</v>
      </c>
      <c r="AT83" s="31">
        <f t="shared" si="100"/>
        <v>1.136341146350528E-2</v>
      </c>
      <c r="AU83" s="25">
        <f t="shared" si="100"/>
        <v>3.8333382075934619E-3</v>
      </c>
      <c r="AV83" s="30">
        <f t="shared" si="100"/>
        <v>-5.8597829708206817E-3</v>
      </c>
      <c r="AW83" s="31">
        <f t="shared" si="100"/>
        <v>5.1282850101880273E-2</v>
      </c>
      <c r="AX83" s="15"/>
      <c r="AY83" s="15"/>
      <c r="AZ83" s="15"/>
      <c r="BA83" s="15">
        <f>V83/J83</f>
        <v>1.0000665293067625</v>
      </c>
      <c r="BB83" s="15">
        <f t="shared" ref="BB83:BB86" si="101">X83/L83</f>
        <v>0.7841726618705035</v>
      </c>
      <c r="BC83" s="15">
        <f t="shared" si="83"/>
        <v>0.89165477234931301</v>
      </c>
      <c r="BD83" s="1">
        <f t="shared" si="84"/>
        <v>0</v>
      </c>
    </row>
    <row r="84" spans="1:56" ht="15.75" thickBot="1" x14ac:dyDescent="0.25">
      <c r="A84" s="13"/>
      <c r="C84" s="43">
        <v>27</v>
      </c>
      <c r="D84" s="55">
        <v>655.5</v>
      </c>
      <c r="E84" s="55">
        <v>37.917400000000001</v>
      </c>
      <c r="F84" s="55">
        <v>39.125</v>
      </c>
      <c r="G84" s="55">
        <v>40.946199999999997</v>
      </c>
      <c r="H84" s="55">
        <v>0.99413269999999998</v>
      </c>
      <c r="I84" s="55">
        <v>0.98433360000000003</v>
      </c>
      <c r="J84" s="55">
        <v>0.98755280000000001</v>
      </c>
      <c r="K84" s="55">
        <v>63.771999999999998</v>
      </c>
      <c r="L84" s="55">
        <v>9.7000000000000003E-2</v>
      </c>
      <c r="M84" s="15">
        <v>0</v>
      </c>
      <c r="N84" s="16">
        <f t="shared" si="76"/>
        <v>1.7714444444444442E-2</v>
      </c>
      <c r="P84" s="60">
        <v>655.1</v>
      </c>
      <c r="Q84" s="60">
        <v>37.930100000000003</v>
      </c>
      <c r="R84" s="60">
        <v>39.118299999999998</v>
      </c>
      <c r="S84" s="60">
        <v>40.8142</v>
      </c>
      <c r="T84" s="60">
        <v>0.99411939999999999</v>
      </c>
      <c r="U84" s="60">
        <v>0.9843423</v>
      </c>
      <c r="V84" s="60">
        <v>0.98701209999999995</v>
      </c>
      <c r="W84" s="60">
        <v>58.835000000000001</v>
      </c>
      <c r="X84" s="60">
        <v>0.10100000000000001</v>
      </c>
      <c r="Y84" s="15">
        <v>0</v>
      </c>
      <c r="Z84" s="16">
        <f t="shared" si="77"/>
        <v>1.6343055555555555E-2</v>
      </c>
      <c r="AA84" s="10">
        <f t="shared" si="78"/>
        <v>0.92258357900018817</v>
      </c>
      <c r="AB84" s="15">
        <f t="shared" si="96"/>
        <v>1.0412371134020619</v>
      </c>
      <c r="AC84" s="15" t="e">
        <f t="shared" si="96"/>
        <v>#DIV/0!</v>
      </c>
      <c r="AD84" s="16">
        <f t="shared" si="79"/>
        <v>6.1022120518684558E-4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2.8187064350224666E-3</v>
      </c>
      <c r="AM84" s="21">
        <f>bdrate($D84:$D87,F84:F87,$P84:$P87,R84:R87)</f>
        <v>-1.1381536532877545E-2</v>
      </c>
      <c r="AN84" s="36">
        <f t="shared" ref="AN84" si="102">bdrate($D84:$D87,G84:G87,$P84:$P87,S84:S87)</f>
        <v>1.9185687171348498E-2</v>
      </c>
      <c r="AO84" s="26">
        <f>bdrate($D84:$D87,H84:H87,$P84:$P87,T84:T87)</f>
        <v>4.4511670972640083E-3</v>
      </c>
      <c r="AP84" s="21">
        <f>bdrate($D84:$D87,I84:I87,$P84:$P87,U84:U87)</f>
        <v>3.5339537704702995E-2</v>
      </c>
      <c r="AQ84" s="36">
        <f>bdrate($D84:$D87,J84:J87,$P84:$P87,V84:V87)</f>
        <v>8.3862365962986907E-2</v>
      </c>
      <c r="AR84" s="21"/>
      <c r="AS84" s="21"/>
      <c r="AT84" s="36"/>
      <c r="AU84" s="26"/>
      <c r="AV84" s="21"/>
      <c r="AW84" s="36"/>
      <c r="AX84" s="15">
        <f>V84/J84</f>
        <v>0.99945248497093009</v>
      </c>
      <c r="AY84" s="15">
        <f t="shared" ref="AY84:AY87" si="103">X84/L84</f>
        <v>1.0412371134020619</v>
      </c>
      <c r="AZ84" s="15">
        <f t="shared" si="87"/>
        <v>0.92258357900018828</v>
      </c>
      <c r="BA84" s="15">
        <f>V84/J84</f>
        <v>0.99945248497093009</v>
      </c>
      <c r="BB84" s="15">
        <f t="shared" si="101"/>
        <v>1.0412371134020619</v>
      </c>
      <c r="BC84" s="15">
        <f t="shared" si="83"/>
        <v>0.92258357900018828</v>
      </c>
      <c r="BD84" s="1">
        <f t="shared" si="84"/>
        <v>0</v>
      </c>
    </row>
    <row r="85" spans="1:56" ht="15.75" thickBot="1" x14ac:dyDescent="0.25">
      <c r="A85" s="13"/>
      <c r="B85" s="13"/>
      <c r="C85" s="43">
        <v>32</v>
      </c>
      <c r="D85" s="55">
        <v>361.5</v>
      </c>
      <c r="E85" s="55">
        <v>34.334600000000002</v>
      </c>
      <c r="F85" s="55">
        <v>36.2714</v>
      </c>
      <c r="G85" s="55">
        <v>38.185400000000001</v>
      </c>
      <c r="H85" s="55">
        <v>0.98624040000000002</v>
      </c>
      <c r="I85" s="55">
        <v>0.96413219999999999</v>
      </c>
      <c r="J85" s="55">
        <v>0.9728871</v>
      </c>
      <c r="K85" s="55">
        <v>51.677999999999997</v>
      </c>
      <c r="L85" s="55">
        <v>9.7000000000000003E-2</v>
      </c>
      <c r="M85" s="15">
        <v>0</v>
      </c>
      <c r="N85" s="16">
        <f t="shared" si="76"/>
        <v>1.4355E-2</v>
      </c>
      <c r="P85" s="60">
        <v>363.65</v>
      </c>
      <c r="Q85" s="60">
        <v>34.331800000000001</v>
      </c>
      <c r="R85" s="60">
        <v>36.466200000000001</v>
      </c>
      <c r="S85" s="60">
        <v>38.333799999999997</v>
      </c>
      <c r="T85" s="60">
        <v>0.98623050000000001</v>
      </c>
      <c r="U85" s="60">
        <v>0.96566479999999999</v>
      </c>
      <c r="V85" s="60">
        <v>0.97206669999999995</v>
      </c>
      <c r="W85" s="60">
        <v>46.348999999999997</v>
      </c>
      <c r="X85" s="60">
        <v>9.9000000000000005E-2</v>
      </c>
      <c r="Y85" s="15">
        <v>0</v>
      </c>
      <c r="Z85" s="16">
        <f t="shared" si="77"/>
        <v>1.2874722222222221E-2</v>
      </c>
      <c r="AA85" s="10">
        <f t="shared" si="78"/>
        <v>0.89688068423700607</v>
      </c>
      <c r="AB85" s="15">
        <f t="shared" si="96"/>
        <v>1.0206185567010309</v>
      </c>
      <c r="AC85" s="15" t="e">
        <f t="shared" si="96"/>
        <v>#DIV/0!</v>
      </c>
      <c r="AD85" s="16">
        <f t="shared" si="79"/>
        <v>5.947441217150698E-3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>
        <f>V85/J85</f>
        <v>0.99915673668609639</v>
      </c>
      <c r="AY85" s="15">
        <f t="shared" si="103"/>
        <v>1.0206185567010309</v>
      </c>
      <c r="AZ85" s="15">
        <f t="shared" si="87"/>
        <v>0.89688068423700607</v>
      </c>
      <c r="BA85" s="15">
        <f>V85/J85</f>
        <v>0.99915673668609639</v>
      </c>
      <c r="BB85" s="15">
        <f t="shared" si="101"/>
        <v>1.0206185567010309</v>
      </c>
      <c r="BC85" s="15">
        <f t="shared" si="83"/>
        <v>0.89688068423700607</v>
      </c>
      <c r="BD85" s="1">
        <f t="shared" si="84"/>
        <v>0</v>
      </c>
    </row>
    <row r="86" spans="1:56" ht="15.75" thickBot="1" x14ac:dyDescent="0.25">
      <c r="A86" s="13"/>
      <c r="B86" s="13"/>
      <c r="C86" s="43">
        <v>37</v>
      </c>
      <c r="D86" s="55">
        <v>190.2</v>
      </c>
      <c r="E86" s="55">
        <v>31.0625</v>
      </c>
      <c r="F86" s="55">
        <v>34.869300000000003</v>
      </c>
      <c r="G86" s="55">
        <v>36.8673</v>
      </c>
      <c r="H86" s="55">
        <v>0.96881669999999998</v>
      </c>
      <c r="I86" s="55">
        <v>0.94656879999999999</v>
      </c>
      <c r="J86" s="55">
        <v>0.95836149999999998</v>
      </c>
      <c r="K86" s="55">
        <v>34.506</v>
      </c>
      <c r="L86" s="55">
        <v>9.2999999999999999E-2</v>
      </c>
      <c r="M86" s="15">
        <v>0</v>
      </c>
      <c r="N86" s="16">
        <f t="shared" si="76"/>
        <v>9.5849999999999998E-3</v>
      </c>
      <c r="P86" s="60">
        <v>189.85</v>
      </c>
      <c r="Q86" s="60">
        <v>31.055499999999999</v>
      </c>
      <c r="R86" s="60">
        <v>34.736699999999999</v>
      </c>
      <c r="S86" s="60">
        <v>36.4619</v>
      </c>
      <c r="T86" s="60">
        <v>0.96872840000000005</v>
      </c>
      <c r="U86" s="60">
        <v>0.94306590000000001</v>
      </c>
      <c r="V86" s="60">
        <v>0.95318729999999996</v>
      </c>
      <c r="W86" s="60">
        <v>31.873999999999999</v>
      </c>
      <c r="X86" s="60">
        <v>9.0999999999999998E-2</v>
      </c>
      <c r="Y86" s="15">
        <v>0</v>
      </c>
      <c r="Z86" s="16">
        <f t="shared" si="77"/>
        <v>8.8538888888888886E-3</v>
      </c>
      <c r="AA86" s="10">
        <f t="shared" si="78"/>
        <v>0.92372341042137596</v>
      </c>
      <c r="AB86" s="15">
        <f t="shared" si="96"/>
        <v>0.978494623655914</v>
      </c>
      <c r="AC86" s="15" t="e">
        <f t="shared" si="96"/>
        <v>#DIV/0!</v>
      </c>
      <c r="AD86" s="16">
        <f t="shared" si="79"/>
        <v>1.840168243953703E-3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>
        <f>V86/J86</f>
        <v>0.99460099346645292</v>
      </c>
      <c r="AY86" s="15">
        <f t="shared" si="103"/>
        <v>0.978494623655914</v>
      </c>
      <c r="AZ86" s="15">
        <f t="shared" si="87"/>
        <v>0.92372341042137596</v>
      </c>
      <c r="BA86" s="15">
        <f>V86/J86</f>
        <v>0.99460099346645292</v>
      </c>
      <c r="BB86" s="15">
        <f t="shared" si="101"/>
        <v>0.978494623655914</v>
      </c>
      <c r="BC86" s="15">
        <f t="shared" si="83"/>
        <v>0.92372341042137596</v>
      </c>
      <c r="BD86" s="1">
        <f t="shared" si="84"/>
        <v>0</v>
      </c>
    </row>
    <row r="87" spans="1:56" ht="15.75" thickBot="1" x14ac:dyDescent="0.25">
      <c r="A87" s="13"/>
      <c r="B87" s="17"/>
      <c r="C87" s="44">
        <v>42</v>
      </c>
      <c r="D87" s="55">
        <v>95.5</v>
      </c>
      <c r="E87" s="55">
        <v>28.227900000000002</v>
      </c>
      <c r="F87" s="55">
        <v>33.402500000000003</v>
      </c>
      <c r="G87" s="55">
        <v>35.176000000000002</v>
      </c>
      <c r="H87" s="55">
        <v>0.93681179999999997</v>
      </c>
      <c r="I87" s="55">
        <v>0.92462520000000004</v>
      </c>
      <c r="J87" s="55">
        <v>0.93710959999999999</v>
      </c>
      <c r="K87" s="55">
        <v>21.905999999999999</v>
      </c>
      <c r="L87" s="55">
        <v>9.5000000000000001E-2</v>
      </c>
      <c r="M87" s="19">
        <v>0</v>
      </c>
      <c r="N87" s="20">
        <f t="shared" si="76"/>
        <v>6.0849999999999993E-3</v>
      </c>
      <c r="P87" s="60">
        <v>94.9</v>
      </c>
      <c r="Q87" s="60">
        <v>28.182099999999998</v>
      </c>
      <c r="R87" s="60">
        <v>33.354700000000001</v>
      </c>
      <c r="S87" s="60">
        <v>35.4681</v>
      </c>
      <c r="T87" s="60">
        <v>0.9353515</v>
      </c>
      <c r="U87" s="60">
        <v>0.9228286</v>
      </c>
      <c r="V87" s="60">
        <v>0.94402200000000003</v>
      </c>
      <c r="W87" s="60">
        <v>19.361999999999998</v>
      </c>
      <c r="X87" s="60">
        <v>0.108</v>
      </c>
      <c r="Y87" s="19">
        <v>0</v>
      </c>
      <c r="Z87" s="20">
        <f t="shared" si="77"/>
        <v>5.3783333333333331E-3</v>
      </c>
      <c r="AA87" s="10">
        <f t="shared" si="78"/>
        <v>0.8838674335798411</v>
      </c>
      <c r="AB87" s="15">
        <f t="shared" si="96"/>
        <v>1.1368421052631579</v>
      </c>
      <c r="AC87" s="15" t="e">
        <f t="shared" si="96"/>
        <v>#DIV/0!</v>
      </c>
      <c r="AD87" s="20">
        <f t="shared" si="79"/>
        <v>6.2827225130889456E-3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>
        <f>V87/J87</f>
        <v>1.0073762983540027</v>
      </c>
      <c r="AY87" s="15">
        <f t="shared" si="103"/>
        <v>1.1368421052631579</v>
      </c>
      <c r="AZ87" s="15">
        <f t="shared" si="87"/>
        <v>0.88386743357984121</v>
      </c>
      <c r="BA87" s="15"/>
      <c r="BB87" s="15"/>
      <c r="BC87" s="15"/>
      <c r="BD87" s="1">
        <f t="shared" si="84"/>
        <v>0</v>
      </c>
    </row>
    <row r="88" spans="1:56" ht="15.75" thickBot="1" x14ac:dyDescent="0.25">
      <c r="A88" s="13"/>
      <c r="B88" s="8" t="s">
        <v>30</v>
      </c>
      <c r="C88" s="39">
        <v>22</v>
      </c>
      <c r="D88" s="55">
        <v>1514.34</v>
      </c>
      <c r="E88" s="55">
        <v>42.559699999999999</v>
      </c>
      <c r="F88" s="55">
        <v>44.520400000000002</v>
      </c>
      <c r="G88" s="55">
        <v>45.401800000000001</v>
      </c>
      <c r="H88" s="55">
        <v>0.99783679999999997</v>
      </c>
      <c r="I88" s="55">
        <v>0.99401329999999999</v>
      </c>
      <c r="J88" s="55">
        <v>0.99530070000000004</v>
      </c>
      <c r="K88" s="55">
        <v>65.820999999999998</v>
      </c>
      <c r="L88" s="55">
        <v>0.108</v>
      </c>
      <c r="M88" s="10">
        <v>0</v>
      </c>
      <c r="N88" s="11">
        <f t="shared" si="76"/>
        <v>1.8283611111111112E-2</v>
      </c>
      <c r="P88" s="60">
        <v>1511.82</v>
      </c>
      <c r="Q88" s="60">
        <v>42.5381</v>
      </c>
      <c r="R88" s="60">
        <v>44.490900000000003</v>
      </c>
      <c r="S88" s="60">
        <v>45.468200000000003</v>
      </c>
      <c r="T88" s="60">
        <v>0.99782550000000003</v>
      </c>
      <c r="U88" s="60">
        <v>0.99385860000000004</v>
      </c>
      <c r="V88" s="60">
        <v>0.99540390000000001</v>
      </c>
      <c r="W88" s="60">
        <v>55.942999999999998</v>
      </c>
      <c r="X88" s="60">
        <v>0.105</v>
      </c>
      <c r="Y88" s="10">
        <v>0</v>
      </c>
      <c r="Z88" s="11">
        <f t="shared" si="77"/>
        <v>1.5539722222222222E-2</v>
      </c>
      <c r="AA88" s="10">
        <f t="shared" si="78"/>
        <v>0.84992631530970353</v>
      </c>
      <c r="AB88" s="15">
        <f t="shared" si="96"/>
        <v>0.97222222222222221</v>
      </c>
      <c r="AC88" s="15" t="e">
        <f t="shared" si="96"/>
        <v>#DIV/0!</v>
      </c>
      <c r="AD88" s="11">
        <f t="shared" si="79"/>
        <v>1.6640912872934624E-3</v>
      </c>
      <c r="AE88" s="12"/>
      <c r="AF88" s="25">
        <f t="shared" ref="AF88:AK88" si="104">bdRateExtend($D88:$D92,E88:E92,$P88:$P92,Q88:Q92)</f>
        <v>-2.5475954548570545E-4</v>
      </c>
      <c r="AG88" s="30">
        <f t="shared" si="104"/>
        <v>-2.7815303771693167E-2</v>
      </c>
      <c r="AH88" s="31">
        <f t="shared" si="104"/>
        <v>-1.8976265290360006E-2</v>
      </c>
      <c r="AI88" s="25">
        <f t="shared" si="104"/>
        <v>1.0503810488973642E-2</v>
      </c>
      <c r="AJ88" s="30">
        <f>bdRateExtend($D88:$D92,I88:I92,$P88:$P92,U88:U92)</f>
        <v>-5.0943300624794796E-2</v>
      </c>
      <c r="AK88" s="30">
        <f t="shared" si="104"/>
        <v>-1.3676916875745793E-2</v>
      </c>
      <c r="AL88" s="45"/>
      <c r="AM88" s="46"/>
      <c r="AN88" s="47"/>
      <c r="AO88" s="46"/>
      <c r="AP88" s="46"/>
      <c r="AQ88" s="47"/>
      <c r="AR88" s="30">
        <f t="shared" ref="AR88:AW88" si="105">bdrate($D88:$D91,E88:E91,$P88:$P91,Q88:Q91)</f>
        <v>4.8274894007160896E-4</v>
      </c>
      <c r="AS88" s="30">
        <f t="shared" si="105"/>
        <v>-2.5771539384723097E-2</v>
      </c>
      <c r="AT88" s="31">
        <f t="shared" si="105"/>
        <v>-1.0993585101294445E-2</v>
      </c>
      <c r="AU88" s="25">
        <f t="shared" si="105"/>
        <v>1.4768161447109573E-2</v>
      </c>
      <c r="AV88" s="30">
        <f t="shared" si="105"/>
        <v>-3.8154742234147387E-2</v>
      </c>
      <c r="AW88" s="31">
        <f t="shared" si="105"/>
        <v>-9.3167078100053757E-4</v>
      </c>
      <c r="AX88" s="15"/>
      <c r="AY88" s="15"/>
      <c r="AZ88" s="15"/>
      <c r="BA88" s="15">
        <f>V88/J88</f>
        <v>1.0001036872575293</v>
      </c>
      <c r="BB88" s="15">
        <f t="shared" ref="BB88:BB91" si="106">X88/L88</f>
        <v>0.97222222222222221</v>
      </c>
      <c r="BC88" s="15">
        <f t="shared" si="83"/>
        <v>0.84992631530970353</v>
      </c>
      <c r="BD88" s="1">
        <f t="shared" si="84"/>
        <v>0</v>
      </c>
    </row>
    <row r="89" spans="1:56" ht="15.75" thickBot="1" x14ac:dyDescent="0.25">
      <c r="A89" s="13"/>
      <c r="B89" s="13"/>
      <c r="C89" s="43">
        <v>27</v>
      </c>
      <c r="D89" s="55">
        <v>1001.52</v>
      </c>
      <c r="E89" s="55">
        <v>38.151400000000002</v>
      </c>
      <c r="F89" s="55">
        <v>41.760899999999999</v>
      </c>
      <c r="G89" s="55">
        <v>42.595300000000002</v>
      </c>
      <c r="H89" s="55">
        <v>0.99416329999999997</v>
      </c>
      <c r="I89" s="55">
        <v>0.98564149999999995</v>
      </c>
      <c r="J89" s="55">
        <v>0.98935220000000001</v>
      </c>
      <c r="K89" s="55">
        <v>48.09</v>
      </c>
      <c r="L89" s="55">
        <v>0.10299999999999999</v>
      </c>
      <c r="M89" s="15">
        <v>0</v>
      </c>
      <c r="N89" s="16">
        <f t="shared" si="76"/>
        <v>1.3358333333333335E-2</v>
      </c>
      <c r="P89" s="60">
        <v>999.66</v>
      </c>
      <c r="Q89" s="60">
        <v>38.090000000000003</v>
      </c>
      <c r="R89" s="60">
        <v>41.822000000000003</v>
      </c>
      <c r="S89" s="60">
        <v>42.5745</v>
      </c>
      <c r="T89" s="60">
        <v>0.99397469999999999</v>
      </c>
      <c r="U89" s="60">
        <v>0.98514040000000003</v>
      </c>
      <c r="V89" s="60">
        <v>0.98923039999999995</v>
      </c>
      <c r="W89" s="60">
        <v>47.695</v>
      </c>
      <c r="X89" s="60">
        <v>0.105</v>
      </c>
      <c r="Y89" s="15">
        <v>0</v>
      </c>
      <c r="Z89" s="16">
        <f t="shared" si="77"/>
        <v>1.3248611111111112E-2</v>
      </c>
      <c r="AA89" s="10">
        <f t="shared" si="78"/>
        <v>0.99178623414431266</v>
      </c>
      <c r="AB89" s="15">
        <f t="shared" si="96"/>
        <v>1.0194174757281553</v>
      </c>
      <c r="AC89" s="15" t="e">
        <f t="shared" si="96"/>
        <v>#DIV/0!</v>
      </c>
      <c r="AD89" s="16">
        <f t="shared" si="79"/>
        <v>1.8571770908219643E-3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-2.1917682574190689E-3</v>
      </c>
      <c r="AM89" s="21">
        <f>bdrate($D89:$D92,F89:F92,$P89:$P92,R89:R92)</f>
        <v>-5.1266113551571069E-2</v>
      </c>
      <c r="AN89" s="36">
        <f t="shared" ref="AN89" si="107">bdrate($D89:$D92,G89:G92,$P89:$P92,S89:S92)</f>
        <v>-2.9361162158794141E-2</v>
      </c>
      <c r="AO89" s="26">
        <f>bdrate($D89:$D92,H89:H92,$P89:$P92,T89:T92)</f>
        <v>1.0668180060629195E-2</v>
      </c>
      <c r="AP89" s="21">
        <f>bdrate($D89:$D92,I89:I92,$P89:$P92,U89:U92)</f>
        <v>-7.6491288797453927E-2</v>
      </c>
      <c r="AQ89" s="36">
        <f>bdrate($D89:$D92,J89:J92,$P89:$P92,V89:V92)</f>
        <v>-1.6034801125507925E-2</v>
      </c>
      <c r="AR89" s="21"/>
      <c r="AS89" s="21"/>
      <c r="AT89" s="36"/>
      <c r="AU89" s="26"/>
      <c r="AV89" s="21"/>
      <c r="AW89" s="36"/>
      <c r="AX89" s="15">
        <f>V89/J89</f>
        <v>0.9998768891401868</v>
      </c>
      <c r="AY89" s="15">
        <f t="shared" ref="AY89:AY92" si="108">X89/L89</f>
        <v>1.0194174757281553</v>
      </c>
      <c r="AZ89" s="15">
        <f t="shared" si="87"/>
        <v>0.99178623414431266</v>
      </c>
      <c r="BA89" s="15">
        <f>V89/J89</f>
        <v>0.9998768891401868</v>
      </c>
      <c r="BB89" s="15">
        <f t="shared" si="106"/>
        <v>1.0194174757281553</v>
      </c>
      <c r="BC89" s="15">
        <f t="shared" si="83"/>
        <v>0.99178623414431266</v>
      </c>
      <c r="BD89" s="1">
        <f t="shared" si="84"/>
        <v>0</v>
      </c>
    </row>
    <row r="90" spans="1:56" ht="15.75" thickBot="1" x14ac:dyDescent="0.25">
      <c r="A90" s="13"/>
      <c r="B90" s="13"/>
      <c r="C90" s="43">
        <v>32</v>
      </c>
      <c r="D90" s="55">
        <v>625.91999999999996</v>
      </c>
      <c r="E90" s="55">
        <v>34.166800000000002</v>
      </c>
      <c r="F90" s="55">
        <v>39.695700000000002</v>
      </c>
      <c r="G90" s="55">
        <v>39.882199999999997</v>
      </c>
      <c r="H90" s="55">
        <v>0.98643199999999998</v>
      </c>
      <c r="I90" s="55">
        <v>0.96956120000000001</v>
      </c>
      <c r="J90" s="55">
        <v>0.97763420000000001</v>
      </c>
      <c r="K90" s="55">
        <v>37.762</v>
      </c>
      <c r="L90" s="55">
        <v>9.4E-2</v>
      </c>
      <c r="M90" s="15">
        <v>0</v>
      </c>
      <c r="N90" s="16">
        <f t="shared" si="76"/>
        <v>1.0489444444444445E-2</v>
      </c>
      <c r="P90" s="60">
        <v>622.5</v>
      </c>
      <c r="Q90" s="60">
        <v>34.157200000000003</v>
      </c>
      <c r="R90" s="60">
        <v>39.908000000000001</v>
      </c>
      <c r="S90" s="60">
        <v>39.945999999999998</v>
      </c>
      <c r="T90" s="60">
        <v>0.98606179999999999</v>
      </c>
      <c r="U90" s="60">
        <v>0.97198019999999996</v>
      </c>
      <c r="V90" s="60">
        <v>0.97755150000000002</v>
      </c>
      <c r="W90" s="60">
        <v>33.630000000000003</v>
      </c>
      <c r="X90" s="60">
        <v>9.6000000000000002E-2</v>
      </c>
      <c r="Y90" s="15">
        <v>0</v>
      </c>
      <c r="Z90" s="16">
        <f t="shared" si="77"/>
        <v>9.3416666666666665E-3</v>
      </c>
      <c r="AA90" s="10">
        <f t="shared" si="78"/>
        <v>0.89057782956411213</v>
      </c>
      <c r="AB90" s="15">
        <f t="shared" si="96"/>
        <v>1.0212765957446808</v>
      </c>
      <c r="AC90" s="15" t="e">
        <f t="shared" si="96"/>
        <v>#DIV/0!</v>
      </c>
      <c r="AD90" s="16">
        <f t="shared" si="79"/>
        <v>5.4639570552146586E-3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>
        <f>V90/J90</f>
        <v>0.99991540803298418</v>
      </c>
      <c r="AY90" s="15">
        <f t="shared" si="108"/>
        <v>1.0212765957446808</v>
      </c>
      <c r="AZ90" s="15">
        <f t="shared" si="87"/>
        <v>0.89057782956411202</v>
      </c>
      <c r="BA90" s="15">
        <f>V90/J90</f>
        <v>0.99991540803298418</v>
      </c>
      <c r="BB90" s="15">
        <f t="shared" si="106"/>
        <v>1.0212765957446808</v>
      </c>
      <c r="BC90" s="15">
        <f t="shared" si="83"/>
        <v>0.89057782956411202</v>
      </c>
      <c r="BD90" s="1">
        <f t="shared" si="84"/>
        <v>0</v>
      </c>
    </row>
    <row r="91" spans="1:56" ht="15.75" thickBot="1" x14ac:dyDescent="0.25">
      <c r="A91" s="13"/>
      <c r="B91" s="13"/>
      <c r="C91" s="43">
        <v>37</v>
      </c>
      <c r="D91" s="55">
        <v>387.24</v>
      </c>
      <c r="E91" s="55">
        <v>30.616700000000002</v>
      </c>
      <c r="F91" s="55">
        <v>38.538800000000002</v>
      </c>
      <c r="G91" s="55">
        <v>38.782299999999999</v>
      </c>
      <c r="H91" s="55">
        <v>0.97856639999999995</v>
      </c>
      <c r="I91" s="55">
        <v>0.95818559999999997</v>
      </c>
      <c r="J91" s="55">
        <v>0.97197160000000005</v>
      </c>
      <c r="K91" s="55">
        <v>31.535</v>
      </c>
      <c r="L91" s="55">
        <v>9.0999999999999998E-2</v>
      </c>
      <c r="M91" s="15">
        <v>0</v>
      </c>
      <c r="N91" s="16">
        <f t="shared" si="76"/>
        <v>8.7597222222222226E-3</v>
      </c>
      <c r="P91" s="60">
        <v>385.56</v>
      </c>
      <c r="Q91" s="60">
        <v>30.586200000000002</v>
      </c>
      <c r="R91" s="60">
        <v>38.558300000000003</v>
      </c>
      <c r="S91" s="60">
        <v>38.923499999999997</v>
      </c>
      <c r="T91" s="60">
        <v>0.97819100000000003</v>
      </c>
      <c r="U91" s="60">
        <v>0.95935099999999995</v>
      </c>
      <c r="V91" s="60">
        <v>0.97212120000000002</v>
      </c>
      <c r="W91" s="60">
        <v>30.827000000000002</v>
      </c>
      <c r="X91" s="60">
        <v>9.8000000000000004E-2</v>
      </c>
      <c r="Y91" s="15">
        <v>0</v>
      </c>
      <c r="Z91" s="16">
        <f t="shared" si="77"/>
        <v>8.5630555555555564E-3</v>
      </c>
      <c r="AA91" s="10">
        <f t="shared" si="78"/>
        <v>0.97754875535119712</v>
      </c>
      <c r="AB91" s="15">
        <f t="shared" si="96"/>
        <v>1.0769230769230771</v>
      </c>
      <c r="AC91" s="15" t="e">
        <f t="shared" si="96"/>
        <v>#DIV/0!</v>
      </c>
      <c r="AD91" s="16">
        <f t="shared" si="79"/>
        <v>4.3383947939262648E-3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>
        <f>V91/J91</f>
        <v>1.0001539139620952</v>
      </c>
      <c r="AY91" s="15">
        <f t="shared" si="108"/>
        <v>1.0769230769230771</v>
      </c>
      <c r="AZ91" s="15">
        <f t="shared" si="87"/>
        <v>0.97754875535119712</v>
      </c>
      <c r="BA91" s="15">
        <f>V91/J91</f>
        <v>1.0001539139620952</v>
      </c>
      <c r="BB91" s="15">
        <f t="shared" si="106"/>
        <v>1.0769230769230771</v>
      </c>
      <c r="BC91" s="15">
        <f t="shared" si="83"/>
        <v>0.97754875535119712</v>
      </c>
      <c r="BD91" s="1">
        <f t="shared" si="84"/>
        <v>0</v>
      </c>
    </row>
    <row r="92" spans="1:56" ht="15.75" thickBot="1" x14ac:dyDescent="0.25">
      <c r="A92" s="13"/>
      <c r="B92" s="17"/>
      <c r="C92" s="44">
        <v>42</v>
      </c>
      <c r="D92" s="55">
        <v>220.98</v>
      </c>
      <c r="E92" s="55">
        <v>26.988499999999998</v>
      </c>
      <c r="F92" s="55">
        <v>37.681100000000001</v>
      </c>
      <c r="G92" s="55">
        <v>37.389400000000002</v>
      </c>
      <c r="H92" s="55">
        <v>0.96525470000000002</v>
      </c>
      <c r="I92" s="55">
        <v>0.94743140000000003</v>
      </c>
      <c r="J92" s="55">
        <v>0.95874879999999996</v>
      </c>
      <c r="K92" s="55">
        <v>26.013000000000002</v>
      </c>
      <c r="L92" s="55">
        <v>8.6999999999999994E-2</v>
      </c>
      <c r="M92" s="19">
        <v>0</v>
      </c>
      <c r="N92" s="20">
        <f t="shared" si="76"/>
        <v>7.2258333333333341E-3</v>
      </c>
      <c r="P92" s="60">
        <v>219.48</v>
      </c>
      <c r="Q92" s="60">
        <v>27.008700000000001</v>
      </c>
      <c r="R92" s="60">
        <v>37.873600000000003</v>
      </c>
      <c r="S92" s="60">
        <v>37.444800000000001</v>
      </c>
      <c r="T92" s="60">
        <v>0.96539050000000004</v>
      </c>
      <c r="U92" s="60">
        <v>0.95308360000000003</v>
      </c>
      <c r="V92" s="60">
        <v>0.96127229999999997</v>
      </c>
      <c r="W92" s="60">
        <v>25.488</v>
      </c>
      <c r="X92" s="60">
        <v>0.09</v>
      </c>
      <c r="Y92" s="19">
        <v>0</v>
      </c>
      <c r="Z92" s="20">
        <f t="shared" si="77"/>
        <v>7.0799999999999995E-3</v>
      </c>
      <c r="AA92" s="10">
        <f t="shared" si="78"/>
        <v>0.97981778341598424</v>
      </c>
      <c r="AB92" s="15">
        <f t="shared" si="96"/>
        <v>1.0344827586206897</v>
      </c>
      <c r="AC92" s="15" t="e">
        <f t="shared" si="96"/>
        <v>#DIV/0!</v>
      </c>
      <c r="AD92" s="20">
        <f t="shared" si="79"/>
        <v>6.7879446103719793E-3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>
        <f>V92/J92</f>
        <v>1.0026320763061189</v>
      </c>
      <c r="AY92" s="15">
        <f t="shared" si="108"/>
        <v>1.0344827586206897</v>
      </c>
      <c r="AZ92" s="15">
        <f t="shared" si="87"/>
        <v>0.97981778341598413</v>
      </c>
      <c r="BA92" s="15"/>
      <c r="BB92" s="15"/>
      <c r="BC92" s="15"/>
      <c r="BD92" s="1">
        <f t="shared" si="84"/>
        <v>0</v>
      </c>
    </row>
    <row r="93" spans="1:56" ht="15.75" thickBot="1" x14ac:dyDescent="0.25">
      <c r="A93" s="13"/>
      <c r="B93" s="8" t="s">
        <v>28</v>
      </c>
      <c r="C93" s="39">
        <v>22</v>
      </c>
      <c r="D93" s="55">
        <v>614.88</v>
      </c>
      <c r="E93" s="55">
        <v>43.431699999999999</v>
      </c>
      <c r="F93" s="55">
        <v>43.515500000000003</v>
      </c>
      <c r="G93" s="55">
        <v>44.251800000000003</v>
      </c>
      <c r="H93" s="55">
        <v>0.99836320000000001</v>
      </c>
      <c r="I93" s="55">
        <v>0.99599649999999995</v>
      </c>
      <c r="J93" s="55">
        <v>0.99604190000000004</v>
      </c>
      <c r="K93" s="55">
        <v>68.313999999999993</v>
      </c>
      <c r="L93" s="55">
        <v>0.105</v>
      </c>
      <c r="M93" s="10">
        <v>0</v>
      </c>
      <c r="N93" s="11">
        <f t="shared" si="76"/>
        <v>1.897611111111111E-2</v>
      </c>
      <c r="P93" s="60">
        <v>619.83000000000004</v>
      </c>
      <c r="Q93" s="60">
        <v>43.4621</v>
      </c>
      <c r="R93" s="60">
        <v>43.5777</v>
      </c>
      <c r="S93" s="60">
        <v>44.317</v>
      </c>
      <c r="T93" s="60">
        <v>0.99836290000000005</v>
      </c>
      <c r="U93" s="60">
        <v>0.99614210000000003</v>
      </c>
      <c r="V93" s="60">
        <v>0.99619930000000001</v>
      </c>
      <c r="W93" s="60">
        <v>63.639000000000003</v>
      </c>
      <c r="X93" s="60">
        <v>0.107</v>
      </c>
      <c r="Y93" s="10">
        <v>0</v>
      </c>
      <c r="Z93" s="11">
        <f t="shared" si="77"/>
        <v>1.7677500000000002E-2</v>
      </c>
      <c r="AA93" s="10">
        <f t="shared" si="78"/>
        <v>0.93156600404016765</v>
      </c>
      <c r="AB93" s="15">
        <f t="shared" si="96"/>
        <v>1.019047619047619</v>
      </c>
      <c r="AC93" s="15" t="e">
        <f t="shared" si="96"/>
        <v>#DIV/0!</v>
      </c>
      <c r="AD93" s="11">
        <f t="shared" si="79"/>
        <v>8.0503512880562809E-3</v>
      </c>
      <c r="AE93" s="12"/>
      <c r="AF93" s="25">
        <f t="shared" ref="AF93:AK93" si="109">bdRateExtend($D93:$D97,E93:E97,$P93:$P97,Q93:Q97)</f>
        <v>1.7090636015322236E-3</v>
      </c>
      <c r="AG93" s="30">
        <f t="shared" si="109"/>
        <v>-5.1657202448955886E-3</v>
      </c>
      <c r="AH93" s="31">
        <f t="shared" si="109"/>
        <v>-6.9054600556507362E-3</v>
      </c>
      <c r="AI93" s="25">
        <f t="shared" si="109"/>
        <v>-2.0026807071222841E-3</v>
      </c>
      <c r="AJ93" s="30">
        <f t="shared" si="109"/>
        <v>2.6990479926751521E-2</v>
      </c>
      <c r="AK93" s="30">
        <f t="shared" si="109"/>
        <v>-7.7707325844171837E-3</v>
      </c>
      <c r="AL93" s="26"/>
      <c r="AM93" s="21"/>
      <c r="AN93" s="36"/>
      <c r="AO93" s="21"/>
      <c r="AP93" s="21"/>
      <c r="AQ93" s="36"/>
      <c r="AR93" s="30">
        <f t="shared" ref="AR93:AW93" si="110">bdrate($D93:$D96,E93:E96,$P93:$P96,Q93:Q96)</f>
        <v>-3.4861466805091723E-5</v>
      </c>
      <c r="AS93" s="30">
        <f t="shared" si="110"/>
        <v>-1.6703389250584122E-2</v>
      </c>
      <c r="AT93" s="31">
        <f t="shared" si="110"/>
        <v>-1.0444378616002226E-2</v>
      </c>
      <c r="AU93" s="25">
        <f t="shared" si="110"/>
        <v>-1.1669858365096486E-3</v>
      </c>
      <c r="AV93" s="30">
        <f t="shared" si="110"/>
        <v>-8.0671083826993062E-3</v>
      </c>
      <c r="AW93" s="31">
        <f t="shared" si="110"/>
        <v>-1.6645403223215505E-2</v>
      </c>
      <c r="AX93" s="15"/>
      <c r="AY93" s="15"/>
      <c r="AZ93" s="15"/>
      <c r="BA93" s="15">
        <f>V93/J93</f>
        <v>1.000158025480655</v>
      </c>
      <c r="BB93" s="15">
        <f t="shared" ref="BB93:BB96" si="111">X93/L93</f>
        <v>1.019047619047619</v>
      </c>
      <c r="BC93" s="15">
        <f t="shared" si="83"/>
        <v>0.93156600404016765</v>
      </c>
      <c r="BD93" s="1">
        <f t="shared" si="84"/>
        <v>0</v>
      </c>
    </row>
    <row r="94" spans="1:56" ht="15.75" thickBot="1" x14ac:dyDescent="0.25">
      <c r="A94" s="13"/>
      <c r="B94" s="13"/>
      <c r="C94" s="43">
        <v>27</v>
      </c>
      <c r="D94" s="55">
        <v>381.78</v>
      </c>
      <c r="E94" s="55">
        <v>39.198900000000002</v>
      </c>
      <c r="F94" s="55">
        <v>39.681600000000003</v>
      </c>
      <c r="G94" s="55">
        <v>40.721800000000002</v>
      </c>
      <c r="H94" s="55">
        <v>0.99590559999999995</v>
      </c>
      <c r="I94" s="55">
        <v>0.98895730000000004</v>
      </c>
      <c r="J94" s="55">
        <v>0.99018079999999997</v>
      </c>
      <c r="K94" s="55">
        <v>56.927999999999997</v>
      </c>
      <c r="L94" s="55">
        <v>9.5000000000000001E-2</v>
      </c>
      <c r="M94" s="15">
        <v>0</v>
      </c>
      <c r="N94" s="16">
        <f t="shared" si="76"/>
        <v>1.5813333333333332E-2</v>
      </c>
      <c r="P94" s="60">
        <v>383.28</v>
      </c>
      <c r="Q94" s="60">
        <v>39.258299999999998</v>
      </c>
      <c r="R94" s="60">
        <v>39.779299999999999</v>
      </c>
      <c r="S94" s="60">
        <v>40.716000000000001</v>
      </c>
      <c r="T94" s="60">
        <v>0.99583319999999997</v>
      </c>
      <c r="U94" s="60">
        <v>0.98910659999999995</v>
      </c>
      <c r="V94" s="60">
        <v>0.98981850000000005</v>
      </c>
      <c r="W94" s="60">
        <v>50.445</v>
      </c>
      <c r="X94" s="60">
        <v>0.1</v>
      </c>
      <c r="Y94" s="15">
        <v>0</v>
      </c>
      <c r="Z94" s="16">
        <f t="shared" si="77"/>
        <v>1.4012500000000001E-2</v>
      </c>
      <c r="AA94" s="10">
        <f t="shared" si="78"/>
        <v>0.88611930860033727</v>
      </c>
      <c r="AB94" s="15">
        <f t="shared" si="96"/>
        <v>1.0526315789473684</v>
      </c>
      <c r="AC94" s="15" t="e">
        <f t="shared" si="96"/>
        <v>#DIV/0!</v>
      </c>
      <c r="AD94" s="16">
        <f t="shared" si="79"/>
        <v>3.9289643250039292E-3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2.7001777016071316E-3</v>
      </c>
      <c r="AM94" s="21">
        <f>bdrate($D94:$D97,F94:F97,$P94:$P97,R94:R97)</f>
        <v>-1.420801021107243E-2</v>
      </c>
      <c r="AN94" s="36">
        <f t="shared" ref="AN94" si="112">bdrate($D94:$D97,G94:G97,$P94:$P97,S94:S97)</f>
        <v>-1.8456787161436727E-2</v>
      </c>
      <c r="AO94" s="26">
        <f>bdrate($D94:$D97,H94:H97,$P94:$P97,T94:T97)</f>
        <v>-2.828685545828491E-3</v>
      </c>
      <c r="AP94" s="21">
        <f>bdrate($D94:$D97,I94:I97,$P94:$P97,U94:U97)</f>
        <v>2.962382836425137E-2</v>
      </c>
      <c r="AQ94" s="36">
        <f>bdrate($D94:$D97,J94:J97,$P94:$P97,V94:V97)</f>
        <v>-1.2845943854190245E-2</v>
      </c>
      <c r="AR94" s="21"/>
      <c r="AS94" s="21"/>
      <c r="AT94" s="36"/>
      <c r="AU94" s="26"/>
      <c r="AV94" s="21"/>
      <c r="AW94" s="36"/>
      <c r="AX94" s="15">
        <f>V94/J94</f>
        <v>0.99963410722567037</v>
      </c>
      <c r="AY94" s="15">
        <f t="shared" ref="AY94:AY97" si="113">X94/L94</f>
        <v>1.0526315789473684</v>
      </c>
      <c r="AZ94" s="15">
        <f t="shared" si="87"/>
        <v>0.88611930860033739</v>
      </c>
      <c r="BA94" s="15">
        <f>V94/J94</f>
        <v>0.99963410722567037</v>
      </c>
      <c r="BB94" s="15">
        <f t="shared" si="111"/>
        <v>1.0526315789473684</v>
      </c>
      <c r="BC94" s="15">
        <f t="shared" si="83"/>
        <v>0.88611930860033739</v>
      </c>
      <c r="BD94" s="1">
        <f t="shared" si="84"/>
        <v>0</v>
      </c>
    </row>
    <row r="95" spans="1:56" ht="15.75" thickBot="1" x14ac:dyDescent="0.25">
      <c r="A95" s="13"/>
      <c r="B95" s="13"/>
      <c r="C95" s="43">
        <v>32</v>
      </c>
      <c r="D95" s="55">
        <v>223.32</v>
      </c>
      <c r="E95" s="55">
        <v>35.270000000000003</v>
      </c>
      <c r="F95" s="55">
        <v>37.107700000000001</v>
      </c>
      <c r="G95" s="55">
        <v>37.690399999999997</v>
      </c>
      <c r="H95" s="55">
        <v>0.9897435</v>
      </c>
      <c r="I95" s="55">
        <v>0.97705739999999996</v>
      </c>
      <c r="J95" s="55">
        <v>0.97805070000000005</v>
      </c>
      <c r="K95" s="55">
        <v>46.463999999999999</v>
      </c>
      <c r="L95" s="55">
        <v>9.5000000000000001E-2</v>
      </c>
      <c r="M95" s="15">
        <v>0</v>
      </c>
      <c r="N95" s="16">
        <f t="shared" si="76"/>
        <v>1.2906666666666667E-2</v>
      </c>
      <c r="P95" s="60">
        <v>222.15</v>
      </c>
      <c r="Q95" s="60">
        <v>35.235900000000001</v>
      </c>
      <c r="R95" s="60">
        <v>37.268999999999998</v>
      </c>
      <c r="S95" s="60">
        <v>37.846299999999999</v>
      </c>
      <c r="T95" s="60">
        <v>0.9896819</v>
      </c>
      <c r="U95" s="60">
        <v>0.97769740000000005</v>
      </c>
      <c r="V95" s="60">
        <v>0.97868549999999999</v>
      </c>
      <c r="W95" s="60">
        <v>41.84</v>
      </c>
      <c r="X95" s="60">
        <v>0.1</v>
      </c>
      <c r="Y95" s="15">
        <v>0</v>
      </c>
      <c r="Z95" s="16">
        <f t="shared" si="77"/>
        <v>1.1622222222222223E-2</v>
      </c>
      <c r="AA95" s="10">
        <f t="shared" si="78"/>
        <v>0.90048209366391196</v>
      </c>
      <c r="AB95" s="15">
        <f t="shared" si="96"/>
        <v>1.0526315789473684</v>
      </c>
      <c r="AC95" s="15" t="e">
        <f t="shared" si="96"/>
        <v>#DIV/0!</v>
      </c>
      <c r="AD95" s="16">
        <f t="shared" si="79"/>
        <v>5.2391187533583532E-3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>
        <f>V95/J95</f>
        <v>1.0006490461077324</v>
      </c>
      <c r="AY95" s="15">
        <f t="shared" si="113"/>
        <v>1.0526315789473684</v>
      </c>
      <c r="AZ95" s="15">
        <f t="shared" si="87"/>
        <v>0.90048209366391185</v>
      </c>
      <c r="BA95" s="15">
        <f>V95/J95</f>
        <v>1.0006490461077324</v>
      </c>
      <c r="BB95" s="15">
        <f t="shared" si="111"/>
        <v>1.0526315789473684</v>
      </c>
      <c r="BC95" s="15">
        <f t="shared" si="83"/>
        <v>0.90048209366391185</v>
      </c>
      <c r="BD95" s="1">
        <f t="shared" si="84"/>
        <v>0</v>
      </c>
    </row>
    <row r="96" spans="1:56" ht="15.75" thickBot="1" x14ac:dyDescent="0.25">
      <c r="A96" s="13"/>
      <c r="B96" s="13"/>
      <c r="C96" s="43">
        <v>37</v>
      </c>
      <c r="D96" s="55">
        <v>121.17</v>
      </c>
      <c r="E96" s="55">
        <v>31.674099999999999</v>
      </c>
      <c r="F96" s="55">
        <v>35.848300000000002</v>
      </c>
      <c r="G96" s="55">
        <v>35.845700000000001</v>
      </c>
      <c r="H96" s="55">
        <v>0.97123689999999996</v>
      </c>
      <c r="I96" s="55">
        <v>0.96652320000000003</v>
      </c>
      <c r="J96" s="55">
        <v>0.96313110000000002</v>
      </c>
      <c r="K96" s="55">
        <v>33.92</v>
      </c>
      <c r="L96" s="55">
        <v>0.09</v>
      </c>
      <c r="M96" s="15">
        <v>0</v>
      </c>
      <c r="N96" s="16">
        <f t="shared" si="76"/>
        <v>9.4222222222222225E-3</v>
      </c>
      <c r="P96" s="60">
        <v>122.25</v>
      </c>
      <c r="Q96" s="60">
        <v>31.687100000000001</v>
      </c>
      <c r="R96" s="60">
        <v>35.7956</v>
      </c>
      <c r="S96" s="60">
        <v>35.8795</v>
      </c>
      <c r="T96" s="60">
        <v>0.97210180000000002</v>
      </c>
      <c r="U96" s="60">
        <v>0.9652191</v>
      </c>
      <c r="V96" s="60">
        <v>0.9644566</v>
      </c>
      <c r="W96" s="60">
        <v>32.052999999999997</v>
      </c>
      <c r="X96" s="60">
        <v>9.1999999999999998E-2</v>
      </c>
      <c r="Y96" s="15">
        <v>0</v>
      </c>
      <c r="Z96" s="16">
        <f t="shared" si="77"/>
        <v>8.9036111111111104E-3</v>
      </c>
      <c r="AA96" s="10">
        <f t="shared" si="78"/>
        <v>0.94495872641509426</v>
      </c>
      <c r="AB96" s="15">
        <f t="shared" si="96"/>
        <v>1.0222222222222221</v>
      </c>
      <c r="AC96" s="15" t="e">
        <f t="shared" si="96"/>
        <v>#DIV/0!</v>
      </c>
      <c r="AD96" s="16">
        <f t="shared" si="79"/>
        <v>8.9130973013121922E-3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>
        <f>V96/J96</f>
        <v>1.001376240472351</v>
      </c>
      <c r="AY96" s="15">
        <f t="shared" si="113"/>
        <v>1.0222222222222221</v>
      </c>
      <c r="AZ96" s="15">
        <f t="shared" si="87"/>
        <v>0.94495872641509426</v>
      </c>
      <c r="BA96" s="15">
        <f>V96/J96</f>
        <v>1.001376240472351</v>
      </c>
      <c r="BB96" s="15">
        <f t="shared" si="111"/>
        <v>1.0222222222222221</v>
      </c>
      <c r="BC96" s="15">
        <f t="shared" si="83"/>
        <v>0.94495872641509426</v>
      </c>
      <c r="BD96" s="1">
        <f t="shared" si="84"/>
        <v>0</v>
      </c>
    </row>
    <row r="97" spans="1:56" ht="15.75" thickBot="1" x14ac:dyDescent="0.25">
      <c r="A97" s="17"/>
      <c r="B97" s="17"/>
      <c r="C97" s="44">
        <v>42</v>
      </c>
      <c r="D97" s="55">
        <v>67.2</v>
      </c>
      <c r="E97" s="55">
        <v>28.841899999999999</v>
      </c>
      <c r="F97" s="55">
        <v>34.042000000000002</v>
      </c>
      <c r="G97" s="55">
        <v>33.8142</v>
      </c>
      <c r="H97" s="55">
        <v>0.94230170000000002</v>
      </c>
      <c r="I97" s="55">
        <v>0.94628509999999999</v>
      </c>
      <c r="J97" s="55">
        <v>0.94435749999999996</v>
      </c>
      <c r="K97" s="55">
        <v>23.587</v>
      </c>
      <c r="L97" s="55">
        <v>8.7999999999999995E-2</v>
      </c>
      <c r="M97" s="19">
        <v>0</v>
      </c>
      <c r="N97" s="20">
        <f t="shared" si="76"/>
        <v>6.5519444444444444E-3</v>
      </c>
      <c r="P97" s="60">
        <v>66.84</v>
      </c>
      <c r="Q97" s="60">
        <v>28.77</v>
      </c>
      <c r="R97" s="60">
        <v>33.901299999999999</v>
      </c>
      <c r="S97" s="60">
        <v>33.7866</v>
      </c>
      <c r="T97" s="60">
        <v>0.93998899999999996</v>
      </c>
      <c r="U97" s="60">
        <v>0.94310099999999997</v>
      </c>
      <c r="V97" s="60">
        <v>0.93995229999999996</v>
      </c>
      <c r="W97" s="60">
        <v>20.315000000000001</v>
      </c>
      <c r="X97" s="60">
        <v>0.14499999999999999</v>
      </c>
      <c r="Y97" s="19">
        <v>0</v>
      </c>
      <c r="Z97" s="20">
        <f t="shared" si="77"/>
        <v>5.6430555555555557E-3</v>
      </c>
      <c r="AA97" s="10">
        <f t="shared" si="78"/>
        <v>0.86127951837876804</v>
      </c>
      <c r="AB97" s="19">
        <f t="shared" si="96"/>
        <v>1.6477272727272727</v>
      </c>
      <c r="AC97" s="19" t="e">
        <f t="shared" si="96"/>
        <v>#DIV/0!</v>
      </c>
      <c r="AD97" s="20">
        <f t="shared" si="79"/>
        <v>5.3571428571428485E-3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>
        <f>V97/J97</f>
        <v>0.99533524115602412</v>
      </c>
      <c r="AY97" s="19">
        <f t="shared" si="113"/>
        <v>1.6477272727272727</v>
      </c>
      <c r="AZ97" s="19">
        <f t="shared" si="87"/>
        <v>0.86127951837876804</v>
      </c>
      <c r="BA97" s="19"/>
      <c r="BB97" s="19"/>
      <c r="BC97" s="19"/>
      <c r="BD97" s="1">
        <f t="shared" si="84"/>
        <v>0</v>
      </c>
    </row>
    <row r="98" spans="1:56" ht="15.75" thickBot="1" x14ac:dyDescent="0.25">
      <c r="A98" s="48" t="s">
        <v>23</v>
      </c>
      <c r="B98" s="8" t="s">
        <v>32</v>
      </c>
      <c r="C98" s="39">
        <v>22</v>
      </c>
      <c r="D98" s="55">
        <v>3393.9</v>
      </c>
      <c r="E98" s="55">
        <v>44.671999999999997</v>
      </c>
      <c r="F98" s="55">
        <v>47.747399999999999</v>
      </c>
      <c r="G98" s="55">
        <v>49.038800000000002</v>
      </c>
      <c r="H98" s="55">
        <v>0.99685259999999998</v>
      </c>
      <c r="I98" s="55">
        <v>0.9960985</v>
      </c>
      <c r="J98" s="55">
        <v>0.99697709999999995</v>
      </c>
      <c r="K98" s="55">
        <v>351.83300000000003</v>
      </c>
      <c r="L98" s="55">
        <v>0.19600000000000001</v>
      </c>
      <c r="M98" s="10">
        <v>0</v>
      </c>
      <c r="N98" s="11">
        <f t="shared" si="76"/>
        <v>9.7731388888888895E-2</v>
      </c>
      <c r="P98" s="60">
        <v>3392.22</v>
      </c>
      <c r="Q98" s="60">
        <v>44.670200000000001</v>
      </c>
      <c r="R98" s="60">
        <v>47.727600000000002</v>
      </c>
      <c r="S98" s="60">
        <v>48.967799999999997</v>
      </c>
      <c r="T98" s="60">
        <v>0.99684839999999997</v>
      </c>
      <c r="U98" s="60">
        <v>0.99607959999999995</v>
      </c>
      <c r="V98" s="60">
        <v>0.99695330000000004</v>
      </c>
      <c r="W98" s="60">
        <v>320.20699999999999</v>
      </c>
      <c r="X98" s="60">
        <v>0.19500000000000001</v>
      </c>
      <c r="Y98" s="10">
        <v>0</v>
      </c>
      <c r="Z98" s="11">
        <f t="shared" si="77"/>
        <v>8.894638888888888E-2</v>
      </c>
      <c r="AA98" s="10">
        <f t="shared" si="78"/>
        <v>0.91011076277665814</v>
      </c>
      <c r="AB98" s="10">
        <f>X98/L98</f>
        <v>0.99489795918367352</v>
      </c>
      <c r="AC98" s="10" t="e">
        <f>Y98/M98</f>
        <v>#DIV/0!</v>
      </c>
      <c r="AD98" s="11">
        <f t="shared" si="79"/>
        <v>4.9500574560249009E-4</v>
      </c>
      <c r="AE98" s="40"/>
      <c r="AF98" s="25">
        <f t="shared" ref="AF98:AK98" si="114">bdRateExtend($D98:$D102,E98:E102,$P98:$P102,Q98:Q102)</f>
        <v>-2.8922961328087249E-3</v>
      </c>
      <c r="AG98" s="30">
        <f t="shared" si="114"/>
        <v>5.8497232004415256E-3</v>
      </c>
      <c r="AH98" s="31">
        <f t="shared" si="114"/>
        <v>3.9547058225961607E-3</v>
      </c>
      <c r="AI98" s="25">
        <f t="shared" si="114"/>
        <v>-8.1947866465511554E-3</v>
      </c>
      <c r="AJ98" s="30">
        <f t="shared" si="114"/>
        <v>9.9656991017142982E-3</v>
      </c>
      <c r="AK98" s="30">
        <f t="shared" si="114"/>
        <v>5.3264429637875921E-3</v>
      </c>
      <c r="AL98" s="45"/>
      <c r="AM98" s="46"/>
      <c r="AN98" s="47"/>
      <c r="AO98" s="46"/>
      <c r="AP98" s="46"/>
      <c r="AQ98" s="47"/>
      <c r="AR98" s="30">
        <f t="shared" ref="AR98:AW98" si="115">bdrate($D98:$D101,E98:E101,$P98:$P101,Q98:Q101)</f>
        <v>-1.6898792052451039E-3</v>
      </c>
      <c r="AS98" s="30">
        <f t="shared" si="115"/>
        <v>3.6712675554873009E-3</v>
      </c>
      <c r="AT98" s="31">
        <f t="shared" si="115"/>
        <v>-7.077326255950922E-4</v>
      </c>
      <c r="AU98" s="25">
        <f t="shared" si="115"/>
        <v>-2.3249229334312282E-3</v>
      </c>
      <c r="AV98" s="30">
        <f t="shared" si="115"/>
        <v>6.0236870148508981E-3</v>
      </c>
      <c r="AW98" s="31">
        <f t="shared" si="115"/>
        <v>2.314551340049098E-3</v>
      </c>
      <c r="AX98" s="10"/>
      <c r="AY98" s="10"/>
      <c r="AZ98" s="10"/>
      <c r="BA98" s="10">
        <f>V98/J98</f>
        <v>0.99997612783683809</v>
      </c>
      <c r="BB98" s="10">
        <f>X98/L98</f>
        <v>0.99489795918367352</v>
      </c>
      <c r="BC98" s="10">
        <f t="shared" ref="BC98:BC101" si="116">Z98/N98</f>
        <v>0.91011076277665814</v>
      </c>
      <c r="BD98" s="1">
        <f t="shared" si="84"/>
        <v>1</v>
      </c>
    </row>
    <row r="99" spans="1:56" ht="15.75" thickBot="1" x14ac:dyDescent="0.25">
      <c r="A99" s="13" t="s">
        <v>24</v>
      </c>
      <c r="B99" s="13"/>
      <c r="C99" s="43">
        <v>27</v>
      </c>
      <c r="D99" s="55">
        <v>2070.96</v>
      </c>
      <c r="E99" s="55">
        <v>42.299199999999999</v>
      </c>
      <c r="F99" s="55">
        <v>45.571399999999997</v>
      </c>
      <c r="G99" s="55">
        <v>46.682099999999998</v>
      </c>
      <c r="H99" s="55">
        <v>0.99524789999999996</v>
      </c>
      <c r="I99" s="55">
        <v>0.99248619999999999</v>
      </c>
      <c r="J99" s="55">
        <v>0.99402400000000002</v>
      </c>
      <c r="K99" s="55">
        <v>227.33199999999999</v>
      </c>
      <c r="L99" s="55">
        <v>0.16900000000000001</v>
      </c>
      <c r="M99" s="15">
        <v>0</v>
      </c>
      <c r="N99" s="16">
        <f t="shared" si="76"/>
        <v>6.3147777777777775E-2</v>
      </c>
      <c r="P99" s="60">
        <v>2063.6999999999998</v>
      </c>
      <c r="Q99" s="60">
        <v>42.296500000000002</v>
      </c>
      <c r="R99" s="60">
        <v>45.501300000000001</v>
      </c>
      <c r="S99" s="60">
        <v>46.617100000000001</v>
      </c>
      <c r="T99" s="60">
        <v>0.9952548</v>
      </c>
      <c r="U99" s="60">
        <v>0.99242339999999996</v>
      </c>
      <c r="V99" s="60">
        <v>0.99396189999999995</v>
      </c>
      <c r="W99" s="60">
        <v>205.363</v>
      </c>
      <c r="X99" s="60">
        <v>0.17399999999999999</v>
      </c>
      <c r="Y99" s="15">
        <v>0</v>
      </c>
      <c r="Z99" s="16">
        <f t="shared" si="77"/>
        <v>5.7045277777777778E-2</v>
      </c>
      <c r="AA99" s="10">
        <f t="shared" si="78"/>
        <v>0.90336160329386095</v>
      </c>
      <c r="AB99" s="15">
        <f t="shared" ref="AB99:AC112" si="117">X99/L99</f>
        <v>1.029585798816568</v>
      </c>
      <c r="AC99" s="15" t="e">
        <f t="shared" si="117"/>
        <v>#DIV/0!</v>
      </c>
      <c r="AD99" s="16">
        <f t="shared" si="79"/>
        <v>3.5056205817592893E-3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-2.9363097896099033E-3</v>
      </c>
      <c r="AM99" s="21">
        <f>bdrate($D99:$D102,F99:F102,$P99:$P102,R99:R102)</f>
        <v>2.8770327736495904E-3</v>
      </c>
      <c r="AN99" s="36">
        <f t="shared" ref="AN99" si="118">bdrate($D99:$D102,G99:G102,$P99:$P102,S99:S102)</f>
        <v>-5.0457823577721994E-3</v>
      </c>
      <c r="AO99" s="26">
        <f>bdrate($D99:$D102,H99:H102,$P99:$P102,T99:T102)</f>
        <v>-8.4270933340867549E-3</v>
      </c>
      <c r="AP99" s="21">
        <f>bdrate($D99:$D102,I99:I102,$P99:$P102,U99:U102)</f>
        <v>1.1250412373659868E-2</v>
      </c>
      <c r="AQ99" s="36">
        <f>bdrate($D99:$D102,J99:J102,$P99:$P102,V99:V102)</f>
        <v>5.056842732617195E-3</v>
      </c>
      <c r="AR99" s="21"/>
      <c r="AS99" s="21"/>
      <c r="AT99" s="36"/>
      <c r="AU99" s="26"/>
      <c r="AV99" s="21"/>
      <c r="AW99" s="36"/>
      <c r="AX99" s="15">
        <f>V99/J99</f>
        <v>0.99993752665931601</v>
      </c>
      <c r="AY99" s="15">
        <f>X99/L99</f>
        <v>1.029585798816568</v>
      </c>
      <c r="AZ99" s="15">
        <f t="shared" ref="AZ99:AZ102" si="119">Z99/N99</f>
        <v>0.90336160329386106</v>
      </c>
      <c r="BA99" s="15">
        <f>V99/J99</f>
        <v>0.99993752665931601</v>
      </c>
      <c r="BB99" s="15">
        <f>X99/L99</f>
        <v>1.029585798816568</v>
      </c>
      <c r="BC99" s="15">
        <f t="shared" si="116"/>
        <v>0.90336160329386106</v>
      </c>
      <c r="BD99" s="1">
        <f t="shared" si="84"/>
        <v>0</v>
      </c>
    </row>
    <row r="100" spans="1:56" ht="15.75" thickBot="1" x14ac:dyDescent="0.25">
      <c r="A100" s="13"/>
      <c r="B100" s="13"/>
      <c r="C100" s="43">
        <v>32</v>
      </c>
      <c r="D100" s="55">
        <v>1285.32</v>
      </c>
      <c r="E100" s="55">
        <v>39.610599999999998</v>
      </c>
      <c r="F100" s="55">
        <v>43.560699999999997</v>
      </c>
      <c r="G100" s="55">
        <v>44.486899999999999</v>
      </c>
      <c r="H100" s="55">
        <v>0.99207469999999998</v>
      </c>
      <c r="I100" s="55">
        <v>0.98738000000000004</v>
      </c>
      <c r="J100" s="55">
        <v>0.9892225</v>
      </c>
      <c r="K100" s="55">
        <v>160.42099999999999</v>
      </c>
      <c r="L100" s="55">
        <v>0.16</v>
      </c>
      <c r="M100" s="15">
        <v>0</v>
      </c>
      <c r="N100" s="16">
        <f t="shared" si="76"/>
        <v>4.4561388888888886E-2</v>
      </c>
      <c r="P100" s="60">
        <v>1281.18</v>
      </c>
      <c r="Q100" s="60">
        <v>39.589300000000001</v>
      </c>
      <c r="R100" s="60">
        <v>43.569499999999998</v>
      </c>
      <c r="S100" s="60">
        <v>44.596899999999998</v>
      </c>
      <c r="T100" s="60">
        <v>0.99203940000000002</v>
      </c>
      <c r="U100" s="60">
        <v>0.9872398</v>
      </c>
      <c r="V100" s="60">
        <v>0.98921150000000002</v>
      </c>
      <c r="W100" s="60">
        <v>150.364</v>
      </c>
      <c r="X100" s="60">
        <v>0.16600000000000001</v>
      </c>
      <c r="Y100" s="15">
        <v>0</v>
      </c>
      <c r="Z100" s="16">
        <f t="shared" si="77"/>
        <v>4.1767777777777779E-2</v>
      </c>
      <c r="AA100" s="10">
        <f t="shared" si="78"/>
        <v>0.93730870646611109</v>
      </c>
      <c r="AB100" s="15">
        <f t="shared" si="117"/>
        <v>1.0375000000000001</v>
      </c>
      <c r="AC100" s="15" t="e">
        <f t="shared" si="117"/>
        <v>#DIV/0!</v>
      </c>
      <c r="AD100" s="16">
        <f t="shared" si="79"/>
        <v>3.2209877695825733E-3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>
        <f>V100/J100</f>
        <v>0.99998888015588006</v>
      </c>
      <c r="AY100" s="15">
        <f>X100/L100</f>
        <v>1.0375000000000001</v>
      </c>
      <c r="AZ100" s="15">
        <f t="shared" si="119"/>
        <v>0.93730870646611109</v>
      </c>
      <c r="BA100" s="15">
        <f>V100/J100</f>
        <v>0.99998888015588006</v>
      </c>
      <c r="BB100" s="15">
        <f>X100/L100</f>
        <v>1.0375000000000001</v>
      </c>
      <c r="BC100" s="15">
        <f t="shared" si="116"/>
        <v>0.93730870646611109</v>
      </c>
      <c r="BD100" s="1">
        <f t="shared" si="84"/>
        <v>0</v>
      </c>
    </row>
    <row r="101" spans="1:56" ht="15.75" thickBot="1" x14ac:dyDescent="0.25">
      <c r="A101" s="13"/>
      <c r="B101" s="13"/>
      <c r="C101" s="43">
        <v>37</v>
      </c>
      <c r="D101" s="55">
        <v>786.6</v>
      </c>
      <c r="E101" s="55">
        <v>36.534199999999998</v>
      </c>
      <c r="F101" s="55">
        <v>41.607500000000002</v>
      </c>
      <c r="G101" s="55">
        <v>42.946399999999997</v>
      </c>
      <c r="H101" s="55">
        <v>0.98525870000000004</v>
      </c>
      <c r="I101" s="55">
        <v>0.97912960000000004</v>
      </c>
      <c r="J101" s="55">
        <v>0.98361399999999999</v>
      </c>
      <c r="K101" s="55">
        <v>104.828</v>
      </c>
      <c r="L101" s="55">
        <v>0.14799999999999999</v>
      </c>
      <c r="M101" s="15">
        <v>0</v>
      </c>
      <c r="N101" s="16">
        <f t="shared" si="76"/>
        <v>2.9118888888888889E-2</v>
      </c>
      <c r="P101" s="60">
        <v>785.22</v>
      </c>
      <c r="Q101" s="60">
        <v>36.560699999999997</v>
      </c>
      <c r="R101" s="60">
        <v>41.600200000000001</v>
      </c>
      <c r="S101" s="60">
        <v>42.8367</v>
      </c>
      <c r="T101" s="60">
        <v>0.98545910000000003</v>
      </c>
      <c r="U101" s="60">
        <v>0.97895220000000005</v>
      </c>
      <c r="V101" s="60">
        <v>0.98345530000000003</v>
      </c>
      <c r="W101" s="60">
        <v>100.09</v>
      </c>
      <c r="X101" s="60">
        <v>0.14799999999999999</v>
      </c>
      <c r="Y101" s="15">
        <v>0</v>
      </c>
      <c r="Z101" s="16">
        <f t="shared" si="77"/>
        <v>2.780277777777778E-2</v>
      </c>
      <c r="AA101" s="10">
        <f t="shared" si="78"/>
        <v>0.954802152096768</v>
      </c>
      <c r="AB101" s="15">
        <f t="shared" si="117"/>
        <v>1</v>
      </c>
      <c r="AC101" s="15" t="e">
        <f t="shared" si="117"/>
        <v>#DIV/0!</v>
      </c>
      <c r="AD101" s="16">
        <f t="shared" si="79"/>
        <v>1.7543859649122749E-3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>
        <f>V101/J101</f>
        <v>0.99983865622083468</v>
      </c>
      <c r="AY101" s="15">
        <f>X101/L101</f>
        <v>1</v>
      </c>
      <c r="AZ101" s="15">
        <f t="shared" si="119"/>
        <v>0.95480215209676811</v>
      </c>
      <c r="BA101" s="15">
        <f>V101/J101</f>
        <v>0.99983865622083468</v>
      </c>
      <c r="BB101" s="15">
        <f>X101/L101</f>
        <v>1</v>
      </c>
      <c r="BC101" s="15">
        <f t="shared" si="116"/>
        <v>0.95480215209676811</v>
      </c>
      <c r="BD101" s="1">
        <f t="shared" si="84"/>
        <v>0</v>
      </c>
    </row>
    <row r="102" spans="1:56" ht="15.75" thickBot="1" x14ac:dyDescent="0.25">
      <c r="A102" s="13"/>
      <c r="B102" s="17"/>
      <c r="C102" s="44">
        <v>42</v>
      </c>
      <c r="D102" s="55">
        <v>460.44</v>
      </c>
      <c r="E102" s="55">
        <v>33.287500000000001</v>
      </c>
      <c r="F102" s="55">
        <v>40.337899999999998</v>
      </c>
      <c r="G102" s="55">
        <v>41.402900000000002</v>
      </c>
      <c r="H102" s="55">
        <v>0.97023440000000005</v>
      </c>
      <c r="I102" s="55">
        <v>0.97151419999999999</v>
      </c>
      <c r="J102" s="55">
        <v>0.97649949999999996</v>
      </c>
      <c r="K102" s="55">
        <v>66.787000000000006</v>
      </c>
      <c r="L102" s="55">
        <v>0.13400000000000001</v>
      </c>
      <c r="M102" s="19">
        <v>0</v>
      </c>
      <c r="N102" s="20">
        <f t="shared" si="76"/>
        <v>1.8551944444444447E-2</v>
      </c>
      <c r="P102" s="60">
        <v>456</v>
      </c>
      <c r="Q102" s="60">
        <v>33.241199999999999</v>
      </c>
      <c r="R102" s="60">
        <v>40.2348</v>
      </c>
      <c r="S102" s="60">
        <v>41.464599999999997</v>
      </c>
      <c r="T102" s="60">
        <v>0.9697595</v>
      </c>
      <c r="U102" s="60">
        <v>0.97090909999999997</v>
      </c>
      <c r="V102" s="60">
        <v>0.9763115</v>
      </c>
      <c r="W102" s="60">
        <v>55.823999999999998</v>
      </c>
      <c r="X102" s="60">
        <v>0.13400000000000001</v>
      </c>
      <c r="Y102" s="19">
        <v>0</v>
      </c>
      <c r="Z102" s="20">
        <f t="shared" si="77"/>
        <v>1.5506666666666667E-2</v>
      </c>
      <c r="AA102" s="10">
        <f t="shared" si="78"/>
        <v>0.83585128842439382</v>
      </c>
      <c r="AB102" s="15">
        <f t="shared" si="117"/>
        <v>1</v>
      </c>
      <c r="AC102" s="15" t="e">
        <f t="shared" si="117"/>
        <v>#DIV/0!</v>
      </c>
      <c r="AD102" s="20">
        <f t="shared" si="79"/>
        <v>9.6429502215272297E-3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>
        <f>V102/J102</f>
        <v>0.9998074755798646</v>
      </c>
      <c r="AY102" s="15">
        <f>X102/L102</f>
        <v>1</v>
      </c>
      <c r="AZ102" s="15">
        <f t="shared" si="119"/>
        <v>0.83585128842439382</v>
      </c>
      <c r="BA102" s="15"/>
      <c r="BB102" s="15"/>
      <c r="BC102" s="15"/>
      <c r="BD102" s="1">
        <f t="shared" si="84"/>
        <v>0</v>
      </c>
    </row>
    <row r="103" spans="1:56" ht="15.75" thickBot="1" x14ac:dyDescent="0.25">
      <c r="A103" s="13"/>
      <c r="B103" s="8" t="s">
        <v>33</v>
      </c>
      <c r="C103" s="39">
        <v>22</v>
      </c>
      <c r="D103" s="55">
        <v>2290.56</v>
      </c>
      <c r="E103" s="55">
        <v>44.8446</v>
      </c>
      <c r="F103" s="55">
        <v>49.043300000000002</v>
      </c>
      <c r="G103" s="55">
        <v>49.591500000000003</v>
      </c>
      <c r="H103" s="55">
        <v>0.99577329999999997</v>
      </c>
      <c r="I103" s="55">
        <v>0.99726079999999995</v>
      </c>
      <c r="J103" s="55">
        <v>0.99759909999999996</v>
      </c>
      <c r="K103" s="55">
        <v>243.17099999999999</v>
      </c>
      <c r="L103" s="55">
        <v>0.16300000000000001</v>
      </c>
      <c r="M103" s="10">
        <v>0</v>
      </c>
      <c r="N103" s="11">
        <f t="shared" si="76"/>
        <v>6.7547499999999996E-2</v>
      </c>
      <c r="P103" s="60">
        <v>2277.12</v>
      </c>
      <c r="Q103" s="60">
        <v>44.829500000000003</v>
      </c>
      <c r="R103" s="60">
        <v>48.952399999999997</v>
      </c>
      <c r="S103" s="60">
        <v>49.593000000000004</v>
      </c>
      <c r="T103" s="60">
        <v>0.99574280000000004</v>
      </c>
      <c r="U103" s="60">
        <v>0.99720180000000003</v>
      </c>
      <c r="V103" s="60">
        <v>0.99759710000000001</v>
      </c>
      <c r="W103" s="60">
        <v>226.203</v>
      </c>
      <c r="X103" s="60">
        <v>0.16200000000000001</v>
      </c>
      <c r="Y103" s="10">
        <v>0</v>
      </c>
      <c r="Z103" s="11">
        <f t="shared" si="77"/>
        <v>6.2834166666666663E-2</v>
      </c>
      <c r="AA103" s="10">
        <f t="shared" si="78"/>
        <v>0.93022194258361401</v>
      </c>
      <c r="AB103" s="15">
        <f t="shared" si="117"/>
        <v>0.99386503067484666</v>
      </c>
      <c r="AC103" s="15" t="e">
        <f t="shared" si="117"/>
        <v>#DIV/0!</v>
      </c>
      <c r="AD103" s="11">
        <f t="shared" si="79"/>
        <v>5.8675607711651543E-3</v>
      </c>
      <c r="AE103" s="12"/>
      <c r="AF103" s="25">
        <f t="shared" ref="AF103:AK103" si="120">bdRateExtend($D103:$D107,E103:E107,$P103:$P107,Q103:Q107)</f>
        <v>1.5745200436299012E-3</v>
      </c>
      <c r="AG103" s="30">
        <f t="shared" si="120"/>
        <v>-5.2073759257992291E-3</v>
      </c>
      <c r="AH103" s="31">
        <f t="shared" si="120"/>
        <v>-1.6478398955169671E-2</v>
      </c>
      <c r="AI103" s="25">
        <f t="shared" si="120"/>
        <v>6.9786879875826102E-3</v>
      </c>
      <c r="AJ103" s="30">
        <f t="shared" si="120"/>
        <v>-5.8647846340469378E-3</v>
      </c>
      <c r="AK103" s="30">
        <f t="shared" si="120"/>
        <v>-3.1046526893316218E-2</v>
      </c>
      <c r="AL103" s="26"/>
      <c r="AM103" s="21"/>
      <c r="AN103" s="36"/>
      <c r="AO103" s="21"/>
      <c r="AP103" s="21"/>
      <c r="AQ103" s="36"/>
      <c r="AR103" s="30">
        <f t="shared" ref="AR103:AW103" si="121">bdrate($D103:$D106,E103:E106,$P103:$P106,Q103:Q106)</f>
        <v>1.3586555125733035E-4</v>
      </c>
      <c r="AS103" s="30">
        <f t="shared" si="121"/>
        <v>-1.1990086105989617E-3</v>
      </c>
      <c r="AT103" s="31">
        <f t="shared" si="121"/>
        <v>-1.3978378805838965E-2</v>
      </c>
      <c r="AU103" s="25">
        <f t="shared" si="121"/>
        <v>5.999473811130196E-3</v>
      </c>
      <c r="AV103" s="30">
        <f t="shared" si="121"/>
        <v>6.4850514589804842E-3</v>
      </c>
      <c r="AW103" s="31">
        <f t="shared" si="121"/>
        <v>-1.0834666293440876E-2</v>
      </c>
      <c r="AX103" s="15"/>
      <c r="AY103" s="15"/>
      <c r="AZ103" s="15"/>
      <c r="BA103" s="15">
        <f>V103/J103</f>
        <v>0.99999799518664367</v>
      </c>
      <c r="BB103" s="15">
        <f>X103/L103</f>
        <v>0.99386503067484666</v>
      </c>
      <c r="BC103" s="15">
        <f t="shared" ref="BC103:BC106" si="122">Z103/N103</f>
        <v>0.93022194258361401</v>
      </c>
      <c r="BD103" s="1">
        <f t="shared" si="84"/>
        <v>0</v>
      </c>
    </row>
    <row r="104" spans="1:56" ht="15.75" thickBot="1" x14ac:dyDescent="0.25">
      <c r="A104" s="13"/>
      <c r="B104" s="13"/>
      <c r="C104" s="43">
        <v>27</v>
      </c>
      <c r="D104" s="55">
        <v>1217.4000000000001</v>
      </c>
      <c r="E104" s="55">
        <v>42.804000000000002</v>
      </c>
      <c r="F104" s="55">
        <v>47.090899999999998</v>
      </c>
      <c r="G104" s="55">
        <v>47.558900000000001</v>
      </c>
      <c r="H104" s="55">
        <v>0.99371480000000001</v>
      </c>
      <c r="I104" s="55">
        <v>0.99536000000000002</v>
      </c>
      <c r="J104" s="55">
        <v>0.99584720000000004</v>
      </c>
      <c r="K104" s="55">
        <v>141.613</v>
      </c>
      <c r="L104" s="55">
        <v>0.14399999999999999</v>
      </c>
      <c r="M104" s="15">
        <v>0</v>
      </c>
      <c r="N104" s="16">
        <f t="shared" si="76"/>
        <v>3.9336944444444445E-2</v>
      </c>
      <c r="P104" s="60">
        <v>1226.3399999999999</v>
      </c>
      <c r="Q104" s="60">
        <v>42.818899999999999</v>
      </c>
      <c r="R104" s="60">
        <v>47.168700000000001</v>
      </c>
      <c r="S104" s="60">
        <v>47.741799999999998</v>
      </c>
      <c r="T104" s="60">
        <v>0.99368650000000003</v>
      </c>
      <c r="U104" s="60">
        <v>0.99543139999999997</v>
      </c>
      <c r="V104" s="60">
        <v>0.99608189999999996</v>
      </c>
      <c r="W104" s="60">
        <v>131.03299999999999</v>
      </c>
      <c r="X104" s="60">
        <v>0.14899999999999999</v>
      </c>
      <c r="Y104" s="15">
        <v>0</v>
      </c>
      <c r="Z104" s="16">
        <f t="shared" si="77"/>
        <v>3.6398055555555552E-2</v>
      </c>
      <c r="AA104" s="10">
        <f t="shared" si="78"/>
        <v>0.92528934490477566</v>
      </c>
      <c r="AB104" s="15">
        <f t="shared" si="117"/>
        <v>1.0347222222222223</v>
      </c>
      <c r="AC104" s="15" t="e">
        <f t="shared" si="117"/>
        <v>#DIV/0!</v>
      </c>
      <c r="AD104" s="16">
        <f t="shared" si="79"/>
        <v>7.3435189748643223E-3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1.1702341892618762E-3</v>
      </c>
      <c r="AM104" s="21">
        <f>bdrate($D104:$D107,F104:F107,$P104:$P107,R104:R107)</f>
        <v>-4.4034295721862016E-3</v>
      </c>
      <c r="AN104" s="36">
        <f t="shared" ref="AN104" si="123">bdrate($D104:$D107,G104:G107,$P104:$P107,S104:S107)</f>
        <v>-3.247405113837587E-3</v>
      </c>
      <c r="AO104" s="26">
        <f>bdrate($D104:$D107,H104:H107,$P104:$P107,T104:T107)</f>
        <v>6.2559333529987882E-3</v>
      </c>
      <c r="AP104" s="21">
        <f>bdrate($D104:$D107,I104:I107,$P104:$P107,U104:U107)</f>
        <v>-5.4870671854115871E-3</v>
      </c>
      <c r="AQ104" s="36">
        <f>bdrate($D104:$D107,J104:J107,$P104:$P107,V104:V107)</f>
        <v>-2.3886777284992222E-2</v>
      </c>
      <c r="AR104" s="21"/>
      <c r="AS104" s="21"/>
      <c r="AT104" s="36"/>
      <c r="AU104" s="26"/>
      <c r="AV104" s="21"/>
      <c r="AW104" s="36"/>
      <c r="AX104" s="15">
        <f>V104/J104</f>
        <v>1.0002356787266158</v>
      </c>
      <c r="AY104" s="15">
        <f>X104/L104</f>
        <v>1.0347222222222223</v>
      </c>
      <c r="AZ104" s="15">
        <f t="shared" ref="AZ104:AZ107" si="124">Z104/N104</f>
        <v>0.92528934490477555</v>
      </c>
      <c r="BA104" s="15">
        <f>V104/J104</f>
        <v>1.0002356787266158</v>
      </c>
      <c r="BB104" s="15">
        <f>X104/L104</f>
        <v>1.0347222222222223</v>
      </c>
      <c r="BC104" s="15">
        <f t="shared" si="122"/>
        <v>0.92528934490477555</v>
      </c>
      <c r="BD104" s="1">
        <f t="shared" si="84"/>
        <v>0</v>
      </c>
    </row>
    <row r="105" spans="1:56" ht="15.75" thickBot="1" x14ac:dyDescent="0.25">
      <c r="A105" s="13"/>
      <c r="B105" s="13"/>
      <c r="C105" s="43">
        <v>32</v>
      </c>
      <c r="D105" s="55">
        <v>681.54</v>
      </c>
      <c r="E105" s="55">
        <v>40.671599999999998</v>
      </c>
      <c r="F105" s="55">
        <v>45.2102</v>
      </c>
      <c r="G105" s="55">
        <v>45.449800000000003</v>
      </c>
      <c r="H105" s="55">
        <v>0.9904345</v>
      </c>
      <c r="I105" s="55">
        <v>0.99259399999999998</v>
      </c>
      <c r="J105" s="55">
        <v>0.99292570000000002</v>
      </c>
      <c r="K105" s="55">
        <v>94.966999999999999</v>
      </c>
      <c r="L105" s="55">
        <v>0.14299999999999999</v>
      </c>
      <c r="M105" s="15">
        <v>0</v>
      </c>
      <c r="N105" s="16">
        <f t="shared" si="76"/>
        <v>2.6379722222222221E-2</v>
      </c>
      <c r="P105" s="60">
        <v>684.48</v>
      </c>
      <c r="Q105" s="60">
        <v>40.7044</v>
      </c>
      <c r="R105" s="60">
        <v>45.190899999999999</v>
      </c>
      <c r="S105" s="60">
        <v>45.404200000000003</v>
      </c>
      <c r="T105" s="60">
        <v>0.99046109999999998</v>
      </c>
      <c r="U105" s="60">
        <v>0.99249810000000005</v>
      </c>
      <c r="V105" s="60">
        <v>0.99278189999999999</v>
      </c>
      <c r="W105" s="60">
        <v>85.183999999999997</v>
      </c>
      <c r="X105" s="60">
        <v>0.14199999999999999</v>
      </c>
      <c r="Y105" s="15">
        <v>0</v>
      </c>
      <c r="Z105" s="16">
        <f t="shared" si="77"/>
        <v>2.366222222222222E-2</v>
      </c>
      <c r="AA105" s="10">
        <f t="shared" si="78"/>
        <v>0.89698526856697591</v>
      </c>
      <c r="AB105" s="15">
        <f t="shared" si="117"/>
        <v>0.99300699300699302</v>
      </c>
      <c r="AC105" s="15" t="e">
        <f t="shared" si="117"/>
        <v>#DIV/0!</v>
      </c>
      <c r="AD105" s="16">
        <f t="shared" si="79"/>
        <v>4.3137600140858269E-3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>
        <f>V105/J105</f>
        <v>0.99985517546781189</v>
      </c>
      <c r="AY105" s="15">
        <f>X105/L105</f>
        <v>0.99300699300699302</v>
      </c>
      <c r="AZ105" s="15">
        <f t="shared" si="124"/>
        <v>0.8969852685669758</v>
      </c>
      <c r="BA105" s="15">
        <f>V105/J105</f>
        <v>0.99985517546781189</v>
      </c>
      <c r="BB105" s="15">
        <f>X105/L105</f>
        <v>0.99300699300699302</v>
      </c>
      <c r="BC105" s="15">
        <f t="shared" si="122"/>
        <v>0.8969852685669758</v>
      </c>
      <c r="BD105" s="1">
        <f t="shared" si="84"/>
        <v>0</v>
      </c>
    </row>
    <row r="106" spans="1:56" ht="15.75" thickBot="1" x14ac:dyDescent="0.25">
      <c r="A106" s="13"/>
      <c r="B106" s="13"/>
      <c r="C106" s="43">
        <v>37</v>
      </c>
      <c r="D106" s="55">
        <v>398.52</v>
      </c>
      <c r="E106" s="55">
        <v>38.295099999999998</v>
      </c>
      <c r="F106" s="55">
        <v>43.133899999999997</v>
      </c>
      <c r="G106" s="55">
        <v>43.976799999999997</v>
      </c>
      <c r="H106" s="55">
        <v>0.98446140000000004</v>
      </c>
      <c r="I106" s="55">
        <v>0.98737730000000001</v>
      </c>
      <c r="J106" s="55">
        <v>0.98958279999999998</v>
      </c>
      <c r="K106" s="55">
        <v>55.127000000000002</v>
      </c>
      <c r="L106" s="55">
        <v>0.14599999999999999</v>
      </c>
      <c r="M106" s="15">
        <v>0</v>
      </c>
      <c r="N106" s="16">
        <f t="shared" si="76"/>
        <v>1.5313055555555555E-2</v>
      </c>
      <c r="P106" s="60">
        <v>403.26</v>
      </c>
      <c r="Q106" s="60">
        <v>38.326300000000003</v>
      </c>
      <c r="R106" s="60">
        <v>43.233400000000003</v>
      </c>
      <c r="S106" s="60">
        <v>44.022799999999997</v>
      </c>
      <c r="T106" s="60">
        <v>0.98446160000000005</v>
      </c>
      <c r="U106" s="60">
        <v>0.98776209999999998</v>
      </c>
      <c r="V106" s="60">
        <v>0.98998439999999999</v>
      </c>
      <c r="W106" s="60">
        <v>51.67</v>
      </c>
      <c r="X106" s="60">
        <v>0.13300000000000001</v>
      </c>
      <c r="Y106" s="15">
        <v>0</v>
      </c>
      <c r="Z106" s="16">
        <f t="shared" si="77"/>
        <v>1.4352777777777779E-2</v>
      </c>
      <c r="AA106" s="10">
        <f t="shared" si="78"/>
        <v>0.93729025704282831</v>
      </c>
      <c r="AB106" s="15">
        <f t="shared" si="117"/>
        <v>0.91095890410958913</v>
      </c>
      <c r="AC106" s="15" t="e">
        <f t="shared" si="117"/>
        <v>#DIV/0!</v>
      </c>
      <c r="AD106" s="16">
        <f t="shared" si="79"/>
        <v>1.1894007828967202E-2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>
        <f>V106/J106</f>
        <v>1.0004058275871408</v>
      </c>
      <c r="AY106" s="15">
        <f>X106/L106</f>
        <v>0.91095890410958913</v>
      </c>
      <c r="AZ106" s="15">
        <f t="shared" si="124"/>
        <v>0.93729025704282842</v>
      </c>
      <c r="BA106" s="15">
        <f>V106/J106</f>
        <v>1.0004058275871408</v>
      </c>
      <c r="BB106" s="15">
        <f>X106/L106</f>
        <v>0.91095890410958913</v>
      </c>
      <c r="BC106" s="15">
        <f t="shared" si="122"/>
        <v>0.93729025704282842</v>
      </c>
      <c r="BD106" s="1">
        <f t="shared" si="84"/>
        <v>0</v>
      </c>
    </row>
    <row r="107" spans="1:56" ht="15.75" thickBot="1" x14ac:dyDescent="0.25">
      <c r="A107" s="13"/>
      <c r="B107" s="17"/>
      <c r="C107" s="44">
        <v>42</v>
      </c>
      <c r="D107" s="55">
        <v>234.96</v>
      </c>
      <c r="E107" s="55">
        <v>35.710500000000003</v>
      </c>
      <c r="F107" s="55">
        <v>41.799100000000003</v>
      </c>
      <c r="G107" s="55">
        <v>42.5214</v>
      </c>
      <c r="H107" s="55">
        <v>0.97419140000000004</v>
      </c>
      <c r="I107" s="55">
        <v>0.98263889999999998</v>
      </c>
      <c r="J107" s="55">
        <v>0.9858808</v>
      </c>
      <c r="K107" s="55">
        <v>33.137999999999998</v>
      </c>
      <c r="L107" s="55">
        <v>0.123</v>
      </c>
      <c r="M107" s="19">
        <v>0</v>
      </c>
      <c r="N107" s="20">
        <f t="shared" si="76"/>
        <v>9.2049999999999996E-3</v>
      </c>
      <c r="P107" s="60">
        <v>231.6</v>
      </c>
      <c r="Q107" s="60">
        <v>35.6355</v>
      </c>
      <c r="R107" s="60">
        <v>41.756500000000003</v>
      </c>
      <c r="S107" s="60">
        <v>42.624899999999997</v>
      </c>
      <c r="T107" s="60">
        <v>0.97392369999999995</v>
      </c>
      <c r="U107" s="60">
        <v>0.98232900000000001</v>
      </c>
      <c r="V107" s="60">
        <v>0.9862995</v>
      </c>
      <c r="W107" s="60">
        <v>30.846</v>
      </c>
      <c r="X107" s="60">
        <v>0.13</v>
      </c>
      <c r="Y107" s="19">
        <v>0</v>
      </c>
      <c r="Z107" s="20">
        <f t="shared" si="77"/>
        <v>8.5683333333333341E-3</v>
      </c>
      <c r="AA107" s="10">
        <f t="shared" si="78"/>
        <v>0.93083469129096508</v>
      </c>
      <c r="AB107" s="15">
        <f t="shared" si="117"/>
        <v>1.056910569105691</v>
      </c>
      <c r="AC107" s="15" t="e">
        <f t="shared" si="117"/>
        <v>#DIV/0!</v>
      </c>
      <c r="AD107" s="20">
        <f t="shared" si="79"/>
        <v>1.4300306435137954E-2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>
        <f>V107/J107</f>
        <v>1.0004246963730301</v>
      </c>
      <c r="AY107" s="15">
        <f>X107/L107</f>
        <v>1.056910569105691</v>
      </c>
      <c r="AZ107" s="15">
        <f t="shared" si="124"/>
        <v>0.93083469129096519</v>
      </c>
      <c r="BA107" s="15"/>
      <c r="BB107" s="15"/>
      <c r="BC107" s="15"/>
      <c r="BD107" s="1">
        <f t="shared" si="84"/>
        <v>0</v>
      </c>
    </row>
    <row r="108" spans="1:56" ht="15.75" thickBot="1" x14ac:dyDescent="0.25">
      <c r="A108" s="13"/>
      <c r="B108" s="8" t="s">
        <v>34</v>
      </c>
      <c r="C108" s="39">
        <v>22</v>
      </c>
      <c r="D108" s="55">
        <v>2496.06</v>
      </c>
      <c r="E108" s="55">
        <v>45.2742</v>
      </c>
      <c r="F108" s="55">
        <v>48.440800000000003</v>
      </c>
      <c r="G108" s="55">
        <v>49.355200000000004</v>
      </c>
      <c r="H108" s="55">
        <v>0.99635969999999996</v>
      </c>
      <c r="I108" s="55">
        <v>0.99690210000000001</v>
      </c>
      <c r="J108" s="55">
        <v>0.99735450000000003</v>
      </c>
      <c r="K108" s="55">
        <v>241.46100000000001</v>
      </c>
      <c r="L108" s="55">
        <v>0.22500000000000001</v>
      </c>
      <c r="M108" s="10">
        <v>0</v>
      </c>
      <c r="N108" s="11">
        <f t="shared" si="76"/>
        <v>6.7072500000000007E-2</v>
      </c>
      <c r="P108" s="60">
        <v>2492.2199999999998</v>
      </c>
      <c r="Q108" s="60">
        <v>45.272500000000001</v>
      </c>
      <c r="R108" s="60">
        <v>48.378599999999999</v>
      </c>
      <c r="S108" s="60">
        <v>49.284799999999997</v>
      </c>
      <c r="T108" s="60">
        <v>0.99636979999999997</v>
      </c>
      <c r="U108" s="60">
        <v>0.99684890000000004</v>
      </c>
      <c r="V108" s="60">
        <v>0.99732609999999999</v>
      </c>
      <c r="W108" s="60">
        <v>228.66</v>
      </c>
      <c r="X108" s="60">
        <v>0.17699999999999999</v>
      </c>
      <c r="Y108" s="10">
        <v>0</v>
      </c>
      <c r="Z108" s="11">
        <f t="shared" si="77"/>
        <v>6.3516666666666666E-2</v>
      </c>
      <c r="AA108" s="10">
        <f t="shared" si="78"/>
        <v>0.94698522742803182</v>
      </c>
      <c r="AB108" s="15">
        <f t="shared" si="117"/>
        <v>0.78666666666666663</v>
      </c>
      <c r="AC108" s="15" t="e">
        <f t="shared" si="117"/>
        <v>#DIV/0!</v>
      </c>
      <c r="AD108" s="11">
        <f t="shared" si="79"/>
        <v>1.5384245571020512E-3</v>
      </c>
      <c r="AE108" s="12"/>
      <c r="AF108" s="25">
        <f t="shared" ref="AF108:AK108" si="125">bdRateExtend($D108:$D112,E108:E112,$P108:$P112,Q108:Q112)</f>
        <v>-5.7575677732168984E-4</v>
      </c>
      <c r="AG108" s="30">
        <f t="shared" si="125"/>
        <v>-2.8321849046941683E-4</v>
      </c>
      <c r="AH108" s="31">
        <f t="shared" si="125"/>
        <v>-1.1382652584082553E-2</v>
      </c>
      <c r="AI108" s="25">
        <f t="shared" si="125"/>
        <v>-3.6147067228506913E-3</v>
      </c>
      <c r="AJ108" s="30">
        <f t="shared" si="125"/>
        <v>-2.4147198180602958E-3</v>
      </c>
      <c r="AK108" s="30">
        <f t="shared" si="125"/>
        <v>-4.9133682273008183E-3</v>
      </c>
      <c r="AL108" s="45"/>
      <c r="AM108" s="46"/>
      <c r="AN108" s="47"/>
      <c r="AO108" s="46"/>
      <c r="AP108" s="46"/>
      <c r="AQ108" s="47"/>
      <c r="AR108" s="30">
        <f t="shared" ref="AR108:AW108" si="126">bdrate($D108:$D111,E108:E111,$P108:$P111,Q108:Q111)</f>
        <v>-1.1719643400365243E-3</v>
      </c>
      <c r="AS108" s="30">
        <f t="shared" si="126"/>
        <v>1.0036809942088887E-3</v>
      </c>
      <c r="AT108" s="31">
        <f t="shared" si="126"/>
        <v>-7.2678658500333615E-3</v>
      </c>
      <c r="AU108" s="25">
        <f t="shared" si="126"/>
        <v>-1.3274033874781654E-3</v>
      </c>
      <c r="AV108" s="30">
        <f t="shared" si="126"/>
        <v>-7.3388601291110023E-3</v>
      </c>
      <c r="AW108" s="31">
        <f t="shared" si="126"/>
        <v>1.4344855197893525E-2</v>
      </c>
      <c r="AX108" s="15"/>
      <c r="AY108" s="15"/>
      <c r="AZ108" s="15"/>
      <c r="BA108" s="15">
        <f>V108/J108</f>
        <v>0.99997152466851047</v>
      </c>
      <c r="BB108" s="15">
        <f>X108/L108</f>
        <v>0.78666666666666663</v>
      </c>
      <c r="BC108" s="15">
        <f t="shared" ref="BC108:BC111" si="127">Z108/N108</f>
        <v>0.94698522742803171</v>
      </c>
      <c r="BD108" s="1">
        <f t="shared" si="84"/>
        <v>1</v>
      </c>
    </row>
    <row r="109" spans="1:56" ht="15.75" thickBot="1" x14ac:dyDescent="0.25">
      <c r="A109" s="13"/>
      <c r="B109" s="13"/>
      <c r="C109" s="43">
        <v>27</v>
      </c>
      <c r="D109" s="55">
        <v>1481.22</v>
      </c>
      <c r="E109" s="55">
        <v>43.173699999999997</v>
      </c>
      <c r="F109" s="55">
        <v>46.3294</v>
      </c>
      <c r="G109" s="55">
        <v>47.240600000000001</v>
      </c>
      <c r="H109" s="55">
        <v>0.99471069999999995</v>
      </c>
      <c r="I109" s="55">
        <v>0.99463449999999998</v>
      </c>
      <c r="J109" s="55">
        <v>0.99533850000000001</v>
      </c>
      <c r="K109" s="55">
        <v>146.16900000000001</v>
      </c>
      <c r="L109" s="55">
        <v>0.161</v>
      </c>
      <c r="M109" s="15">
        <v>0</v>
      </c>
      <c r="N109" s="16">
        <f t="shared" si="76"/>
        <v>4.06025E-2</v>
      </c>
      <c r="P109" s="60">
        <v>1479.42</v>
      </c>
      <c r="Q109" s="60">
        <v>43.174199999999999</v>
      </c>
      <c r="R109" s="60">
        <v>46.308399999999999</v>
      </c>
      <c r="S109" s="60">
        <v>47.3</v>
      </c>
      <c r="T109" s="60">
        <v>0.99469700000000005</v>
      </c>
      <c r="U109" s="60">
        <v>0.99454869999999995</v>
      </c>
      <c r="V109" s="60">
        <v>0.99536210000000003</v>
      </c>
      <c r="W109" s="60">
        <v>135.91900000000001</v>
      </c>
      <c r="X109" s="60">
        <v>0.17100000000000001</v>
      </c>
      <c r="Y109" s="15">
        <v>0</v>
      </c>
      <c r="Z109" s="16">
        <f t="shared" si="77"/>
        <v>3.7755277777777783E-2</v>
      </c>
      <c r="AA109" s="10">
        <f t="shared" si="78"/>
        <v>0.92987569183616225</v>
      </c>
      <c r="AB109" s="15">
        <f t="shared" si="117"/>
        <v>1.0621118012422361</v>
      </c>
      <c r="AC109" s="15" t="e">
        <f t="shared" si="117"/>
        <v>#DIV/0!</v>
      </c>
      <c r="AD109" s="16">
        <f t="shared" si="79"/>
        <v>1.2152144853566347E-3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-4.7618092610623997E-4</v>
      </c>
      <c r="AM109" s="21">
        <f>bdrate($D109:$D112,F109:F112,$P109:$P112,R109:R112)</f>
        <v>-4.9115530473533564E-3</v>
      </c>
      <c r="AN109" s="36">
        <f t="shared" ref="AN109" si="128">bdrate($D109:$D112,G109:G112,$P109:$P112,S109:S112)</f>
        <v>-1.2884038280862264E-2</v>
      </c>
      <c r="AO109" s="26">
        <f>bdrate($D109:$D112,H109:H112,$P109:$P112,T109:T112)</f>
        <v>-3.9590470207482298E-3</v>
      </c>
      <c r="AP109" s="21">
        <f>bdrate($D109:$D112,I109:I112,$P109:$P112,U109:U112)</f>
        <v>-6.9082712531004509E-3</v>
      </c>
      <c r="AQ109" s="36">
        <f>bdrate($D109:$D112,J109:J112,$P109:$P112,V109:V112)</f>
        <v>-3.3112399966606088E-3</v>
      </c>
      <c r="AR109" s="21"/>
      <c r="AS109" s="21"/>
      <c r="AT109" s="36"/>
      <c r="AU109" s="26"/>
      <c r="AV109" s="21"/>
      <c r="AW109" s="36"/>
      <c r="AX109" s="15">
        <f>V109/J109</f>
        <v>1.0000237105266199</v>
      </c>
      <c r="AY109" s="15">
        <f>X109/L109</f>
        <v>1.0621118012422361</v>
      </c>
      <c r="AZ109" s="15">
        <f t="shared" ref="AZ109:AZ112" si="129">Z109/N109</f>
        <v>0.92987569183616237</v>
      </c>
      <c r="BA109" s="15">
        <f>V109/J109</f>
        <v>1.0000237105266199</v>
      </c>
      <c r="BB109" s="15">
        <f>X109/L109</f>
        <v>1.0621118012422361</v>
      </c>
      <c r="BC109" s="15">
        <f t="shared" si="127"/>
        <v>0.92987569183616237</v>
      </c>
      <c r="BD109" s="1">
        <f t="shared" si="84"/>
        <v>0</v>
      </c>
    </row>
    <row r="110" spans="1:56" ht="15.75" thickBot="1" x14ac:dyDescent="0.25">
      <c r="A110" s="13"/>
      <c r="B110" s="13"/>
      <c r="C110" s="43">
        <v>32</v>
      </c>
      <c r="D110" s="55">
        <v>892.56</v>
      </c>
      <c r="E110" s="55">
        <v>40.710500000000003</v>
      </c>
      <c r="F110" s="55">
        <v>44.283299999999997</v>
      </c>
      <c r="G110" s="55">
        <v>45.131900000000002</v>
      </c>
      <c r="H110" s="55">
        <v>0.99138440000000005</v>
      </c>
      <c r="I110" s="55">
        <v>0.99081339999999996</v>
      </c>
      <c r="J110" s="55">
        <v>0.99189190000000005</v>
      </c>
      <c r="K110" s="55">
        <v>101.536</v>
      </c>
      <c r="L110" s="55">
        <v>0.14699999999999999</v>
      </c>
      <c r="M110" s="15">
        <v>0</v>
      </c>
      <c r="N110" s="16">
        <f t="shared" si="76"/>
        <v>2.8204444444444445E-2</v>
      </c>
      <c r="P110" s="60">
        <v>892.8</v>
      </c>
      <c r="Q110" s="60">
        <v>40.7224</v>
      </c>
      <c r="R110" s="60">
        <v>44.323500000000003</v>
      </c>
      <c r="S110" s="60">
        <v>45.146299999999997</v>
      </c>
      <c r="T110" s="60">
        <v>0.99140790000000001</v>
      </c>
      <c r="U110" s="60">
        <v>0.99107800000000001</v>
      </c>
      <c r="V110" s="60">
        <v>0.99162349999999999</v>
      </c>
      <c r="W110" s="60">
        <v>92.143000000000001</v>
      </c>
      <c r="X110" s="60">
        <v>0.14899999999999999</v>
      </c>
      <c r="Y110" s="15">
        <v>0</v>
      </c>
      <c r="Z110" s="16">
        <f t="shared" si="77"/>
        <v>2.5595277777777779E-2</v>
      </c>
      <c r="AA110" s="10">
        <f t="shared" si="78"/>
        <v>0.90749093917428303</v>
      </c>
      <c r="AB110" s="15">
        <f t="shared" si="117"/>
        <v>1.0136054421768708</v>
      </c>
      <c r="AC110" s="15" t="e">
        <f t="shared" si="117"/>
        <v>#DIV/0!</v>
      </c>
      <c r="AD110" s="16">
        <f t="shared" si="79"/>
        <v>2.6888948642109114E-4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>
        <f>V110/J110</f>
        <v>0.9997294059967623</v>
      </c>
      <c r="AY110" s="15">
        <f>X110/L110</f>
        <v>1.0136054421768708</v>
      </c>
      <c r="AZ110" s="15">
        <f t="shared" si="129"/>
        <v>0.90749093917428303</v>
      </c>
      <c r="BA110" s="15">
        <f>V110/J110</f>
        <v>0.9997294059967623</v>
      </c>
      <c r="BB110" s="15">
        <f>X110/L110</f>
        <v>1.0136054421768708</v>
      </c>
      <c r="BC110" s="15">
        <f t="shared" si="127"/>
        <v>0.90749093917428303</v>
      </c>
      <c r="BD110" s="1">
        <f t="shared" si="84"/>
        <v>0</v>
      </c>
    </row>
    <row r="111" spans="1:56" ht="15.75" thickBot="1" x14ac:dyDescent="0.25">
      <c r="A111" s="13"/>
      <c r="B111" s="13"/>
      <c r="C111" s="43">
        <v>37</v>
      </c>
      <c r="D111" s="55">
        <v>544.38</v>
      </c>
      <c r="E111" s="55">
        <v>37.991900000000001</v>
      </c>
      <c r="F111" s="55">
        <v>42.526800000000001</v>
      </c>
      <c r="G111" s="55">
        <v>43.553100000000001</v>
      </c>
      <c r="H111" s="55">
        <v>0.98513200000000001</v>
      </c>
      <c r="I111" s="55">
        <v>0.98602339999999999</v>
      </c>
      <c r="J111" s="55">
        <v>0.98793399999999998</v>
      </c>
      <c r="K111" s="55">
        <v>67.066000000000003</v>
      </c>
      <c r="L111" s="55">
        <v>0.16300000000000001</v>
      </c>
      <c r="M111" s="15">
        <v>0</v>
      </c>
      <c r="N111" s="16">
        <f t="shared" si="76"/>
        <v>1.8629444444444445E-2</v>
      </c>
      <c r="P111" s="60">
        <v>543.78</v>
      </c>
      <c r="Q111" s="60">
        <v>37.975700000000003</v>
      </c>
      <c r="R111" s="60">
        <v>42.4833</v>
      </c>
      <c r="S111" s="60">
        <v>43.5974</v>
      </c>
      <c r="T111" s="60">
        <v>0.98510660000000005</v>
      </c>
      <c r="U111" s="60">
        <v>0.98575550000000001</v>
      </c>
      <c r="V111" s="60">
        <v>0.98800310000000002</v>
      </c>
      <c r="W111" s="60">
        <v>61.185000000000002</v>
      </c>
      <c r="X111" s="60">
        <v>0.14699999999999999</v>
      </c>
      <c r="Y111" s="15">
        <v>0</v>
      </c>
      <c r="Z111" s="16">
        <f t="shared" si="77"/>
        <v>1.6995833333333335E-2</v>
      </c>
      <c r="AA111" s="10">
        <f t="shared" si="78"/>
        <v>0.91231026153341488</v>
      </c>
      <c r="AB111" s="15">
        <f t="shared" si="117"/>
        <v>0.90184049079754591</v>
      </c>
      <c r="AC111" s="15" t="e">
        <f t="shared" si="117"/>
        <v>#DIV/0!</v>
      </c>
      <c r="AD111" s="16">
        <f t="shared" si="79"/>
        <v>1.1021712774165523E-3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>
        <f>V111/J111</f>
        <v>1.0000699439436238</v>
      </c>
      <c r="AY111" s="15">
        <f>X111/L111</f>
        <v>0.90184049079754591</v>
      </c>
      <c r="AZ111" s="15">
        <f t="shared" si="129"/>
        <v>0.91231026153341488</v>
      </c>
      <c r="BA111" s="15">
        <f>V111/J111</f>
        <v>1.0000699439436238</v>
      </c>
      <c r="BB111" s="15">
        <f>X111/L111</f>
        <v>0.90184049079754591</v>
      </c>
      <c r="BC111" s="15">
        <f t="shared" si="127"/>
        <v>0.91231026153341488</v>
      </c>
      <c r="BD111" s="1">
        <f t="shared" si="84"/>
        <v>0</v>
      </c>
    </row>
    <row r="112" spans="1:56" ht="15.75" thickBot="1" x14ac:dyDescent="0.25">
      <c r="A112" s="17"/>
      <c r="B112" s="17"/>
      <c r="C112" s="44">
        <v>42</v>
      </c>
      <c r="D112" s="55">
        <v>330.36</v>
      </c>
      <c r="E112" s="55">
        <v>35.096200000000003</v>
      </c>
      <c r="F112" s="55">
        <v>41.045400000000001</v>
      </c>
      <c r="G112" s="55">
        <v>41.97</v>
      </c>
      <c r="H112" s="55">
        <v>0.97322540000000002</v>
      </c>
      <c r="I112" s="55">
        <v>0.98004530000000001</v>
      </c>
      <c r="J112" s="55">
        <v>0.98187029999999997</v>
      </c>
      <c r="K112" s="55">
        <v>43.497</v>
      </c>
      <c r="L112" s="55">
        <v>0.13300000000000001</v>
      </c>
      <c r="M112" s="19">
        <v>0</v>
      </c>
      <c r="N112" s="20">
        <f t="shared" si="76"/>
        <v>1.2082499999999999E-2</v>
      </c>
      <c r="P112" s="60">
        <v>325.14</v>
      </c>
      <c r="Q112" s="60">
        <v>35.0167</v>
      </c>
      <c r="R112" s="60">
        <v>41.15</v>
      </c>
      <c r="S112" s="60">
        <v>42.050400000000003</v>
      </c>
      <c r="T112" s="60">
        <v>0.97327240000000004</v>
      </c>
      <c r="U112" s="60">
        <v>0.98062159999999998</v>
      </c>
      <c r="V112" s="60">
        <v>0.98254759999999997</v>
      </c>
      <c r="W112" s="60">
        <v>39.018999999999998</v>
      </c>
      <c r="X112" s="60">
        <v>0.13100000000000001</v>
      </c>
      <c r="Y112" s="19">
        <v>0</v>
      </c>
      <c r="Z112" s="20">
        <f t="shared" si="77"/>
        <v>1.0838611111111111E-2</v>
      </c>
      <c r="AA112" s="10">
        <f t="shared" si="78"/>
        <v>0.897050371289974</v>
      </c>
      <c r="AB112" s="15">
        <f t="shared" si="117"/>
        <v>0.98496240601503759</v>
      </c>
      <c r="AC112" s="15" t="e">
        <f t="shared" si="117"/>
        <v>#DIV/0!</v>
      </c>
      <c r="AD112" s="20">
        <f t="shared" si="79"/>
        <v>1.580094442426452E-2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>
        <f>V112/J112</f>
        <v>1.0006898059753921</v>
      </c>
      <c r="AY112" s="19">
        <f>X112/L112</f>
        <v>0.98496240601503759</v>
      </c>
      <c r="AZ112" s="19">
        <f t="shared" si="129"/>
        <v>0.89705037128997411</v>
      </c>
      <c r="BA112" s="19"/>
      <c r="BB112" s="19"/>
      <c r="BC112" s="19"/>
      <c r="BD112" s="1">
        <f t="shared" si="84"/>
        <v>0</v>
      </c>
    </row>
    <row r="113" spans="1:56" ht="15.75" thickBot="1" x14ac:dyDescent="0.25">
      <c r="A113" s="48" t="s">
        <v>25</v>
      </c>
      <c r="B113" s="8" t="s">
        <v>49</v>
      </c>
      <c r="C113" s="39">
        <v>22</v>
      </c>
      <c r="D113" s="55">
        <v>12897.24</v>
      </c>
      <c r="E113" s="55">
        <v>45.136899999999997</v>
      </c>
      <c r="F113" s="55">
        <v>45.8872</v>
      </c>
      <c r="G113" s="55">
        <v>46.416699999999999</v>
      </c>
      <c r="H113" s="55">
        <v>0.99725490000000006</v>
      </c>
      <c r="I113" s="55">
        <v>0.99586549999999996</v>
      </c>
      <c r="J113" s="55">
        <v>0.99654909999999997</v>
      </c>
      <c r="K113" s="55">
        <v>1016.052</v>
      </c>
      <c r="L113" s="55">
        <v>0.47</v>
      </c>
      <c r="M113" s="10">
        <v>0</v>
      </c>
      <c r="N113" s="11">
        <f t="shared" si="76"/>
        <v>0.28223666666666669</v>
      </c>
      <c r="P113" s="60">
        <v>12905.7</v>
      </c>
      <c r="Q113" s="60">
        <v>45.137700000000002</v>
      </c>
      <c r="R113" s="60">
        <v>45.859499999999997</v>
      </c>
      <c r="S113" s="60">
        <v>46.4193</v>
      </c>
      <c r="T113" s="60">
        <v>0.99725330000000001</v>
      </c>
      <c r="U113" s="60">
        <v>0.99583169999999999</v>
      </c>
      <c r="V113" s="60">
        <v>0.99655459999999996</v>
      </c>
      <c r="W113" s="60">
        <v>901.99599999999998</v>
      </c>
      <c r="X113" s="60">
        <v>0.48299999999999998</v>
      </c>
      <c r="Y113" s="10">
        <v>0</v>
      </c>
      <c r="Z113" s="11">
        <f t="shared" si="77"/>
        <v>0.25055444444444441</v>
      </c>
      <c r="AA113" s="10">
        <f t="shared" si="78"/>
        <v>0.88774590276875587</v>
      </c>
      <c r="AB113" s="10">
        <f>X113/L113</f>
        <v>1.0276595744680852</v>
      </c>
      <c r="AC113" s="10" t="e">
        <f>Y113/M113</f>
        <v>#DIV/0!</v>
      </c>
      <c r="AD113" s="11">
        <f t="shared" si="79"/>
        <v>6.559542971985437E-4</v>
      </c>
      <c r="AE113" s="40"/>
      <c r="AF113" s="25">
        <f t="shared" ref="AF113:AK113" si="130">bdRateExtend($D113:$D117,E113:E117,$P113:$P117,Q113:Q117)</f>
        <v>9.1679046068504633E-4</v>
      </c>
      <c r="AG113" s="30">
        <f t="shared" si="130"/>
        <v>-5.2194944538674903E-4</v>
      </c>
      <c r="AH113" s="31">
        <f t="shared" si="130"/>
        <v>-4.2962412430882502E-3</v>
      </c>
      <c r="AI113" s="25">
        <f t="shared" si="130"/>
        <v>3.6859787533649602E-3</v>
      </c>
      <c r="AJ113" s="30">
        <f t="shared" si="130"/>
        <v>-7.9102113758828807E-3</v>
      </c>
      <c r="AK113" s="30">
        <f t="shared" si="130"/>
        <v>-1.1833206698400267E-2</v>
      </c>
      <c r="AL113" s="26"/>
      <c r="AM113" s="21"/>
      <c r="AN113" s="36"/>
      <c r="AO113" s="21"/>
      <c r="AP113" s="21"/>
      <c r="AQ113" s="36"/>
      <c r="AR113" s="30">
        <f t="shared" ref="AR113:AW113" si="131">bdrate($D113:$D116,E113:E116,$P113:$P116,Q113:Q116)</f>
        <v>9.2215582277899166E-4</v>
      </c>
      <c r="AS113" s="30">
        <f t="shared" si="131"/>
        <v>-2.1111972087939357E-4</v>
      </c>
      <c r="AT113" s="31">
        <f t="shared" si="131"/>
        <v>-2.3112795206038372E-3</v>
      </c>
      <c r="AU113" s="25">
        <f t="shared" si="131"/>
        <v>1.0575791743754337E-3</v>
      </c>
      <c r="AV113" s="30">
        <f t="shared" si="131"/>
        <v>-5.4494193480029152E-3</v>
      </c>
      <c r="AW113" s="31">
        <f t="shared" si="131"/>
        <v>3.4699736382592938E-3</v>
      </c>
      <c r="AX113" s="10"/>
      <c r="AY113" s="10"/>
      <c r="AZ113" s="10"/>
      <c r="BA113" s="10">
        <f>V113/J113</f>
        <v>1.0000055190456747</v>
      </c>
      <c r="BB113" s="10">
        <f t="shared" ref="BB113:BB116" si="132">X113/L113</f>
        <v>1.0276595744680852</v>
      </c>
      <c r="BC113" s="10">
        <f t="shared" ref="BC113:BC151" si="133">Z113/N113</f>
        <v>0.88774590276875576</v>
      </c>
      <c r="BD113" s="1">
        <f t="shared" si="84"/>
        <v>0</v>
      </c>
    </row>
    <row r="114" spans="1:56" ht="15.75" thickBot="1" x14ac:dyDescent="0.25">
      <c r="A114" s="13"/>
      <c r="C114" s="43">
        <v>27</v>
      </c>
      <c r="D114" s="55">
        <v>7534.32</v>
      </c>
      <c r="E114" s="55">
        <v>41.636400000000002</v>
      </c>
      <c r="F114" s="55">
        <v>42.677700000000002</v>
      </c>
      <c r="G114" s="55">
        <v>42.948099999999997</v>
      </c>
      <c r="H114" s="55">
        <v>0.99340700000000004</v>
      </c>
      <c r="I114" s="55">
        <v>0.99040150000000005</v>
      </c>
      <c r="J114" s="55">
        <v>0.99211260000000001</v>
      </c>
      <c r="K114" s="55">
        <v>640.76800000000003</v>
      </c>
      <c r="L114" s="55">
        <v>0.39500000000000002</v>
      </c>
      <c r="M114" s="15">
        <v>0</v>
      </c>
      <c r="N114" s="16">
        <f t="shared" si="76"/>
        <v>0.17799111111111113</v>
      </c>
      <c r="P114" s="60">
        <v>7529.28</v>
      </c>
      <c r="Q114" s="60">
        <v>41.632199999999997</v>
      </c>
      <c r="R114" s="60">
        <v>42.669800000000002</v>
      </c>
      <c r="S114" s="60">
        <v>42.924199999999999</v>
      </c>
      <c r="T114" s="60">
        <v>0.99339880000000003</v>
      </c>
      <c r="U114" s="60">
        <v>0.99042739999999996</v>
      </c>
      <c r="V114" s="60">
        <v>0.99212940000000005</v>
      </c>
      <c r="W114" s="60">
        <v>612.03599999999994</v>
      </c>
      <c r="X114" s="60">
        <v>0.39100000000000001</v>
      </c>
      <c r="Y114" s="15">
        <v>0</v>
      </c>
      <c r="Z114" s="16">
        <f t="shared" si="77"/>
        <v>0.17000999999999999</v>
      </c>
      <c r="AA114" s="10">
        <f t="shared" si="78"/>
        <v>0.95516005793048331</v>
      </c>
      <c r="AB114" s="15">
        <f t="shared" ref="AB114:AC132" si="134">X114/L114</f>
        <v>0.98987341772151893</v>
      </c>
      <c r="AC114" s="15" t="e">
        <f t="shared" si="134"/>
        <v>#DIV/0!</v>
      </c>
      <c r="AD114" s="16">
        <f t="shared" si="79"/>
        <v>6.689389354314608E-4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1.3161974505133678E-3</v>
      </c>
      <c r="AM114" s="21">
        <f>bdrate($D114:$D117,F114:F117,$P114:$P117,R114:R117)</f>
        <v>-2.3111211182070823E-3</v>
      </c>
      <c r="AN114" s="36">
        <f t="shared" ref="AN114" si="135">bdrate($D114:$D117,G114:G117,$P114:$P117,S114:S117)</f>
        <v>-8.2991995388859152E-3</v>
      </c>
      <c r="AO114" s="26">
        <f>bdrate($D114:$D117,H114:H117,$P114:$P117,T114:T117)</f>
        <v>3.9140145948406424E-3</v>
      </c>
      <c r="AP114" s="21">
        <f>bdrate($D114:$D117,I114:I117,$P114:$P117,U114:U117)</f>
        <v>-8.9874700979036826E-3</v>
      </c>
      <c r="AQ114" s="36">
        <f>bdrate($D114:$D117,J114:J117,$P114:$P117,V114:V117)</f>
        <v>-1.1860492808301815E-2</v>
      </c>
      <c r="AR114" s="21"/>
      <c r="AS114" s="21"/>
      <c r="AT114" s="36"/>
      <c r="AU114" s="26"/>
      <c r="AV114" s="21"/>
      <c r="AW114" s="36"/>
      <c r="AX114" s="15">
        <f>V114/J114</f>
        <v>1.0000169335617752</v>
      </c>
      <c r="AY114" s="15">
        <f t="shared" ref="AY114:AY117" si="136">X114/L114</f>
        <v>0.98987341772151893</v>
      </c>
      <c r="AZ114" s="15">
        <f t="shared" ref="AZ114:AZ152" si="137">Z114/N114</f>
        <v>0.95516005793048331</v>
      </c>
      <c r="BA114" s="15">
        <f>V114/J114</f>
        <v>1.0000169335617752</v>
      </c>
      <c r="BB114" s="15">
        <f t="shared" si="132"/>
        <v>0.98987341772151893</v>
      </c>
      <c r="BC114" s="15">
        <f t="shared" si="133"/>
        <v>0.95516005793048331</v>
      </c>
      <c r="BD114" s="1">
        <f t="shared" si="84"/>
        <v>0</v>
      </c>
    </row>
    <row r="115" spans="1:56" ht="15.75" thickBot="1" x14ac:dyDescent="0.25">
      <c r="A115" s="13"/>
      <c r="B115" s="13"/>
      <c r="C115" s="43">
        <v>32</v>
      </c>
      <c r="D115" s="55">
        <v>4293.3599999999997</v>
      </c>
      <c r="E115" s="55">
        <v>38.362000000000002</v>
      </c>
      <c r="F115" s="55">
        <v>40.078000000000003</v>
      </c>
      <c r="G115" s="55">
        <v>39.909700000000001</v>
      </c>
      <c r="H115" s="55">
        <v>0.9856528</v>
      </c>
      <c r="I115" s="55">
        <v>0.98156279999999996</v>
      </c>
      <c r="J115" s="55">
        <v>0.98463800000000001</v>
      </c>
      <c r="K115" s="55">
        <v>464.60899999999998</v>
      </c>
      <c r="L115" s="55">
        <v>0.34499999999999997</v>
      </c>
      <c r="M115" s="15">
        <v>0</v>
      </c>
      <c r="N115" s="16">
        <f t="shared" si="76"/>
        <v>0.12905805555555555</v>
      </c>
      <c r="P115" s="60">
        <v>4290.96</v>
      </c>
      <c r="Q115" s="60">
        <v>38.347499999999997</v>
      </c>
      <c r="R115" s="60">
        <v>40.086199999999998</v>
      </c>
      <c r="S115" s="60">
        <v>39.938299999999998</v>
      </c>
      <c r="T115" s="60">
        <v>0.98564390000000002</v>
      </c>
      <c r="U115" s="60">
        <v>0.98160230000000004</v>
      </c>
      <c r="V115" s="60">
        <v>0.98433029999999999</v>
      </c>
      <c r="W115" s="60">
        <v>431.839</v>
      </c>
      <c r="X115" s="60">
        <v>0.33800000000000002</v>
      </c>
      <c r="Y115" s="15">
        <v>0</v>
      </c>
      <c r="Z115" s="16">
        <f t="shared" si="77"/>
        <v>0.11995527777777777</v>
      </c>
      <c r="AA115" s="10">
        <f t="shared" si="78"/>
        <v>0.92946757380937528</v>
      </c>
      <c r="AB115" s="15">
        <f t="shared" si="134"/>
        <v>0.97971014492753639</v>
      </c>
      <c r="AC115" s="15" t="e">
        <f t="shared" si="134"/>
        <v>#DIV/0!</v>
      </c>
      <c r="AD115" s="16">
        <f t="shared" si="79"/>
        <v>5.5900273911333701E-4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>
        <f>V115/J115</f>
        <v>0.99968749936524892</v>
      </c>
      <c r="AY115" s="15">
        <f t="shared" si="136"/>
        <v>0.97971014492753639</v>
      </c>
      <c r="AZ115" s="15">
        <f t="shared" si="137"/>
        <v>0.92946757380937517</v>
      </c>
      <c r="BA115" s="15">
        <f>V115/J115</f>
        <v>0.99968749936524892</v>
      </c>
      <c r="BB115" s="15">
        <f t="shared" si="132"/>
        <v>0.97971014492753639</v>
      </c>
      <c r="BC115" s="15">
        <f t="shared" si="133"/>
        <v>0.92946757380937517</v>
      </c>
      <c r="BD115" s="1">
        <f t="shared" si="84"/>
        <v>0</v>
      </c>
    </row>
    <row r="116" spans="1:56" ht="15.75" thickBot="1" x14ac:dyDescent="0.25">
      <c r="A116" s="13"/>
      <c r="B116" s="13"/>
      <c r="C116" s="43">
        <v>37</v>
      </c>
      <c r="D116" s="55">
        <v>2448.96</v>
      </c>
      <c r="E116" s="55">
        <v>35.2363</v>
      </c>
      <c r="F116" s="55">
        <v>38.418500000000002</v>
      </c>
      <c r="G116" s="55">
        <v>38.004600000000003</v>
      </c>
      <c r="H116" s="55">
        <v>0.97073050000000005</v>
      </c>
      <c r="I116" s="55">
        <v>0.97243760000000001</v>
      </c>
      <c r="J116" s="55">
        <v>0.97633230000000004</v>
      </c>
      <c r="K116" s="55">
        <v>265.315</v>
      </c>
      <c r="L116" s="55">
        <v>0.27600000000000002</v>
      </c>
      <c r="M116" s="15">
        <v>0</v>
      </c>
      <c r="N116" s="16">
        <f t="shared" si="76"/>
        <v>7.3698611111111104E-2</v>
      </c>
      <c r="P116" s="60">
        <v>2454.66</v>
      </c>
      <c r="Q116" s="60">
        <v>35.242800000000003</v>
      </c>
      <c r="R116" s="60">
        <v>38.4437</v>
      </c>
      <c r="S116" s="60">
        <v>38.0794</v>
      </c>
      <c r="T116" s="60">
        <v>0.97063250000000001</v>
      </c>
      <c r="U116" s="60">
        <v>0.97289499999999995</v>
      </c>
      <c r="V116" s="60">
        <v>0.97696939999999999</v>
      </c>
      <c r="W116" s="60">
        <v>269.017</v>
      </c>
      <c r="X116" s="60">
        <v>0.27800000000000002</v>
      </c>
      <c r="Y116" s="15">
        <v>0</v>
      </c>
      <c r="Z116" s="16">
        <f t="shared" si="77"/>
        <v>7.4726944444444443E-2</v>
      </c>
      <c r="AA116" s="10">
        <f t="shared" si="78"/>
        <v>1.0139532254113035</v>
      </c>
      <c r="AB116" s="15">
        <f t="shared" si="134"/>
        <v>1.0072463768115942</v>
      </c>
      <c r="AC116" s="15" t="e">
        <f t="shared" si="134"/>
        <v>#DIV/0!</v>
      </c>
      <c r="AD116" s="16">
        <f t="shared" si="79"/>
        <v>2.3275186201488869E-3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>
        <f>V116/J116</f>
        <v>1.0006525442208558</v>
      </c>
      <c r="AY116" s="15">
        <f t="shared" si="136"/>
        <v>1.0072463768115942</v>
      </c>
      <c r="AZ116" s="15">
        <f t="shared" si="137"/>
        <v>1.0139532254113037</v>
      </c>
      <c r="BA116" s="15">
        <f>V116/J116</f>
        <v>1.0006525442208558</v>
      </c>
      <c r="BB116" s="15">
        <f t="shared" si="132"/>
        <v>1.0072463768115942</v>
      </c>
      <c r="BC116" s="15">
        <f t="shared" si="133"/>
        <v>1.0139532254113037</v>
      </c>
      <c r="BD116" s="1">
        <f t="shared" si="84"/>
        <v>0</v>
      </c>
    </row>
    <row r="117" spans="1:56" ht="15.75" thickBot="1" x14ac:dyDescent="0.25">
      <c r="A117" s="13"/>
      <c r="B117" s="17"/>
      <c r="C117" s="44">
        <v>42</v>
      </c>
      <c r="D117" s="55">
        <v>1360.26</v>
      </c>
      <c r="E117" s="55">
        <v>32.244999999999997</v>
      </c>
      <c r="F117" s="55">
        <v>36.755400000000002</v>
      </c>
      <c r="G117" s="55">
        <v>36.187600000000003</v>
      </c>
      <c r="H117" s="55">
        <v>0.94172829999999996</v>
      </c>
      <c r="I117" s="55">
        <v>0.95984619999999998</v>
      </c>
      <c r="J117" s="55">
        <v>0.96536730000000004</v>
      </c>
      <c r="K117" s="55">
        <v>161.02099999999999</v>
      </c>
      <c r="L117" s="55">
        <v>0.224</v>
      </c>
      <c r="M117" s="19">
        <v>0</v>
      </c>
      <c r="N117" s="20">
        <f t="shared" si="76"/>
        <v>4.4728055555555549E-2</v>
      </c>
      <c r="P117" s="60">
        <v>1362.78</v>
      </c>
      <c r="Q117" s="60">
        <v>32.248199999999997</v>
      </c>
      <c r="R117" s="60">
        <v>36.742400000000004</v>
      </c>
      <c r="S117" s="60">
        <v>36.1815</v>
      </c>
      <c r="T117" s="60">
        <v>0.9415384</v>
      </c>
      <c r="U117" s="60">
        <v>0.95955400000000002</v>
      </c>
      <c r="V117" s="60">
        <v>0.96568659999999995</v>
      </c>
      <c r="W117" s="60">
        <v>157.172</v>
      </c>
      <c r="X117" s="60">
        <v>0.32700000000000001</v>
      </c>
      <c r="Y117" s="19">
        <v>0</v>
      </c>
      <c r="Z117" s="20">
        <f t="shared" si="77"/>
        <v>4.3658888888888886E-2</v>
      </c>
      <c r="AA117" s="10">
        <f t="shared" si="78"/>
        <v>0.9760962855776576</v>
      </c>
      <c r="AB117" s="15">
        <f t="shared" si="134"/>
        <v>1.4598214285714286</v>
      </c>
      <c r="AC117" s="15" t="e">
        <f t="shared" si="134"/>
        <v>#DIV/0!</v>
      </c>
      <c r="AD117" s="20">
        <f t="shared" si="79"/>
        <v>1.85258700542542E-3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>
        <f>V117/J117</f>
        <v>1.0003307549364888</v>
      </c>
      <c r="AY117" s="15">
        <f t="shared" si="136"/>
        <v>1.4598214285714286</v>
      </c>
      <c r="AZ117" s="15">
        <f t="shared" si="137"/>
        <v>0.97609628557765771</v>
      </c>
      <c r="BA117" s="15"/>
      <c r="BB117" s="15"/>
      <c r="BC117" s="15"/>
      <c r="BD117" s="1">
        <f t="shared" si="84"/>
        <v>0</v>
      </c>
    </row>
    <row r="118" spans="1:56" ht="15.75" thickBot="1" x14ac:dyDescent="0.25">
      <c r="A118" s="13"/>
      <c r="B118" s="8" t="s">
        <v>35</v>
      </c>
      <c r="C118" s="39">
        <v>22</v>
      </c>
      <c r="D118" s="55">
        <v>2025.35</v>
      </c>
      <c r="E118" s="55">
        <v>42.6081</v>
      </c>
      <c r="F118" s="55">
        <v>44.563800000000001</v>
      </c>
      <c r="G118" s="55">
        <v>45.7455</v>
      </c>
      <c r="H118" s="55">
        <v>0.99617489999999997</v>
      </c>
      <c r="I118" s="55">
        <v>0.99600900000000003</v>
      </c>
      <c r="J118" s="55">
        <v>0.99699459999999995</v>
      </c>
      <c r="K118" s="55">
        <v>163.12200000000001</v>
      </c>
      <c r="L118" s="55">
        <v>0.19</v>
      </c>
      <c r="M118" s="10">
        <v>0</v>
      </c>
      <c r="N118" s="11">
        <f t="shared" si="76"/>
        <v>4.5311666666666674E-2</v>
      </c>
      <c r="P118" s="60">
        <v>2035.7</v>
      </c>
      <c r="Q118" s="60">
        <v>42.633000000000003</v>
      </c>
      <c r="R118" s="60">
        <v>44.590699999999998</v>
      </c>
      <c r="S118" s="60">
        <v>45.795099999999998</v>
      </c>
      <c r="T118" s="60">
        <v>0.99621890000000002</v>
      </c>
      <c r="U118" s="60">
        <v>0.99599110000000002</v>
      </c>
      <c r="V118" s="60">
        <v>0.99697769999999997</v>
      </c>
      <c r="W118" s="60">
        <v>162.73099999999999</v>
      </c>
      <c r="X118" s="60">
        <v>0.17100000000000001</v>
      </c>
      <c r="Y118" s="10">
        <v>0</v>
      </c>
      <c r="Z118" s="11">
        <f t="shared" si="77"/>
        <v>4.5203055555555552E-2</v>
      </c>
      <c r="AA118" s="10">
        <f t="shared" si="78"/>
        <v>0.99760302105172804</v>
      </c>
      <c r="AB118" s="15">
        <f t="shared" si="134"/>
        <v>0.9</v>
      </c>
      <c r="AC118" s="15" t="e">
        <f t="shared" si="134"/>
        <v>#DIV/0!</v>
      </c>
      <c r="AD118" s="11">
        <f t="shared" si="79"/>
        <v>5.1102278618511054E-3</v>
      </c>
      <c r="AE118" s="12"/>
      <c r="AF118" s="25">
        <f t="shared" ref="AF118:AK118" si="138">bdRateExtend($D118:$D122,E118:E122,$P118:$P122,Q118:Q122)</f>
        <v>-1.0214917155448866E-3</v>
      </c>
      <c r="AG118" s="30">
        <f t="shared" si="138"/>
        <v>2.4751195363841294E-2</v>
      </c>
      <c r="AH118" s="31">
        <f t="shared" si="138"/>
        <v>7.9157417414623676E-3</v>
      </c>
      <c r="AI118" s="25">
        <f t="shared" si="138"/>
        <v>3.2780322965773045E-3</v>
      </c>
      <c r="AJ118" s="30">
        <f t="shared" si="138"/>
        <v>2.5154912739364876E-2</v>
      </c>
      <c r="AK118" s="30">
        <f t="shared" si="138"/>
        <v>1.150722930658965E-2</v>
      </c>
      <c r="AL118" s="45"/>
      <c r="AM118" s="46"/>
      <c r="AN118" s="47"/>
      <c r="AO118" s="46"/>
      <c r="AP118" s="46"/>
      <c r="AQ118" s="47"/>
      <c r="AR118" s="30">
        <f t="shared" ref="AR118:AW118" si="139">bdrate($D118:$D121,E118:E121,$P118:$P121,Q118:Q121)</f>
        <v>-2.080034409406295E-4</v>
      </c>
      <c r="AS118" s="30">
        <f t="shared" si="139"/>
        <v>2.533989514220103E-2</v>
      </c>
      <c r="AT118" s="31">
        <f t="shared" si="139"/>
        <v>2.5859056877419739E-4</v>
      </c>
      <c r="AU118" s="25">
        <f t="shared" si="139"/>
        <v>1.2434400253169553E-3</v>
      </c>
      <c r="AV118" s="30">
        <f t="shared" si="139"/>
        <v>5.5293642465748194E-2</v>
      </c>
      <c r="AW118" s="31">
        <f t="shared" si="139"/>
        <v>-2.6818475907754435E-2</v>
      </c>
      <c r="AX118" s="15"/>
      <c r="AY118" s="15"/>
      <c r="AZ118" s="15"/>
      <c r="BA118" s="15">
        <f>V118/J118</f>
        <v>0.99998304905563185</v>
      </c>
      <c r="BB118" s="15">
        <f t="shared" ref="BB118:BB121" si="140">X118/L118</f>
        <v>0.9</v>
      </c>
      <c r="BC118" s="15">
        <f t="shared" si="133"/>
        <v>0.99760302105172793</v>
      </c>
      <c r="BD118" s="1">
        <f t="shared" si="84"/>
        <v>1</v>
      </c>
    </row>
    <row r="119" spans="1:56" ht="15.75" thickBot="1" x14ac:dyDescent="0.25">
      <c r="A119" s="13"/>
      <c r="B119" s="13"/>
      <c r="C119" s="43">
        <v>27</v>
      </c>
      <c r="D119" s="55">
        <v>1106.8499999999999</v>
      </c>
      <c r="E119" s="55">
        <v>39.372199999999999</v>
      </c>
      <c r="F119" s="55">
        <v>41.816099999999999</v>
      </c>
      <c r="G119" s="55">
        <v>42.840200000000003</v>
      </c>
      <c r="H119" s="55">
        <v>0.99081980000000003</v>
      </c>
      <c r="I119" s="55">
        <v>0.99245399999999995</v>
      </c>
      <c r="J119" s="55">
        <v>0.99405949999999998</v>
      </c>
      <c r="K119" s="55">
        <v>112.285</v>
      </c>
      <c r="L119" s="55">
        <v>0.14599999999999999</v>
      </c>
      <c r="M119" s="15">
        <v>0</v>
      </c>
      <c r="N119" s="16">
        <f t="shared" si="76"/>
        <v>3.1190277777777775E-2</v>
      </c>
      <c r="P119" s="60">
        <v>1109.05</v>
      </c>
      <c r="Q119" s="60">
        <v>39.374400000000001</v>
      </c>
      <c r="R119" s="60">
        <v>41.764499999999998</v>
      </c>
      <c r="S119" s="60">
        <v>42.858899999999998</v>
      </c>
      <c r="T119" s="60">
        <v>0.99091609999999997</v>
      </c>
      <c r="U119" s="60">
        <v>0.99227880000000002</v>
      </c>
      <c r="V119" s="60">
        <v>0.9940215</v>
      </c>
      <c r="W119" s="60">
        <v>118.846</v>
      </c>
      <c r="X119" s="60">
        <v>0.14499999999999999</v>
      </c>
      <c r="Y119" s="15">
        <v>0</v>
      </c>
      <c r="Z119" s="16">
        <f t="shared" si="77"/>
        <v>3.301277777777778E-2</v>
      </c>
      <c r="AA119" s="10">
        <f t="shared" si="78"/>
        <v>1.0584316694126554</v>
      </c>
      <c r="AB119" s="15">
        <f t="shared" si="134"/>
        <v>0.99315068493150682</v>
      </c>
      <c r="AC119" s="15" t="e">
        <f t="shared" si="134"/>
        <v>#DIV/0!</v>
      </c>
      <c r="AD119" s="16">
        <f t="shared" si="79"/>
        <v>1.9876225324118404E-3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-2.0783291883575972E-3</v>
      </c>
      <c r="AM119" s="21">
        <f>bdrate($D119:$D122,F119:F122,$P119:$P122,R119:R122)</f>
        <v>3.5684591565733115E-2</v>
      </c>
      <c r="AN119" s="36">
        <f t="shared" ref="AN119" si="141">bdrate($D119:$D122,G119:G122,$P119:$P122,S119:S122)</f>
        <v>1.1659954610253598E-2</v>
      </c>
      <c r="AO119" s="26">
        <f>bdrate($D119:$D122,H119:H122,$P119:$P122,T119:T122)</f>
        <v>4.3026081375856506E-3</v>
      </c>
      <c r="AP119" s="21">
        <f>bdrate($D119:$D122,I119:I122,$P119:$P122,U119:U122)</f>
        <v>2.9684792744275823E-2</v>
      </c>
      <c r="AQ119" s="36">
        <f>bdrate($D119:$D122,J119:J122,$P119:$P122,V119:V122)</f>
        <v>7.6169855264340836E-3</v>
      </c>
      <c r="AR119" s="21"/>
      <c r="AS119" s="21"/>
      <c r="AT119" s="36"/>
      <c r="AU119" s="26"/>
      <c r="AV119" s="21"/>
      <c r="AW119" s="36"/>
      <c r="AX119" s="15">
        <f>V119/J119</f>
        <v>0.99996177291198363</v>
      </c>
      <c r="AY119" s="15">
        <f t="shared" ref="AY119:AY122" si="142">X119/L119</f>
        <v>0.99315068493150682</v>
      </c>
      <c r="AZ119" s="15">
        <f t="shared" si="137"/>
        <v>1.0584316694126554</v>
      </c>
      <c r="BA119" s="15">
        <f>V119/J119</f>
        <v>0.99996177291198363</v>
      </c>
      <c r="BB119" s="15">
        <f t="shared" si="140"/>
        <v>0.99315068493150682</v>
      </c>
      <c r="BC119" s="15">
        <f t="shared" si="133"/>
        <v>1.0584316694126554</v>
      </c>
      <c r="BD119" s="1">
        <f t="shared" si="84"/>
        <v>0</v>
      </c>
    </row>
    <row r="120" spans="1:56" ht="15.75" thickBot="1" x14ac:dyDescent="0.25">
      <c r="A120" s="13"/>
      <c r="B120" s="13"/>
      <c r="C120" s="43">
        <v>32</v>
      </c>
      <c r="D120" s="55">
        <v>608.95000000000005</v>
      </c>
      <c r="E120" s="55">
        <v>36.406199999999998</v>
      </c>
      <c r="F120" s="55">
        <v>39.645299999999999</v>
      </c>
      <c r="G120" s="55">
        <v>40.228000000000002</v>
      </c>
      <c r="H120" s="55">
        <v>0.98012129999999997</v>
      </c>
      <c r="I120" s="55">
        <v>0.98676609999999998</v>
      </c>
      <c r="J120" s="55">
        <v>0.98758400000000002</v>
      </c>
      <c r="K120" s="55">
        <v>71.325999999999993</v>
      </c>
      <c r="L120" s="55">
        <v>0.122</v>
      </c>
      <c r="M120" s="15">
        <v>0</v>
      </c>
      <c r="N120" s="16">
        <f t="shared" si="76"/>
        <v>1.9812777777777776E-2</v>
      </c>
      <c r="P120" s="60">
        <v>606.5</v>
      </c>
      <c r="Q120" s="60">
        <v>36.395299999999999</v>
      </c>
      <c r="R120" s="60">
        <v>39.469200000000001</v>
      </c>
      <c r="S120" s="60">
        <v>40.226900000000001</v>
      </c>
      <c r="T120" s="60">
        <v>0.97991439999999996</v>
      </c>
      <c r="U120" s="60">
        <v>0.98557139999999999</v>
      </c>
      <c r="V120" s="60">
        <v>0.98835240000000002</v>
      </c>
      <c r="W120" s="60">
        <v>77.465999999999994</v>
      </c>
      <c r="X120" s="60">
        <v>0.13100000000000001</v>
      </c>
      <c r="Y120" s="15">
        <v>0</v>
      </c>
      <c r="Z120" s="16">
        <f t="shared" si="77"/>
        <v>2.151833333333333E-2</v>
      </c>
      <c r="AA120" s="10">
        <f t="shared" si="78"/>
        <v>1.0860836160726803</v>
      </c>
      <c r="AB120" s="15">
        <f t="shared" si="134"/>
        <v>1.0737704918032787</v>
      </c>
      <c r="AC120" s="15" t="e">
        <f t="shared" si="134"/>
        <v>#DIV/0!</v>
      </c>
      <c r="AD120" s="16">
        <f t="shared" si="79"/>
        <v>4.0233188274900163E-3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>
        <f>V120/J120</f>
        <v>1.0007780603979004</v>
      </c>
      <c r="AY120" s="15">
        <f t="shared" si="142"/>
        <v>1.0737704918032787</v>
      </c>
      <c r="AZ120" s="15">
        <f t="shared" si="137"/>
        <v>1.0860836160726803</v>
      </c>
      <c r="BA120" s="15">
        <f>V120/J120</f>
        <v>1.0007780603979004</v>
      </c>
      <c r="BB120" s="15">
        <f t="shared" si="140"/>
        <v>1.0737704918032787</v>
      </c>
      <c r="BC120" s="15">
        <f t="shared" si="133"/>
        <v>1.0860836160726803</v>
      </c>
      <c r="BD120" s="1">
        <f t="shared" si="84"/>
        <v>0</v>
      </c>
    </row>
    <row r="121" spans="1:56" ht="15.75" thickBot="1" x14ac:dyDescent="0.25">
      <c r="A121" s="13"/>
      <c r="B121" s="13"/>
      <c r="C121" s="43">
        <v>37</v>
      </c>
      <c r="D121" s="55">
        <v>352.45</v>
      </c>
      <c r="E121" s="55">
        <v>33.764699999999998</v>
      </c>
      <c r="F121" s="55">
        <v>37.900799999999997</v>
      </c>
      <c r="G121" s="55">
        <v>38.3431</v>
      </c>
      <c r="H121" s="55">
        <v>0.96252890000000002</v>
      </c>
      <c r="I121" s="55">
        <v>0.9792071</v>
      </c>
      <c r="J121" s="55">
        <v>0.98224630000000002</v>
      </c>
      <c r="K121" s="55">
        <v>40.923999999999999</v>
      </c>
      <c r="L121" s="55">
        <v>0.11700000000000001</v>
      </c>
      <c r="M121" s="15">
        <v>0</v>
      </c>
      <c r="N121" s="16">
        <f t="shared" si="76"/>
        <v>1.1367777777777777E-2</v>
      </c>
      <c r="P121" s="60">
        <v>351.25</v>
      </c>
      <c r="Q121" s="60">
        <v>33.7622</v>
      </c>
      <c r="R121" s="60">
        <v>37.751600000000003</v>
      </c>
      <c r="S121" s="60">
        <v>38.212600000000002</v>
      </c>
      <c r="T121" s="60">
        <v>0.96238069999999998</v>
      </c>
      <c r="U121" s="60">
        <v>0.97925099999999998</v>
      </c>
      <c r="V121" s="60">
        <v>0.98166030000000004</v>
      </c>
      <c r="W121" s="60">
        <v>44.895000000000003</v>
      </c>
      <c r="X121" s="60">
        <v>0.13800000000000001</v>
      </c>
      <c r="Y121" s="15">
        <v>0</v>
      </c>
      <c r="Z121" s="16">
        <f t="shared" si="77"/>
        <v>1.2470833333333334E-2</v>
      </c>
      <c r="AA121" s="10">
        <f t="shared" si="78"/>
        <v>1.097033525559574</v>
      </c>
      <c r="AB121" s="15">
        <f t="shared" si="134"/>
        <v>1.1794871794871795</v>
      </c>
      <c r="AC121" s="15" t="e">
        <f t="shared" si="134"/>
        <v>#DIV/0!</v>
      </c>
      <c r="AD121" s="16">
        <f t="shared" si="79"/>
        <v>3.404738260746173E-3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>
        <f>V121/J121</f>
        <v>0.99940340828975383</v>
      </c>
      <c r="AY121" s="15">
        <f t="shared" si="142"/>
        <v>1.1794871794871795</v>
      </c>
      <c r="AZ121" s="15">
        <f t="shared" si="137"/>
        <v>1.097033525559574</v>
      </c>
      <c r="BA121" s="15">
        <f>V121/J121</f>
        <v>0.99940340828975383</v>
      </c>
      <c r="BB121" s="15">
        <f t="shared" si="140"/>
        <v>1.1794871794871795</v>
      </c>
      <c r="BC121" s="15">
        <f t="shared" si="133"/>
        <v>1.097033525559574</v>
      </c>
      <c r="BD121" s="1">
        <f t="shared" si="84"/>
        <v>0</v>
      </c>
    </row>
    <row r="122" spans="1:56" ht="15.75" thickBot="1" x14ac:dyDescent="0.25">
      <c r="A122" s="13"/>
      <c r="B122" s="17"/>
      <c r="C122" s="44">
        <v>42</v>
      </c>
      <c r="D122" s="55">
        <v>200</v>
      </c>
      <c r="E122" s="55">
        <v>30.876999999999999</v>
      </c>
      <c r="F122" s="55">
        <v>36.096699999999998</v>
      </c>
      <c r="G122" s="55">
        <v>36.253599999999999</v>
      </c>
      <c r="H122" s="55">
        <v>0.93129340000000005</v>
      </c>
      <c r="I122" s="55">
        <v>0.96917889999999995</v>
      </c>
      <c r="J122" s="55">
        <v>0.96975500000000003</v>
      </c>
      <c r="K122" s="55">
        <v>22.529</v>
      </c>
      <c r="L122" s="55">
        <v>0.112</v>
      </c>
      <c r="M122" s="19">
        <v>0</v>
      </c>
      <c r="N122" s="20">
        <f t="shared" si="76"/>
        <v>6.2580555555555558E-3</v>
      </c>
      <c r="P122" s="60">
        <v>200.15</v>
      </c>
      <c r="Q122" s="60">
        <v>30.9039</v>
      </c>
      <c r="R122" s="60">
        <v>36.1449</v>
      </c>
      <c r="S122" s="60">
        <v>36.167400000000001</v>
      </c>
      <c r="T122" s="60">
        <v>0.9298999</v>
      </c>
      <c r="U122" s="60">
        <v>0.96902630000000001</v>
      </c>
      <c r="V122" s="60">
        <v>0.96888629999999998</v>
      </c>
      <c r="W122" s="60">
        <v>27.427</v>
      </c>
      <c r="X122" s="60">
        <v>0.121</v>
      </c>
      <c r="Y122" s="19">
        <v>0</v>
      </c>
      <c r="Z122" s="20">
        <f t="shared" si="77"/>
        <v>7.6186111111111107E-3</v>
      </c>
      <c r="AA122" s="10">
        <f t="shared" si="78"/>
        <v>1.2174086732655689</v>
      </c>
      <c r="AB122" s="15">
        <f t="shared" si="134"/>
        <v>1.0803571428571428</v>
      </c>
      <c r="AC122" s="15" t="e">
        <f t="shared" si="134"/>
        <v>#DIV/0!</v>
      </c>
      <c r="AD122" s="20">
        <f t="shared" si="79"/>
        <v>7.5000000000002842E-4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>
        <f>V122/J122</f>
        <v>0.99910420673262834</v>
      </c>
      <c r="AY122" s="15">
        <f t="shared" si="142"/>
        <v>1.0803571428571428</v>
      </c>
      <c r="AZ122" s="15">
        <f t="shared" si="137"/>
        <v>1.2174086732655687</v>
      </c>
      <c r="BA122" s="15"/>
      <c r="BB122" s="15"/>
      <c r="BC122" s="15"/>
      <c r="BD122" s="1">
        <f t="shared" si="84"/>
        <v>0</v>
      </c>
    </row>
    <row r="123" spans="1:56" ht="15.75" thickBot="1" x14ac:dyDescent="0.25">
      <c r="A123" s="13"/>
      <c r="B123" s="8" t="s">
        <v>36</v>
      </c>
      <c r="C123" s="39">
        <v>22</v>
      </c>
      <c r="D123" s="55">
        <v>3163.41</v>
      </c>
      <c r="E123" s="55">
        <v>48.1145</v>
      </c>
      <c r="F123" s="55">
        <v>46.468200000000003</v>
      </c>
      <c r="G123" s="55">
        <v>47.260100000000001</v>
      </c>
      <c r="H123" s="55">
        <v>0.99968869999999999</v>
      </c>
      <c r="I123" s="55">
        <v>0.99663919999999995</v>
      </c>
      <c r="J123" s="55">
        <v>0.99756400000000001</v>
      </c>
      <c r="K123" s="55">
        <v>210.18899999999999</v>
      </c>
      <c r="L123" s="55">
        <v>0.214</v>
      </c>
      <c r="M123" s="10">
        <v>0</v>
      </c>
      <c r="N123" s="11">
        <f t="shared" si="76"/>
        <v>5.8385833333333331E-2</v>
      </c>
      <c r="P123" s="60">
        <v>3152.16</v>
      </c>
      <c r="Q123" s="60">
        <v>48.134799999999998</v>
      </c>
      <c r="R123" s="60">
        <v>46.436900000000001</v>
      </c>
      <c r="S123" s="60">
        <v>47.2849</v>
      </c>
      <c r="T123" s="60">
        <v>0.99969039999999998</v>
      </c>
      <c r="U123" s="60">
        <v>0.99665049999999999</v>
      </c>
      <c r="V123" s="60">
        <v>0.99754140000000002</v>
      </c>
      <c r="W123" s="60">
        <v>219.11199999999999</v>
      </c>
      <c r="X123" s="60">
        <v>0.245</v>
      </c>
      <c r="Y123" s="10">
        <v>0</v>
      </c>
      <c r="Z123" s="11">
        <f t="shared" si="77"/>
        <v>6.0864444444444443E-2</v>
      </c>
      <c r="AA123" s="10">
        <f t="shared" si="78"/>
        <v>1.0424522691482427</v>
      </c>
      <c r="AB123" s="15">
        <f t="shared" si="134"/>
        <v>1.1448598130841121</v>
      </c>
      <c r="AC123" s="15" t="e">
        <f t="shared" si="134"/>
        <v>#DIV/0!</v>
      </c>
      <c r="AD123" s="11">
        <f t="shared" si="79"/>
        <v>3.5562889413639082E-3</v>
      </c>
      <c r="AE123" s="12"/>
      <c r="AF123" s="25">
        <f t="shared" ref="AF123:AK123" si="143">bdRateExtend($D123:$D127,E123:E127,$P123:$P127,Q123:Q127)</f>
        <v>-3.3951782335166492E-3</v>
      </c>
      <c r="AG123" s="30">
        <f t="shared" si="143"/>
        <v>-4.2767782208110727E-3</v>
      </c>
      <c r="AH123" s="31">
        <f t="shared" si="143"/>
        <v>-1.0949778686630829E-4</v>
      </c>
      <c r="AI123" s="25">
        <f t="shared" si="143"/>
        <v>-6.2182816922395912E-4</v>
      </c>
      <c r="AJ123" s="30">
        <f t="shared" si="143"/>
        <v>-1.1015920736800022E-2</v>
      </c>
      <c r="AK123" s="30">
        <f t="shared" si="143"/>
        <v>-6.0040175903475212E-3</v>
      </c>
      <c r="AL123" s="26"/>
      <c r="AM123" s="21"/>
      <c r="AN123" s="36"/>
      <c r="AO123" s="21"/>
      <c r="AP123" s="21"/>
      <c r="AQ123" s="36"/>
      <c r="AR123" s="30">
        <f t="shared" ref="AR123:AW123" si="144">bdrate($D123:$D126,E123:E126,$P123:$P126,Q123:Q126)</f>
        <v>-2.0443310429530959E-3</v>
      </c>
      <c r="AS123" s="30">
        <f t="shared" si="144"/>
        <v>-4.1570209073817921E-3</v>
      </c>
      <c r="AT123" s="31">
        <f t="shared" si="144"/>
        <v>4.230706762066383E-3</v>
      </c>
      <c r="AU123" s="25">
        <f t="shared" si="144"/>
        <v>2.3074057337837406E-3</v>
      </c>
      <c r="AV123" s="30">
        <f t="shared" si="144"/>
        <v>-9.9823026867975617E-3</v>
      </c>
      <c r="AW123" s="31">
        <f t="shared" si="144"/>
        <v>1.4550435573699172E-3</v>
      </c>
      <c r="AX123" s="15"/>
      <c r="AY123" s="15"/>
      <c r="AZ123" s="15"/>
      <c r="BA123" s="15">
        <f>V123/J123</f>
        <v>0.99997734481196199</v>
      </c>
      <c r="BB123" s="15">
        <f t="shared" ref="BB123:BB126" si="145">X123/L123</f>
        <v>1.1448598130841121</v>
      </c>
      <c r="BC123" s="15">
        <f t="shared" si="133"/>
        <v>1.0424522691482427</v>
      </c>
      <c r="BD123" s="1">
        <f t="shared" si="84"/>
        <v>1</v>
      </c>
    </row>
    <row r="124" spans="1:56" ht="15.75" thickBot="1" x14ac:dyDescent="0.25">
      <c r="A124" s="13"/>
      <c r="B124" s="13"/>
      <c r="C124" s="43">
        <v>27</v>
      </c>
      <c r="D124" s="55">
        <v>2318.61</v>
      </c>
      <c r="E124" s="55">
        <v>44.007800000000003</v>
      </c>
      <c r="F124" s="55">
        <v>42.647500000000001</v>
      </c>
      <c r="G124" s="55">
        <v>44.015700000000002</v>
      </c>
      <c r="H124" s="55">
        <v>0.99934040000000002</v>
      </c>
      <c r="I124" s="55">
        <v>0.99181269999999999</v>
      </c>
      <c r="J124" s="55">
        <v>0.99457969999999996</v>
      </c>
      <c r="K124" s="55">
        <v>168.88</v>
      </c>
      <c r="L124" s="55">
        <v>0.19700000000000001</v>
      </c>
      <c r="M124" s="15">
        <v>0</v>
      </c>
      <c r="N124" s="16">
        <f t="shared" si="76"/>
        <v>4.6911111111111112E-2</v>
      </c>
      <c r="P124" s="60">
        <v>2310.6</v>
      </c>
      <c r="Q124" s="60">
        <v>44.050600000000003</v>
      </c>
      <c r="R124" s="60">
        <v>42.7</v>
      </c>
      <c r="S124" s="60">
        <v>43.972499999999997</v>
      </c>
      <c r="T124" s="60">
        <v>0.99934100000000003</v>
      </c>
      <c r="U124" s="60">
        <v>0.99208419999999997</v>
      </c>
      <c r="V124" s="60">
        <v>0.99466810000000005</v>
      </c>
      <c r="W124" s="60">
        <v>180.96799999999999</v>
      </c>
      <c r="X124" s="60">
        <v>0.21</v>
      </c>
      <c r="Y124" s="15">
        <v>0</v>
      </c>
      <c r="Z124" s="16">
        <f t="shared" si="77"/>
        <v>5.0268888888888884E-2</v>
      </c>
      <c r="AA124" s="10">
        <f t="shared" si="78"/>
        <v>1.0715774514448129</v>
      </c>
      <c r="AB124" s="15">
        <f t="shared" si="134"/>
        <v>1.0659898477157359</v>
      </c>
      <c r="AC124" s="15" t="e">
        <f t="shared" si="134"/>
        <v>#DIV/0!</v>
      </c>
      <c r="AD124" s="16">
        <f t="shared" si="79"/>
        <v>3.4546560223583174E-3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-1.9808750593196534E-3</v>
      </c>
      <c r="AM124" s="21">
        <f>bdrate($D124:$D127,F124:F127,$P124:$P127,R124:R127)</f>
        <v>-2.6092554359511411E-3</v>
      </c>
      <c r="AN124" s="36">
        <f t="shared" ref="AN124" si="146">bdrate($D124:$D127,G124:G127,$P124:$P127,S124:S127)</f>
        <v>1.9096179873279162E-3</v>
      </c>
      <c r="AO124" s="26">
        <f>bdrate($D124:$D127,H124:H127,$P124:$P127,T124:T127)</f>
        <v>-4.0248931814534927E-4</v>
      </c>
      <c r="AP124" s="21">
        <f>bdrate($D124:$D127,I124:I127,$P124:$P127,U124:U127)</f>
        <v>-9.7889991701405332E-3</v>
      </c>
      <c r="AQ124" s="36">
        <f>bdrate($D124:$D127,J124:J127,$P124:$P127,V124:V127)</f>
        <v>-4.3466039724068262E-3</v>
      </c>
      <c r="AR124" s="21"/>
      <c r="AS124" s="21"/>
      <c r="AT124" s="36"/>
      <c r="AU124" s="26"/>
      <c r="AV124" s="21"/>
      <c r="AW124" s="36"/>
      <c r="AX124" s="15">
        <f>V124/J124</f>
        <v>1.0000888817658355</v>
      </c>
      <c r="AY124" s="15">
        <f t="shared" ref="AY124:AY127" si="147">X124/L124</f>
        <v>1.0659898477157359</v>
      </c>
      <c r="AZ124" s="15">
        <f t="shared" si="137"/>
        <v>1.0715774514448129</v>
      </c>
      <c r="BA124" s="15">
        <f>V124/J124</f>
        <v>1.0000888817658355</v>
      </c>
      <c r="BB124" s="15">
        <f t="shared" si="145"/>
        <v>1.0659898477157359</v>
      </c>
      <c r="BC124" s="15">
        <f t="shared" si="133"/>
        <v>1.0715774514448129</v>
      </c>
      <c r="BD124" s="1">
        <f t="shared" si="84"/>
        <v>0</v>
      </c>
    </row>
    <row r="125" spans="1:56" ht="15.75" thickBot="1" x14ac:dyDescent="0.25">
      <c r="A125" s="13"/>
      <c r="B125" s="13"/>
      <c r="C125" s="43">
        <v>32</v>
      </c>
      <c r="D125" s="55">
        <v>1738.71</v>
      </c>
      <c r="E125" s="55">
        <v>40.036099999999998</v>
      </c>
      <c r="F125" s="55">
        <v>41.477800000000002</v>
      </c>
      <c r="G125" s="55">
        <v>42.627899999999997</v>
      </c>
      <c r="H125" s="55">
        <v>0.99850280000000002</v>
      </c>
      <c r="I125" s="55">
        <v>0.98815960000000003</v>
      </c>
      <c r="J125" s="55">
        <v>0.99222750000000004</v>
      </c>
      <c r="K125" s="55">
        <v>129.71</v>
      </c>
      <c r="L125" s="55">
        <v>0.2</v>
      </c>
      <c r="M125" s="15">
        <v>0</v>
      </c>
      <c r="N125" s="16">
        <f t="shared" si="76"/>
        <v>3.6030555555555559E-2</v>
      </c>
      <c r="P125" s="60">
        <v>1739.01</v>
      </c>
      <c r="Q125" s="60">
        <v>39.9803</v>
      </c>
      <c r="R125" s="60">
        <v>41.483699999999999</v>
      </c>
      <c r="S125" s="60">
        <v>42.529699999999998</v>
      </c>
      <c r="T125" s="60">
        <v>0.99846840000000003</v>
      </c>
      <c r="U125" s="60">
        <v>0.98843099999999995</v>
      </c>
      <c r="V125" s="60">
        <v>0.99186969999999997</v>
      </c>
      <c r="W125" s="60">
        <v>147.059</v>
      </c>
      <c r="X125" s="60">
        <v>0.17199999999999999</v>
      </c>
      <c r="Y125" s="15">
        <v>0</v>
      </c>
      <c r="Z125" s="16">
        <f t="shared" si="77"/>
        <v>4.0849722222222225E-2</v>
      </c>
      <c r="AA125" s="10">
        <f t="shared" si="78"/>
        <v>1.1337522164829235</v>
      </c>
      <c r="AB125" s="15">
        <f t="shared" si="134"/>
        <v>0.85999999999999988</v>
      </c>
      <c r="AC125" s="15" t="e">
        <f t="shared" si="134"/>
        <v>#DIV/0!</v>
      </c>
      <c r="AD125" s="16">
        <f t="shared" si="79"/>
        <v>1.7254171195883991E-4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>
        <f>V125/J125</f>
        <v>0.9996393972148524</v>
      </c>
      <c r="AY125" s="15">
        <f t="shared" si="147"/>
        <v>0.85999999999999988</v>
      </c>
      <c r="AZ125" s="15">
        <f t="shared" si="137"/>
        <v>1.1337522164829235</v>
      </c>
      <c r="BA125" s="15">
        <f>V125/J125</f>
        <v>0.9996393972148524</v>
      </c>
      <c r="BB125" s="15">
        <f t="shared" si="145"/>
        <v>0.85999999999999988</v>
      </c>
      <c r="BC125" s="15">
        <f t="shared" si="133"/>
        <v>1.1337522164829235</v>
      </c>
      <c r="BD125" s="1">
        <f t="shared" si="84"/>
        <v>0</v>
      </c>
    </row>
    <row r="126" spans="1:56" ht="15.75" thickBot="1" x14ac:dyDescent="0.25">
      <c r="A126" s="13"/>
      <c r="B126" s="13"/>
      <c r="C126" s="43">
        <v>37</v>
      </c>
      <c r="D126" s="55">
        <v>1309.1400000000001</v>
      </c>
      <c r="E126" s="55">
        <v>35.3596</v>
      </c>
      <c r="F126" s="55">
        <v>38.0002</v>
      </c>
      <c r="G126" s="55">
        <v>39.411499999999997</v>
      </c>
      <c r="H126" s="55">
        <v>0.99601899999999999</v>
      </c>
      <c r="I126" s="55">
        <v>0.97571419999999998</v>
      </c>
      <c r="J126" s="55">
        <v>0.9844193</v>
      </c>
      <c r="K126" s="55">
        <v>126.825</v>
      </c>
      <c r="L126" s="55">
        <v>0.16</v>
      </c>
      <c r="M126" s="15">
        <v>0</v>
      </c>
      <c r="N126" s="16">
        <f t="shared" si="76"/>
        <v>3.5229166666666666E-2</v>
      </c>
      <c r="P126" s="60">
        <v>1307.22</v>
      </c>
      <c r="Q126" s="60">
        <v>35.4133</v>
      </c>
      <c r="R126" s="60">
        <v>37.985799999999998</v>
      </c>
      <c r="S126" s="60">
        <v>39.479300000000002</v>
      </c>
      <c r="T126" s="60">
        <v>0.9960099</v>
      </c>
      <c r="U126" s="60">
        <v>0.97559530000000005</v>
      </c>
      <c r="V126" s="60">
        <v>0.98507330000000004</v>
      </c>
      <c r="W126" s="60">
        <v>130.96100000000001</v>
      </c>
      <c r="X126" s="60">
        <v>0.16200000000000001</v>
      </c>
      <c r="Y126" s="15">
        <v>0</v>
      </c>
      <c r="Z126" s="16">
        <f t="shared" si="77"/>
        <v>3.6378055555555559E-2</v>
      </c>
      <c r="AA126" s="10">
        <f t="shared" si="78"/>
        <v>1.0326118667455155</v>
      </c>
      <c r="AB126" s="15">
        <f t="shared" si="134"/>
        <v>1.0125</v>
      </c>
      <c r="AC126" s="15" t="e">
        <f t="shared" si="134"/>
        <v>#DIV/0!</v>
      </c>
      <c r="AD126" s="16">
        <f t="shared" si="79"/>
        <v>1.4666116687291448E-3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>
        <f>V126/J126</f>
        <v>1.0006643510544746</v>
      </c>
      <c r="AY126" s="15">
        <f t="shared" si="147"/>
        <v>1.0125</v>
      </c>
      <c r="AZ126" s="15">
        <f t="shared" si="137"/>
        <v>1.0326118667455155</v>
      </c>
      <c r="BA126" s="15">
        <f>V126/J126</f>
        <v>1.0006643510544746</v>
      </c>
      <c r="BB126" s="15">
        <f t="shared" si="145"/>
        <v>1.0125</v>
      </c>
      <c r="BC126" s="15">
        <f t="shared" si="133"/>
        <v>1.0326118667455155</v>
      </c>
      <c r="BD126" s="1">
        <f t="shared" si="84"/>
        <v>0</v>
      </c>
    </row>
    <row r="127" spans="1:56" ht="15.75" thickBot="1" x14ac:dyDescent="0.25">
      <c r="A127" s="13"/>
      <c r="B127" s="17"/>
      <c r="C127" s="44">
        <v>42</v>
      </c>
      <c r="D127" s="55">
        <v>952.92</v>
      </c>
      <c r="E127" s="55">
        <v>30.5686</v>
      </c>
      <c r="F127" s="55">
        <v>37.146500000000003</v>
      </c>
      <c r="G127" s="55">
        <v>38.102899999999998</v>
      </c>
      <c r="H127" s="55">
        <v>0.9885275</v>
      </c>
      <c r="I127" s="55">
        <v>0.96999820000000003</v>
      </c>
      <c r="J127" s="55">
        <v>0.97883149999999997</v>
      </c>
      <c r="K127" s="55">
        <v>105.218</v>
      </c>
      <c r="L127" s="55">
        <v>0.156</v>
      </c>
      <c r="M127" s="19">
        <v>0</v>
      </c>
      <c r="N127" s="20">
        <f t="shared" si="76"/>
        <v>2.9227222222222224E-2</v>
      </c>
      <c r="P127" s="60">
        <v>951</v>
      </c>
      <c r="Q127" s="60">
        <v>30.6083</v>
      </c>
      <c r="R127" s="60">
        <v>37.232700000000001</v>
      </c>
      <c r="S127" s="60">
        <v>38.074599999999997</v>
      </c>
      <c r="T127" s="60">
        <v>0.98854450000000005</v>
      </c>
      <c r="U127" s="60">
        <v>0.97122629999999999</v>
      </c>
      <c r="V127" s="60">
        <v>0.97831920000000006</v>
      </c>
      <c r="W127" s="60">
        <v>115.236</v>
      </c>
      <c r="X127" s="60">
        <v>0.19</v>
      </c>
      <c r="Y127" s="19">
        <v>0</v>
      </c>
      <c r="Z127" s="20">
        <f t="shared" si="77"/>
        <v>3.2010000000000004E-2</v>
      </c>
      <c r="AA127" s="10">
        <f t="shared" si="78"/>
        <v>1.0952118458818834</v>
      </c>
      <c r="AB127" s="15">
        <f t="shared" si="134"/>
        <v>1.2179487179487181</v>
      </c>
      <c r="AC127" s="15" t="e">
        <f t="shared" si="134"/>
        <v>#DIV/0!</v>
      </c>
      <c r="AD127" s="20">
        <f t="shared" si="79"/>
        <v>2.0148595894723159E-3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>
        <f>V127/J127</f>
        <v>0.99947662084843003</v>
      </c>
      <c r="AY127" s="15">
        <f t="shared" si="147"/>
        <v>1.2179487179487181</v>
      </c>
      <c r="AZ127" s="15">
        <f t="shared" si="137"/>
        <v>1.0952118458818834</v>
      </c>
      <c r="BA127" s="15"/>
      <c r="BB127" s="15"/>
      <c r="BC127" s="15"/>
      <c r="BD127" s="1">
        <f t="shared" si="84"/>
        <v>0</v>
      </c>
    </row>
    <row r="128" spans="1:56" ht="15.75" thickBot="1" x14ac:dyDescent="0.25">
      <c r="A128" s="13"/>
      <c r="B128" s="8" t="s">
        <v>37</v>
      </c>
      <c r="C128" s="39">
        <v>22</v>
      </c>
      <c r="D128" s="55">
        <v>830.86</v>
      </c>
      <c r="E128" s="55">
        <v>48.371899999999997</v>
      </c>
      <c r="F128" s="55">
        <v>50.153500000000001</v>
      </c>
      <c r="G128" s="55">
        <v>51.168599999999998</v>
      </c>
      <c r="H128" s="55">
        <v>0.99875860000000005</v>
      </c>
      <c r="I128" s="55">
        <v>0.99879390000000001</v>
      </c>
      <c r="J128" s="55">
        <v>0.99891039999999998</v>
      </c>
      <c r="K128" s="55">
        <v>127.925</v>
      </c>
      <c r="L128" s="55">
        <v>0.16900000000000001</v>
      </c>
      <c r="M128" s="10">
        <v>0</v>
      </c>
      <c r="N128" s="11">
        <f t="shared" si="76"/>
        <v>3.5534722222222224E-2</v>
      </c>
      <c r="P128" s="60">
        <v>830.42</v>
      </c>
      <c r="Q128" s="60">
        <v>48.4116</v>
      </c>
      <c r="R128" s="60">
        <v>50.218299999999999</v>
      </c>
      <c r="S128" s="60">
        <v>51.305100000000003</v>
      </c>
      <c r="T128" s="60">
        <v>0.9987646</v>
      </c>
      <c r="U128" s="60">
        <v>0.99885279999999999</v>
      </c>
      <c r="V128" s="60">
        <v>0.99894590000000005</v>
      </c>
      <c r="W128" s="60">
        <v>140.75899999999999</v>
      </c>
      <c r="X128" s="60">
        <v>0.20300000000000001</v>
      </c>
      <c r="Y128" s="10">
        <v>0</v>
      </c>
      <c r="Z128" s="11">
        <f t="shared" si="77"/>
        <v>3.9099722222222216E-2</v>
      </c>
      <c r="AA128" s="10">
        <f t="shared" si="78"/>
        <v>1.1003244088333006</v>
      </c>
      <c r="AB128" s="15">
        <f t="shared" si="134"/>
        <v>1.2011834319526626</v>
      </c>
      <c r="AC128" s="15" t="e">
        <f t="shared" si="134"/>
        <v>#DIV/0!</v>
      </c>
      <c r="AD128" s="11">
        <f t="shared" si="79"/>
        <v>5.2957176901048859E-4</v>
      </c>
      <c r="AE128" s="12"/>
      <c r="AF128" s="25">
        <f t="shared" ref="AF128:AK128" si="148">bdRateExtend($D128:$D132,E128:E132,$P128:$P132,Q128:Q132)</f>
        <v>-2.9507220820017555E-3</v>
      </c>
      <c r="AG128" s="30">
        <f t="shared" si="148"/>
        <v>-5.9647290665000297E-3</v>
      </c>
      <c r="AH128" s="31">
        <f t="shared" si="148"/>
        <v>1.9000333224654664E-3</v>
      </c>
      <c r="AI128" s="25">
        <f t="shared" si="148"/>
        <v>4.5643156048138511E-3</v>
      </c>
      <c r="AJ128" s="30">
        <f t="shared" si="148"/>
        <v>-2.8215526225564558E-2</v>
      </c>
      <c r="AK128" s="30">
        <f t="shared" si="148"/>
        <v>-1.0673847215991628E-2</v>
      </c>
      <c r="AL128" s="45"/>
      <c r="AM128" s="46"/>
      <c r="AN128" s="47"/>
      <c r="AO128" s="46"/>
      <c r="AP128" s="46"/>
      <c r="AQ128" s="47"/>
      <c r="AR128" s="30">
        <f t="shared" ref="AR128:AW128" si="149">bdrate($D128:$D131,E128:E131,$P128:$P131,Q128:Q131)</f>
        <v>-1.8926095218648742E-3</v>
      </c>
      <c r="AS128" s="30">
        <f t="shared" si="149"/>
        <v>1.0025739115795407E-3</v>
      </c>
      <c r="AT128" s="31">
        <f t="shared" si="149"/>
        <v>-1.9215038807317564E-3</v>
      </c>
      <c r="AU128" s="25">
        <f t="shared" si="149"/>
        <v>1.6814000037990162E-4</v>
      </c>
      <c r="AV128" s="30">
        <f t="shared" si="149"/>
        <v>1.6162870163307863E-2</v>
      </c>
      <c r="AW128" s="31">
        <f t="shared" si="149"/>
        <v>-1.5179460678125589E-2</v>
      </c>
      <c r="AX128" s="15"/>
      <c r="AY128" s="15"/>
      <c r="AZ128" s="15"/>
      <c r="BA128" s="15">
        <f>V128/J128</f>
        <v>1.0000355387229927</v>
      </c>
      <c r="BB128" s="15">
        <f t="shared" ref="BB128:BB131" si="150">X128/L128</f>
        <v>1.2011834319526626</v>
      </c>
      <c r="BC128" s="15">
        <f t="shared" si="133"/>
        <v>1.1003244088333006</v>
      </c>
      <c r="BD128" s="1">
        <f t="shared" si="84"/>
        <v>1</v>
      </c>
    </row>
    <row r="129" spans="1:56" ht="15.75" thickBot="1" x14ac:dyDescent="0.25">
      <c r="A129" s="13"/>
      <c r="B129" s="13"/>
      <c r="C129" s="43">
        <v>27</v>
      </c>
      <c r="D129" s="55">
        <v>588.34</v>
      </c>
      <c r="E129" s="55">
        <v>45.082700000000003</v>
      </c>
      <c r="F129" s="55">
        <v>46.841099999999997</v>
      </c>
      <c r="G129" s="55">
        <v>48.142600000000002</v>
      </c>
      <c r="H129" s="55">
        <v>0.99735339999999995</v>
      </c>
      <c r="I129" s="55">
        <v>0.99746250000000003</v>
      </c>
      <c r="J129" s="55">
        <v>0.99792449999999999</v>
      </c>
      <c r="K129" s="55">
        <v>95.745999999999995</v>
      </c>
      <c r="L129" s="55">
        <v>0.16</v>
      </c>
      <c r="M129" s="15">
        <v>0</v>
      </c>
      <c r="N129" s="16">
        <f t="shared" si="76"/>
        <v>2.6596111111111109E-2</v>
      </c>
      <c r="P129" s="60">
        <v>587.20000000000005</v>
      </c>
      <c r="Q129" s="60">
        <v>45.106000000000002</v>
      </c>
      <c r="R129" s="60">
        <v>46.805300000000003</v>
      </c>
      <c r="S129" s="60">
        <v>47.997199999999999</v>
      </c>
      <c r="T129" s="60">
        <v>0.9973419</v>
      </c>
      <c r="U129" s="60">
        <v>0.99749860000000001</v>
      </c>
      <c r="V129" s="60">
        <v>0.99785740000000001</v>
      </c>
      <c r="W129" s="60">
        <v>101.087</v>
      </c>
      <c r="X129" s="60">
        <v>0.18</v>
      </c>
      <c r="Y129" s="15">
        <v>0</v>
      </c>
      <c r="Z129" s="16">
        <f t="shared" si="77"/>
        <v>2.8079722222222225E-2</v>
      </c>
      <c r="AA129" s="10">
        <f t="shared" si="78"/>
        <v>1.0557830092118732</v>
      </c>
      <c r="AB129" s="15">
        <f t="shared" si="134"/>
        <v>1.125</v>
      </c>
      <c r="AC129" s="15" t="e">
        <f t="shared" si="134"/>
        <v>#DIV/0!</v>
      </c>
      <c r="AD129" s="16">
        <f t="shared" si="79"/>
        <v>1.9376550973926408E-3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-2.1293322641464663E-3</v>
      </c>
      <c r="AM129" s="21">
        <f>bdrate($D129:$D132,F129:F132,$P129:$P132,R129:R132)</f>
        <v>-6.4745934711014641E-3</v>
      </c>
      <c r="AN129" s="36">
        <f t="shared" ref="AN129" si="151">bdrate($D129:$D132,G129:G132,$P129:$P132,S129:S132)</f>
        <v>-5.5900241092669001E-3</v>
      </c>
      <c r="AO129" s="26">
        <f>bdrate($D129:$D132,H129:H132,$P129:$P132,T129:T132)</f>
        <v>5.0850522011620658E-3</v>
      </c>
      <c r="AP129" s="21">
        <f>bdrate($D129:$D132,I129:I132,$P129:$P132,U129:U132)</f>
        <v>-2.8388320230392394E-2</v>
      </c>
      <c r="AQ129" s="36">
        <f>bdrate($D129:$D132,J129:J132,$P129:$P132,V129:V132)</f>
        <v>-1.6727534095044572E-2</v>
      </c>
      <c r="AR129" s="21"/>
      <c r="AS129" s="21"/>
      <c r="AT129" s="36"/>
      <c r="AU129" s="26"/>
      <c r="AV129" s="21"/>
      <c r="AW129" s="36"/>
      <c r="AX129" s="15">
        <f>V129/J129</f>
        <v>0.99993276044430213</v>
      </c>
      <c r="AY129" s="15">
        <f t="shared" ref="AY129:AY132" si="152">X129/L129</f>
        <v>1.125</v>
      </c>
      <c r="AZ129" s="15">
        <f t="shared" si="137"/>
        <v>1.0557830092118732</v>
      </c>
      <c r="BA129" s="15">
        <f>V129/J129</f>
        <v>0.99993276044430213</v>
      </c>
      <c r="BB129" s="15">
        <f t="shared" si="150"/>
        <v>1.125</v>
      </c>
      <c r="BC129" s="15">
        <f t="shared" si="133"/>
        <v>1.0557830092118732</v>
      </c>
      <c r="BD129" s="1">
        <f t="shared" si="84"/>
        <v>0</v>
      </c>
    </row>
    <row r="130" spans="1:56" ht="15.75" thickBot="1" x14ac:dyDescent="0.25">
      <c r="A130" s="13"/>
      <c r="B130" s="13"/>
      <c r="C130" s="43">
        <v>32</v>
      </c>
      <c r="D130" s="55">
        <v>432.76</v>
      </c>
      <c r="E130" s="55">
        <v>41.683500000000002</v>
      </c>
      <c r="F130" s="55">
        <v>44.2622</v>
      </c>
      <c r="G130" s="55">
        <v>45.218899999999998</v>
      </c>
      <c r="H130" s="55">
        <v>0.99539920000000004</v>
      </c>
      <c r="I130" s="55">
        <v>0.99608669999999999</v>
      </c>
      <c r="J130" s="55">
        <v>0.99627469999999996</v>
      </c>
      <c r="K130" s="55">
        <v>83.462999999999994</v>
      </c>
      <c r="L130" s="55">
        <v>0.158</v>
      </c>
      <c r="M130" s="15">
        <v>0</v>
      </c>
      <c r="N130" s="16">
        <f t="shared" si="76"/>
        <v>2.3184166666666665E-2</v>
      </c>
      <c r="P130" s="60">
        <v>431.96</v>
      </c>
      <c r="Q130" s="60">
        <v>41.635100000000001</v>
      </c>
      <c r="R130" s="60">
        <v>44.164299999999997</v>
      </c>
      <c r="S130" s="60">
        <v>45.397199999999998</v>
      </c>
      <c r="T130" s="60">
        <v>0.99539480000000002</v>
      </c>
      <c r="U130" s="60">
        <v>0.99569750000000001</v>
      </c>
      <c r="V130" s="60">
        <v>0.99646089999999998</v>
      </c>
      <c r="W130" s="60">
        <v>82.239000000000004</v>
      </c>
      <c r="X130" s="60">
        <v>0.154</v>
      </c>
      <c r="Y130" s="15">
        <v>0</v>
      </c>
      <c r="Z130" s="16">
        <f t="shared" si="77"/>
        <v>2.2844166666666669E-2</v>
      </c>
      <c r="AA130" s="10">
        <f t="shared" si="78"/>
        <v>0.98533481902160247</v>
      </c>
      <c r="AB130" s="15">
        <f t="shared" si="134"/>
        <v>0.97468354430379744</v>
      </c>
      <c r="AC130" s="15" t="e">
        <f t="shared" si="134"/>
        <v>#DIV/0!</v>
      </c>
      <c r="AD130" s="16">
        <f t="shared" si="79"/>
        <v>1.8485996857380796E-3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>
        <f>V130/J130</f>
        <v>1.0001868962445799</v>
      </c>
      <c r="AY130" s="15">
        <f t="shared" si="152"/>
        <v>0.97468354430379744</v>
      </c>
      <c r="AZ130" s="15">
        <f t="shared" si="137"/>
        <v>0.98533481902160258</v>
      </c>
      <c r="BA130" s="15">
        <f>V130/J130</f>
        <v>1.0001868962445799</v>
      </c>
      <c r="BB130" s="15">
        <f t="shared" si="150"/>
        <v>0.97468354430379744</v>
      </c>
      <c r="BC130" s="15">
        <f t="shared" si="133"/>
        <v>0.98533481902160258</v>
      </c>
      <c r="BD130" s="1">
        <f t="shared" si="84"/>
        <v>0</v>
      </c>
    </row>
    <row r="131" spans="1:56" ht="15.75" thickBot="1" x14ac:dyDescent="0.25">
      <c r="A131" s="13"/>
      <c r="B131" s="13"/>
      <c r="C131" s="43">
        <v>37</v>
      </c>
      <c r="D131" s="55">
        <v>318.45999999999998</v>
      </c>
      <c r="E131" s="55">
        <v>37.570599999999999</v>
      </c>
      <c r="F131" s="55">
        <v>42.1678</v>
      </c>
      <c r="G131" s="55">
        <v>43.664400000000001</v>
      </c>
      <c r="H131" s="55">
        <v>0.99175849999999999</v>
      </c>
      <c r="I131" s="55">
        <v>0.99302619999999997</v>
      </c>
      <c r="J131" s="55">
        <v>0.99492290000000005</v>
      </c>
      <c r="K131" s="55">
        <v>63.789000000000001</v>
      </c>
      <c r="L131" s="55">
        <v>0.152</v>
      </c>
      <c r="M131" s="15">
        <v>0</v>
      </c>
      <c r="N131" s="16">
        <f t="shared" ref="N131:N152" si="153">K131/3600</f>
        <v>1.7719166666666668E-2</v>
      </c>
      <c r="P131" s="60">
        <v>317.77999999999997</v>
      </c>
      <c r="Q131" s="60">
        <v>37.619</v>
      </c>
      <c r="R131" s="60">
        <v>42.311500000000002</v>
      </c>
      <c r="S131" s="60">
        <v>43.518500000000003</v>
      </c>
      <c r="T131" s="60">
        <v>0.99161999999999995</v>
      </c>
      <c r="U131" s="60">
        <v>0.99373679999999998</v>
      </c>
      <c r="V131" s="60">
        <v>0.99498640000000005</v>
      </c>
      <c r="W131" s="60">
        <v>70.953999999999994</v>
      </c>
      <c r="X131" s="60">
        <v>0.14199999999999999</v>
      </c>
      <c r="Y131" s="15">
        <v>0</v>
      </c>
      <c r="Z131" s="16">
        <f t="shared" si="77"/>
        <v>1.9709444444444443E-2</v>
      </c>
      <c r="AA131" s="10">
        <f t="shared" si="78"/>
        <v>1.1123234413456864</v>
      </c>
      <c r="AB131" s="15">
        <f t="shared" si="134"/>
        <v>0.93421052631578938</v>
      </c>
      <c r="AC131" s="15" t="e">
        <f t="shared" si="134"/>
        <v>#DIV/0!</v>
      </c>
      <c r="AD131" s="16">
        <f t="shared" si="79"/>
        <v>2.1352760158261852E-3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>
        <f>V131/J131</f>
        <v>1.0000638240410387</v>
      </c>
      <c r="AY131" s="15">
        <f t="shared" si="152"/>
        <v>0.93421052631578938</v>
      </c>
      <c r="AZ131" s="15">
        <f t="shared" si="137"/>
        <v>1.1123234413456864</v>
      </c>
      <c r="BA131" s="15">
        <f>V131/J131</f>
        <v>1.0000638240410387</v>
      </c>
      <c r="BB131" s="15">
        <f t="shared" si="150"/>
        <v>0.93421052631578938</v>
      </c>
      <c r="BC131" s="15">
        <f t="shared" si="133"/>
        <v>1.1123234413456864</v>
      </c>
      <c r="BD131" s="1">
        <f t="shared" si="84"/>
        <v>0</v>
      </c>
    </row>
    <row r="132" spans="1:56" ht="15.75" thickBot="1" x14ac:dyDescent="0.25">
      <c r="A132" s="17"/>
      <c r="B132" s="17"/>
      <c r="C132" s="44">
        <v>42</v>
      </c>
      <c r="D132" s="55">
        <v>228.22</v>
      </c>
      <c r="E132" s="55">
        <v>33.734499999999997</v>
      </c>
      <c r="F132" s="55">
        <v>39.915999999999997</v>
      </c>
      <c r="G132" s="55">
        <v>41.558799999999998</v>
      </c>
      <c r="H132" s="55">
        <v>0.98437010000000003</v>
      </c>
      <c r="I132" s="55">
        <v>0.9896431</v>
      </c>
      <c r="J132" s="55">
        <v>0.99251029999999996</v>
      </c>
      <c r="K132" s="55">
        <v>53.734999999999999</v>
      </c>
      <c r="L132" s="55">
        <v>0.14199999999999999</v>
      </c>
      <c r="M132" s="19">
        <v>0</v>
      </c>
      <c r="N132" s="20">
        <f t="shared" si="153"/>
        <v>1.4926388888888888E-2</v>
      </c>
      <c r="P132" s="60">
        <v>226.72</v>
      </c>
      <c r="Q132" s="60">
        <v>33.665199999999999</v>
      </c>
      <c r="R132" s="60">
        <v>40.049300000000002</v>
      </c>
      <c r="S132" s="60">
        <v>41.635100000000001</v>
      </c>
      <c r="T132" s="60">
        <v>0.98391450000000003</v>
      </c>
      <c r="U132" s="60">
        <v>0.98975880000000005</v>
      </c>
      <c r="V132" s="60">
        <v>0.99248919999999996</v>
      </c>
      <c r="W132" s="60">
        <v>57.155000000000001</v>
      </c>
      <c r="X132" s="60">
        <v>0.15</v>
      </c>
      <c r="Y132" s="19">
        <v>0</v>
      </c>
      <c r="Z132" s="20">
        <f t="shared" ref="Z132:Z152" si="154">W132/3600</f>
        <v>1.5876388888888888E-2</v>
      </c>
      <c r="AA132" s="10">
        <f t="shared" ref="AA132" si="155">W132/K132</f>
        <v>1.0636456685586675</v>
      </c>
      <c r="AB132" s="19">
        <f t="shared" si="134"/>
        <v>1.0563380281690142</v>
      </c>
      <c r="AC132" s="19" t="e">
        <f t="shared" si="134"/>
        <v>#DIV/0!</v>
      </c>
      <c r="AD132" s="20">
        <f t="shared" ref="AD132:AD152" si="156">ABS(P132-D132)/D132</f>
        <v>6.5726053807729388E-3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>
        <f>V132/J132</f>
        <v>0.99997874077478088</v>
      </c>
      <c r="AY132" s="19">
        <f t="shared" si="152"/>
        <v>1.0563380281690142</v>
      </c>
      <c r="AZ132" s="19">
        <f t="shared" si="137"/>
        <v>1.0636456685586675</v>
      </c>
      <c r="BA132" s="19"/>
      <c r="BB132" s="19"/>
      <c r="BC132" s="19"/>
      <c r="BD132" s="1">
        <f t="shared" ref="BD132:BD152" si="157">IF((((AF132&lt;0)*AND(AL133&lt;0)*AND(AR132&lt;0))),1,0)</f>
        <v>0</v>
      </c>
    </row>
    <row r="133" spans="1:56" x14ac:dyDescent="0.2">
      <c r="A133" s="8" t="s">
        <v>64</v>
      </c>
      <c r="B133" s="8" t="s">
        <v>65</v>
      </c>
      <c r="C133" s="39">
        <v>22</v>
      </c>
      <c r="D133" s="9">
        <v>0</v>
      </c>
      <c r="E133" s="10">
        <v>0</v>
      </c>
      <c r="F133" s="10">
        <v>0</v>
      </c>
      <c r="G133" s="10">
        <v>0</v>
      </c>
      <c r="H133" s="10">
        <v>0</v>
      </c>
      <c r="I133" s="10">
        <v>0</v>
      </c>
      <c r="J133" s="10">
        <v>0</v>
      </c>
      <c r="K133" s="10">
        <v>0</v>
      </c>
      <c r="L133" s="10">
        <v>0</v>
      </c>
      <c r="M133" s="10">
        <v>0</v>
      </c>
      <c r="N133" s="11">
        <f t="shared" si="153"/>
        <v>0</v>
      </c>
      <c r="P133" s="9">
        <v>0</v>
      </c>
      <c r="Q133" s="10">
        <v>0</v>
      </c>
      <c r="R133" s="10">
        <v>0</v>
      </c>
      <c r="S133" s="10">
        <v>0</v>
      </c>
      <c r="T133" s="10">
        <v>0</v>
      </c>
      <c r="U133" s="50">
        <v>0</v>
      </c>
      <c r="V133" s="10">
        <v>0</v>
      </c>
      <c r="W133" s="10">
        <v>0</v>
      </c>
      <c r="X133" s="10">
        <v>0</v>
      </c>
      <c r="Y133" s="10">
        <v>0</v>
      </c>
      <c r="Z133" s="11">
        <f t="shared" si="154"/>
        <v>0</v>
      </c>
      <c r="AA133" s="10" t="e">
        <f t="shared" ref="AA133:AA152" si="158">V133/J133</f>
        <v>#DIV/0!</v>
      </c>
      <c r="AB133" s="10" t="e">
        <f>X133/L133</f>
        <v>#DIV/0!</v>
      </c>
      <c r="AC133" s="10" t="e">
        <f>Y133/M133</f>
        <v>#DIV/0!</v>
      </c>
      <c r="AD133" s="11" t="e">
        <f t="shared" si="156"/>
        <v>#DIV/0!</v>
      </c>
      <c r="AE133" s="40"/>
      <c r="AF133" s="25" t="e">
        <f t="shared" ref="AF133" si="159">bdRateExtend($D133:$D137,E133:E137,$P133:$P137,Q133:Q137)</f>
        <v>#VALUE!</v>
      </c>
      <c r="AG133" s="30" t="e">
        <f t="shared" ref="AG133" si="160">bdRateExtend($D133:$D137,F133:F137,$P133:$P137,R133:R137)</f>
        <v>#VALUE!</v>
      </c>
      <c r="AH133" s="31" t="e">
        <f t="shared" ref="AH133" si="161">bdRateExtend($D133:$D137,G133:G137,$P133:$P137,S133:S137)</f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" si="162">bdrate($D133:$D136,F133:F136,$P133:$P136,R133:R136)</f>
        <v>#VALUE!</v>
      </c>
      <c r="AT133" s="31" t="e">
        <f t="shared" ref="AT133" si="163">bdrate($D133:$D136,G133:G136,$P133:$P136,S133:S136)</f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#DIV/0!</v>
      </c>
      <c r="BB133" s="10" t="e">
        <f t="shared" ref="BB133:BB136" si="164">X133/L133</f>
        <v>#DIV/0!</v>
      </c>
      <c r="BC133" s="10" t="e">
        <f t="shared" si="133"/>
        <v>#DIV/0!</v>
      </c>
      <c r="BD133" s="1" t="e">
        <f t="shared" si="157"/>
        <v>#VALUE!</v>
      </c>
    </row>
    <row r="134" spans="1:56" x14ac:dyDescent="0.2">
      <c r="A134" s="13"/>
      <c r="B134" s="13"/>
      <c r="C134" s="43">
        <v>27</v>
      </c>
      <c r="D134" s="14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6">
        <f t="shared" si="153"/>
        <v>0</v>
      </c>
      <c r="P134" s="14">
        <v>0</v>
      </c>
      <c r="Q134" s="15">
        <v>0</v>
      </c>
      <c r="R134" s="15">
        <v>0</v>
      </c>
      <c r="S134" s="15">
        <v>0</v>
      </c>
      <c r="T134" s="15">
        <v>0</v>
      </c>
      <c r="U134" s="51">
        <v>0</v>
      </c>
      <c r="V134" s="15">
        <v>0</v>
      </c>
      <c r="W134" s="15">
        <v>0</v>
      </c>
      <c r="X134" s="15">
        <v>0</v>
      </c>
      <c r="Y134" s="15">
        <v>0</v>
      </c>
      <c r="Z134" s="16">
        <f t="shared" si="154"/>
        <v>0</v>
      </c>
      <c r="AA134" s="15" t="e">
        <f t="shared" si="158"/>
        <v>#DIV/0!</v>
      </c>
      <c r="AB134" s="15" t="e">
        <f t="shared" ref="AB134:AC152" si="165">X134/L134</f>
        <v>#DIV/0!</v>
      </c>
      <c r="AC134" s="15" t="e">
        <f t="shared" si="165"/>
        <v>#DIV/0!</v>
      </c>
      <c r="AD134" s="16" t="e">
        <f t="shared" si="156"/>
        <v>#DIV/0!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66">bdrate($D134:$D137,E134:E137,$P134:$P137,Q134:Q137)</f>
        <v>#VALUE!</v>
      </c>
      <c r="AM134" s="21" t="e">
        <f t="shared" si="166"/>
        <v>#VALUE!</v>
      </c>
      <c r="AN134" s="36" t="e">
        <f t="shared" si="166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#DIV/0!</v>
      </c>
      <c r="AY134" s="15" t="e">
        <f t="shared" ref="AY134:AY137" si="167">X134/L134</f>
        <v>#DIV/0!</v>
      </c>
      <c r="AZ134" s="15" t="e">
        <f t="shared" si="137"/>
        <v>#DIV/0!</v>
      </c>
      <c r="BA134" s="15" t="e">
        <f>V134/J134</f>
        <v>#DIV/0!</v>
      </c>
      <c r="BB134" s="15" t="e">
        <f t="shared" si="164"/>
        <v>#DIV/0!</v>
      </c>
      <c r="BC134" s="15" t="e">
        <f t="shared" si="133"/>
        <v>#DIV/0!</v>
      </c>
      <c r="BD134" s="1">
        <f t="shared" si="157"/>
        <v>0</v>
      </c>
    </row>
    <row r="135" spans="1:56" x14ac:dyDescent="0.2">
      <c r="A135" s="13"/>
      <c r="B135" s="13"/>
      <c r="C135" s="43">
        <v>32</v>
      </c>
      <c r="D135" s="14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6">
        <f t="shared" si="153"/>
        <v>0</v>
      </c>
      <c r="P135" s="14">
        <v>0</v>
      </c>
      <c r="Q135" s="15">
        <v>0</v>
      </c>
      <c r="R135" s="15">
        <v>0</v>
      </c>
      <c r="S135" s="15">
        <v>0</v>
      </c>
      <c r="T135" s="15">
        <v>0</v>
      </c>
      <c r="U135" s="51">
        <v>0</v>
      </c>
      <c r="V135" s="15">
        <v>0</v>
      </c>
      <c r="W135" s="15">
        <v>0</v>
      </c>
      <c r="X135" s="15">
        <v>0</v>
      </c>
      <c r="Y135" s="15">
        <v>0</v>
      </c>
      <c r="Z135" s="16">
        <f t="shared" si="154"/>
        <v>0</v>
      </c>
      <c r="AA135" s="15" t="e">
        <f t="shared" si="158"/>
        <v>#DIV/0!</v>
      </c>
      <c r="AB135" s="15" t="e">
        <f t="shared" si="165"/>
        <v>#DIV/0!</v>
      </c>
      <c r="AC135" s="15" t="e">
        <f t="shared" si="165"/>
        <v>#DIV/0!</v>
      </c>
      <c r="AD135" s="16" t="e">
        <f t="shared" si="156"/>
        <v>#DIV/0!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#DIV/0!</v>
      </c>
      <c r="AY135" s="15" t="e">
        <f t="shared" si="167"/>
        <v>#DIV/0!</v>
      </c>
      <c r="AZ135" s="15" t="e">
        <f t="shared" si="137"/>
        <v>#DIV/0!</v>
      </c>
      <c r="BA135" s="15" t="e">
        <f>V135/J135</f>
        <v>#DIV/0!</v>
      </c>
      <c r="BB135" s="15" t="e">
        <f t="shared" si="164"/>
        <v>#DIV/0!</v>
      </c>
      <c r="BC135" s="15" t="e">
        <f t="shared" si="133"/>
        <v>#DIV/0!</v>
      </c>
      <c r="BD135" s="1">
        <f t="shared" si="157"/>
        <v>0</v>
      </c>
    </row>
    <row r="136" spans="1:56" x14ac:dyDescent="0.2">
      <c r="A136" s="13"/>
      <c r="B136" s="13"/>
      <c r="C136" s="43">
        <v>37</v>
      </c>
      <c r="D136" s="14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6">
        <f t="shared" si="153"/>
        <v>0</v>
      </c>
      <c r="P136" s="14">
        <v>0</v>
      </c>
      <c r="Q136" s="15">
        <v>0</v>
      </c>
      <c r="R136" s="15">
        <v>0</v>
      </c>
      <c r="S136" s="15">
        <v>0</v>
      </c>
      <c r="T136" s="15">
        <v>0</v>
      </c>
      <c r="U136" s="51">
        <v>0</v>
      </c>
      <c r="V136" s="15">
        <v>0</v>
      </c>
      <c r="W136" s="15">
        <v>0</v>
      </c>
      <c r="X136" s="15">
        <v>0</v>
      </c>
      <c r="Y136" s="15">
        <v>0</v>
      </c>
      <c r="Z136" s="16">
        <f t="shared" si="154"/>
        <v>0</v>
      </c>
      <c r="AA136" s="15" t="e">
        <f t="shared" si="158"/>
        <v>#DIV/0!</v>
      </c>
      <c r="AB136" s="15" t="e">
        <f t="shared" si="165"/>
        <v>#DIV/0!</v>
      </c>
      <c r="AC136" s="15" t="e">
        <f t="shared" si="165"/>
        <v>#DIV/0!</v>
      </c>
      <c r="AD136" s="16" t="e">
        <f t="shared" si="156"/>
        <v>#DIV/0!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#DIV/0!</v>
      </c>
      <c r="AY136" s="15" t="e">
        <f t="shared" si="167"/>
        <v>#DIV/0!</v>
      </c>
      <c r="AZ136" s="15" t="e">
        <f t="shared" si="137"/>
        <v>#DIV/0!</v>
      </c>
      <c r="BA136" s="15" t="e">
        <f>V136/J136</f>
        <v>#DIV/0!</v>
      </c>
      <c r="BB136" s="15" t="e">
        <f t="shared" si="164"/>
        <v>#DIV/0!</v>
      </c>
      <c r="BC136" s="15" t="e">
        <f t="shared" si="133"/>
        <v>#DIV/0!</v>
      </c>
      <c r="BD136" s="1">
        <f t="shared" si="157"/>
        <v>0</v>
      </c>
    </row>
    <row r="137" spans="1:56" ht="12.75" thickBot="1" x14ac:dyDescent="0.25">
      <c r="A137" s="13"/>
      <c r="B137" s="17"/>
      <c r="C137" s="44">
        <v>42</v>
      </c>
      <c r="D137" s="18">
        <v>0</v>
      </c>
      <c r="E137" s="19">
        <v>0</v>
      </c>
      <c r="F137" s="19">
        <v>0</v>
      </c>
      <c r="G137" s="19">
        <v>0</v>
      </c>
      <c r="H137" s="19">
        <v>0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20">
        <f t="shared" si="153"/>
        <v>0</v>
      </c>
      <c r="P137" s="18">
        <v>0</v>
      </c>
      <c r="Q137" s="19">
        <v>0</v>
      </c>
      <c r="R137" s="19">
        <v>0</v>
      </c>
      <c r="S137" s="19">
        <v>0</v>
      </c>
      <c r="T137" s="19">
        <v>0</v>
      </c>
      <c r="U137" s="52">
        <v>0</v>
      </c>
      <c r="V137" s="19">
        <v>0</v>
      </c>
      <c r="W137" s="19">
        <v>0</v>
      </c>
      <c r="X137" s="19">
        <v>0</v>
      </c>
      <c r="Y137" s="19">
        <v>0</v>
      </c>
      <c r="Z137" s="20">
        <f t="shared" si="154"/>
        <v>0</v>
      </c>
      <c r="AA137" s="15" t="e">
        <f t="shared" si="158"/>
        <v>#DIV/0!</v>
      </c>
      <c r="AB137" s="15" t="e">
        <f t="shared" si="165"/>
        <v>#DIV/0!</v>
      </c>
      <c r="AC137" s="15" t="e">
        <f t="shared" si="165"/>
        <v>#DIV/0!</v>
      </c>
      <c r="AD137" s="20" t="e">
        <f t="shared" si="156"/>
        <v>#DIV/0!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#DIV/0!</v>
      </c>
      <c r="AY137" s="15" t="e">
        <f t="shared" si="167"/>
        <v>#DIV/0!</v>
      </c>
      <c r="AZ137" s="15" t="e">
        <f t="shared" si="137"/>
        <v>#DIV/0!</v>
      </c>
      <c r="BA137" s="15"/>
      <c r="BB137" s="15"/>
      <c r="BC137" s="15"/>
      <c r="BD137" s="1">
        <f t="shared" si="157"/>
        <v>0</v>
      </c>
    </row>
    <row r="138" spans="1:56" x14ac:dyDescent="0.2">
      <c r="A138" s="13"/>
      <c r="B138" s="8" t="s">
        <v>66</v>
      </c>
      <c r="C138" s="39">
        <v>22</v>
      </c>
      <c r="D138" s="9">
        <v>0</v>
      </c>
      <c r="E138" s="10">
        <v>0</v>
      </c>
      <c r="F138" s="10">
        <v>0</v>
      </c>
      <c r="G138" s="10">
        <v>0</v>
      </c>
      <c r="H138" s="10">
        <v>0</v>
      </c>
      <c r="I138" s="10">
        <v>0</v>
      </c>
      <c r="J138" s="10">
        <v>0</v>
      </c>
      <c r="K138" s="10">
        <v>0</v>
      </c>
      <c r="L138" s="10">
        <v>0</v>
      </c>
      <c r="M138" s="10">
        <v>0</v>
      </c>
      <c r="N138" s="11">
        <f t="shared" si="153"/>
        <v>0</v>
      </c>
      <c r="P138" s="9">
        <v>0</v>
      </c>
      <c r="Q138" s="10">
        <v>0</v>
      </c>
      <c r="R138" s="10">
        <v>0</v>
      </c>
      <c r="S138" s="10">
        <v>0</v>
      </c>
      <c r="T138" s="10">
        <v>0</v>
      </c>
      <c r="U138" s="50">
        <v>0</v>
      </c>
      <c r="V138" s="10">
        <v>0</v>
      </c>
      <c r="W138" s="10">
        <v>0</v>
      </c>
      <c r="X138" s="10">
        <v>0</v>
      </c>
      <c r="Y138" s="10">
        <v>0</v>
      </c>
      <c r="Z138" s="11">
        <f t="shared" si="154"/>
        <v>0</v>
      </c>
      <c r="AA138" s="15" t="e">
        <f t="shared" si="158"/>
        <v>#DIV/0!</v>
      </c>
      <c r="AB138" s="15" t="e">
        <f t="shared" si="165"/>
        <v>#DIV/0!</v>
      </c>
      <c r="AC138" s="15" t="e">
        <f t="shared" si="165"/>
        <v>#DIV/0!</v>
      </c>
      <c r="AD138" s="11" t="e">
        <f t="shared" si="156"/>
        <v>#DIV/0!</v>
      </c>
      <c r="AE138" s="12"/>
      <c r="AF138" s="25" t="e">
        <f t="shared" ref="AF138" si="168">bdRateExtend($D138:$D142,E138:E142,$P138:$P142,Q138:Q142)</f>
        <v>#VALUE!</v>
      </c>
      <c r="AG138" s="30" t="e">
        <f t="shared" ref="AG138" si="169">bdRateExtend($D138:$D142,F138:F142,$P138:$P142,R138:R142)</f>
        <v>#VALUE!</v>
      </c>
      <c r="AH138" s="31" t="e">
        <f t="shared" ref="AH138" si="170">bdRateExtend($D138:$D142,G138:G142,$P138:$P142,S138:S142)</f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" si="171">bdrate($D138:$D141,E138:E141,$P138:$P141,Q138:Q141)</f>
        <v>#VALUE!</v>
      </c>
      <c r="AS138" s="30" t="e">
        <f t="shared" ref="AS138" si="172">bdrate($D138:$D141,F138:F141,$P138:$P141,R138:R141)</f>
        <v>#VALUE!</v>
      </c>
      <c r="AT138" s="31" t="e">
        <f t="shared" ref="AT138" si="173">bdrate($D138:$D141,G138:G141,$P138:$P141,S138:S141)</f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#DIV/0!</v>
      </c>
      <c r="BB138" s="15" t="e">
        <f t="shared" ref="BB138:BB141" si="174">X138/L138</f>
        <v>#DIV/0!</v>
      </c>
      <c r="BC138" s="15" t="e">
        <f t="shared" si="133"/>
        <v>#DIV/0!</v>
      </c>
      <c r="BD138" s="1" t="e">
        <f t="shared" si="157"/>
        <v>#VALUE!</v>
      </c>
    </row>
    <row r="139" spans="1:56" x14ac:dyDescent="0.2">
      <c r="A139" s="13"/>
      <c r="B139" s="13"/>
      <c r="C139" s="43">
        <v>27</v>
      </c>
      <c r="D139" s="14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6">
        <f t="shared" si="153"/>
        <v>0</v>
      </c>
      <c r="P139" s="14">
        <v>0</v>
      </c>
      <c r="Q139" s="15">
        <v>0</v>
      </c>
      <c r="R139" s="15">
        <v>0</v>
      </c>
      <c r="S139" s="15">
        <v>0</v>
      </c>
      <c r="T139" s="15">
        <v>0</v>
      </c>
      <c r="U139" s="51">
        <v>0</v>
      </c>
      <c r="V139" s="15">
        <v>0</v>
      </c>
      <c r="W139" s="15">
        <v>0</v>
      </c>
      <c r="X139" s="15">
        <v>0</v>
      </c>
      <c r="Y139" s="15">
        <v>0</v>
      </c>
      <c r="Z139" s="16">
        <f t="shared" si="154"/>
        <v>0</v>
      </c>
      <c r="AA139" s="15" t="e">
        <f t="shared" si="158"/>
        <v>#DIV/0!</v>
      </c>
      <c r="AB139" s="15" t="e">
        <f t="shared" si="165"/>
        <v>#DIV/0!</v>
      </c>
      <c r="AC139" s="15" t="e">
        <f t="shared" si="165"/>
        <v>#DIV/0!</v>
      </c>
      <c r="AD139" s="16" t="e">
        <f t="shared" si="156"/>
        <v>#DIV/0!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75">bdrate($D139:$D142,E139:E142,$P139:$P142,Q139:Q142)</f>
        <v>#VALUE!</v>
      </c>
      <c r="AM139" s="21" t="e">
        <f t="shared" si="175"/>
        <v>#VALUE!</v>
      </c>
      <c r="AN139" s="36" t="e">
        <f t="shared" si="175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#DIV/0!</v>
      </c>
      <c r="AY139" s="15" t="e">
        <f t="shared" ref="AY139:AY142" si="176">X139/L139</f>
        <v>#DIV/0!</v>
      </c>
      <c r="AZ139" s="15" t="e">
        <f t="shared" si="137"/>
        <v>#DIV/0!</v>
      </c>
      <c r="BA139" s="15" t="e">
        <f>V139/J139</f>
        <v>#DIV/0!</v>
      </c>
      <c r="BB139" s="15" t="e">
        <f t="shared" si="174"/>
        <v>#DIV/0!</v>
      </c>
      <c r="BC139" s="15" t="e">
        <f t="shared" si="133"/>
        <v>#DIV/0!</v>
      </c>
      <c r="BD139" s="1">
        <f t="shared" si="157"/>
        <v>0</v>
      </c>
    </row>
    <row r="140" spans="1:56" x14ac:dyDescent="0.2">
      <c r="A140" s="13"/>
      <c r="B140" s="13"/>
      <c r="C140" s="43">
        <v>32</v>
      </c>
      <c r="D140" s="14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6">
        <f t="shared" si="153"/>
        <v>0</v>
      </c>
      <c r="P140" s="14">
        <v>0</v>
      </c>
      <c r="Q140" s="15">
        <v>0</v>
      </c>
      <c r="R140" s="15">
        <v>0</v>
      </c>
      <c r="S140" s="15">
        <v>0</v>
      </c>
      <c r="T140" s="15">
        <v>0</v>
      </c>
      <c r="U140" s="51">
        <v>0</v>
      </c>
      <c r="V140" s="15">
        <v>0</v>
      </c>
      <c r="W140" s="15">
        <v>0</v>
      </c>
      <c r="X140" s="15">
        <v>0</v>
      </c>
      <c r="Y140" s="15">
        <v>0</v>
      </c>
      <c r="Z140" s="16">
        <f t="shared" si="154"/>
        <v>0</v>
      </c>
      <c r="AA140" s="15" t="e">
        <f t="shared" si="158"/>
        <v>#DIV/0!</v>
      </c>
      <c r="AB140" s="15" t="e">
        <f t="shared" si="165"/>
        <v>#DIV/0!</v>
      </c>
      <c r="AC140" s="15" t="e">
        <f t="shared" si="165"/>
        <v>#DIV/0!</v>
      </c>
      <c r="AD140" s="16" t="e">
        <f t="shared" si="156"/>
        <v>#DIV/0!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#DIV/0!</v>
      </c>
      <c r="AY140" s="15" t="e">
        <f t="shared" si="176"/>
        <v>#DIV/0!</v>
      </c>
      <c r="AZ140" s="15" t="e">
        <f t="shared" si="137"/>
        <v>#DIV/0!</v>
      </c>
      <c r="BA140" s="15" t="e">
        <f>V140/J140</f>
        <v>#DIV/0!</v>
      </c>
      <c r="BB140" s="15" t="e">
        <f t="shared" si="174"/>
        <v>#DIV/0!</v>
      </c>
      <c r="BC140" s="15" t="e">
        <f t="shared" si="133"/>
        <v>#DIV/0!</v>
      </c>
      <c r="BD140" s="1">
        <f t="shared" si="157"/>
        <v>0</v>
      </c>
    </row>
    <row r="141" spans="1:56" x14ac:dyDescent="0.2">
      <c r="A141" s="13"/>
      <c r="B141" s="13"/>
      <c r="C141" s="43">
        <v>37</v>
      </c>
      <c r="D141" s="14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6">
        <f t="shared" si="153"/>
        <v>0</v>
      </c>
      <c r="P141" s="14">
        <v>0</v>
      </c>
      <c r="Q141" s="15">
        <v>0</v>
      </c>
      <c r="R141" s="15">
        <v>0</v>
      </c>
      <c r="S141" s="15">
        <v>0</v>
      </c>
      <c r="T141" s="15">
        <v>0</v>
      </c>
      <c r="U141" s="51">
        <v>0</v>
      </c>
      <c r="V141" s="15">
        <v>0</v>
      </c>
      <c r="W141" s="15">
        <v>0</v>
      </c>
      <c r="X141" s="15">
        <v>0</v>
      </c>
      <c r="Y141" s="15">
        <v>0</v>
      </c>
      <c r="Z141" s="16">
        <f t="shared" si="154"/>
        <v>0</v>
      </c>
      <c r="AA141" s="15" t="e">
        <f t="shared" si="158"/>
        <v>#DIV/0!</v>
      </c>
      <c r="AB141" s="15" t="e">
        <f t="shared" si="165"/>
        <v>#DIV/0!</v>
      </c>
      <c r="AC141" s="15" t="e">
        <f t="shared" si="165"/>
        <v>#DIV/0!</v>
      </c>
      <c r="AD141" s="16" t="e">
        <f t="shared" si="156"/>
        <v>#DIV/0!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#DIV/0!</v>
      </c>
      <c r="AY141" s="15" t="e">
        <f t="shared" si="176"/>
        <v>#DIV/0!</v>
      </c>
      <c r="AZ141" s="15" t="e">
        <f t="shared" si="137"/>
        <v>#DIV/0!</v>
      </c>
      <c r="BA141" s="15" t="e">
        <f>V141/J141</f>
        <v>#DIV/0!</v>
      </c>
      <c r="BB141" s="15" t="e">
        <f t="shared" si="174"/>
        <v>#DIV/0!</v>
      </c>
      <c r="BC141" s="15" t="e">
        <f t="shared" si="133"/>
        <v>#DIV/0!</v>
      </c>
      <c r="BD141" s="1">
        <f t="shared" si="157"/>
        <v>0</v>
      </c>
    </row>
    <row r="142" spans="1:56" ht="12.75" thickBot="1" x14ac:dyDescent="0.25">
      <c r="A142" s="13"/>
      <c r="B142" s="17"/>
      <c r="C142" s="44">
        <v>42</v>
      </c>
      <c r="D142" s="18">
        <v>0</v>
      </c>
      <c r="E142" s="19">
        <v>0</v>
      </c>
      <c r="F142" s="19">
        <v>0</v>
      </c>
      <c r="G142" s="19">
        <v>0</v>
      </c>
      <c r="H142" s="19">
        <v>0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20">
        <f t="shared" si="153"/>
        <v>0</v>
      </c>
      <c r="P142" s="18">
        <v>0</v>
      </c>
      <c r="Q142" s="19">
        <v>0</v>
      </c>
      <c r="R142" s="19">
        <v>0</v>
      </c>
      <c r="S142" s="19">
        <v>0</v>
      </c>
      <c r="T142" s="19">
        <v>0</v>
      </c>
      <c r="U142" s="52">
        <v>0</v>
      </c>
      <c r="V142" s="19">
        <v>0</v>
      </c>
      <c r="W142" s="19">
        <v>0</v>
      </c>
      <c r="X142" s="19">
        <v>0</v>
      </c>
      <c r="Y142" s="19">
        <v>0</v>
      </c>
      <c r="Z142" s="20">
        <f t="shared" si="154"/>
        <v>0</v>
      </c>
      <c r="AA142" s="15" t="e">
        <f t="shared" si="158"/>
        <v>#DIV/0!</v>
      </c>
      <c r="AB142" s="15" t="e">
        <f t="shared" si="165"/>
        <v>#DIV/0!</v>
      </c>
      <c r="AC142" s="15" t="e">
        <f t="shared" si="165"/>
        <v>#DIV/0!</v>
      </c>
      <c r="AD142" s="20" t="e">
        <f t="shared" si="156"/>
        <v>#DIV/0!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#DIV/0!</v>
      </c>
      <c r="AY142" s="15" t="e">
        <f t="shared" si="176"/>
        <v>#DIV/0!</v>
      </c>
      <c r="AZ142" s="15" t="e">
        <f t="shared" si="137"/>
        <v>#DIV/0!</v>
      </c>
      <c r="BA142" s="15"/>
      <c r="BB142" s="15"/>
      <c r="BC142" s="15"/>
      <c r="BD142" s="1">
        <f t="shared" si="157"/>
        <v>0</v>
      </c>
    </row>
    <row r="143" spans="1:56" x14ac:dyDescent="0.2">
      <c r="A143" s="13"/>
      <c r="B143" s="8" t="s">
        <v>67</v>
      </c>
      <c r="C143" s="39">
        <v>22</v>
      </c>
      <c r="D143" s="9">
        <v>0</v>
      </c>
      <c r="E143" s="10">
        <v>0</v>
      </c>
      <c r="F143" s="10">
        <v>0</v>
      </c>
      <c r="G143" s="10">
        <v>0</v>
      </c>
      <c r="H143" s="10">
        <v>0</v>
      </c>
      <c r="I143" s="10">
        <v>0</v>
      </c>
      <c r="J143" s="10">
        <v>0</v>
      </c>
      <c r="K143" s="10">
        <v>0</v>
      </c>
      <c r="L143" s="10">
        <v>0</v>
      </c>
      <c r="M143" s="10">
        <v>0</v>
      </c>
      <c r="N143" s="11">
        <f t="shared" si="153"/>
        <v>0</v>
      </c>
      <c r="P143" s="9">
        <v>0</v>
      </c>
      <c r="Q143" s="10">
        <v>0</v>
      </c>
      <c r="R143" s="10">
        <v>0</v>
      </c>
      <c r="S143" s="10">
        <v>0</v>
      </c>
      <c r="T143" s="10">
        <v>0</v>
      </c>
      <c r="U143" s="50">
        <v>0</v>
      </c>
      <c r="V143" s="10">
        <v>0</v>
      </c>
      <c r="W143" s="10">
        <v>0</v>
      </c>
      <c r="X143" s="10">
        <v>0</v>
      </c>
      <c r="Y143" s="10">
        <v>0</v>
      </c>
      <c r="Z143" s="11">
        <f t="shared" si="154"/>
        <v>0</v>
      </c>
      <c r="AA143" s="15" t="e">
        <f t="shared" si="158"/>
        <v>#DIV/0!</v>
      </c>
      <c r="AB143" s="15" t="e">
        <f t="shared" si="165"/>
        <v>#DIV/0!</v>
      </c>
      <c r="AC143" s="15" t="e">
        <f t="shared" si="165"/>
        <v>#DIV/0!</v>
      </c>
      <c r="AD143" s="11" t="e">
        <f t="shared" si="156"/>
        <v>#DIV/0!</v>
      </c>
      <c r="AE143" s="12"/>
      <c r="AF143" s="25" t="e">
        <f t="shared" ref="AF143" si="177">bdRateExtend($D143:$D147,E143:E147,$P143:$P147,Q143:Q147)</f>
        <v>#VALUE!</v>
      </c>
      <c r="AG143" s="30" t="e">
        <f t="shared" ref="AG143" si="178">bdRateExtend($D143:$D147,F143:F147,$P143:$P147,R143:R147)</f>
        <v>#VALUE!</v>
      </c>
      <c r="AH143" s="31" t="e">
        <f t="shared" ref="AH143" si="179">bdRateExtend($D143:$D147,G143:G147,$P143:$P147,S143:S147)</f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" si="180">bdrate($D143:$D146,E143:E146,$P143:$P146,Q143:Q146)</f>
        <v>#VALUE!</v>
      </c>
      <c r="AS143" s="30" t="e">
        <f t="shared" ref="AS143" si="181">bdrate($D143:$D146,F143:F146,$P143:$P146,R143:R146)</f>
        <v>#VALUE!</v>
      </c>
      <c r="AT143" s="31" t="e">
        <f t="shared" ref="AT143" si="182">bdrate($D143:$D146,G143:G146,$P143:$P146,S143:S146)</f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#DIV/0!</v>
      </c>
      <c r="BB143" s="15" t="e">
        <f t="shared" ref="BB143:BB146" si="183">X143/L143</f>
        <v>#DIV/0!</v>
      </c>
      <c r="BC143" s="15" t="e">
        <f t="shared" si="133"/>
        <v>#DIV/0!</v>
      </c>
      <c r="BD143" s="1" t="e">
        <f t="shared" si="157"/>
        <v>#VALUE!</v>
      </c>
    </row>
    <row r="144" spans="1:56" x14ac:dyDescent="0.2">
      <c r="A144" s="13"/>
      <c r="B144" s="13"/>
      <c r="C144" s="43">
        <v>27</v>
      </c>
      <c r="D144" s="14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6">
        <f t="shared" si="153"/>
        <v>0</v>
      </c>
      <c r="P144" s="14">
        <v>0</v>
      </c>
      <c r="Q144" s="15">
        <v>0</v>
      </c>
      <c r="R144" s="15">
        <v>0</v>
      </c>
      <c r="S144" s="15">
        <v>0</v>
      </c>
      <c r="T144" s="15">
        <v>0</v>
      </c>
      <c r="U144" s="51">
        <v>0</v>
      </c>
      <c r="V144" s="15">
        <v>0</v>
      </c>
      <c r="W144" s="15">
        <v>0</v>
      </c>
      <c r="X144" s="15">
        <v>0</v>
      </c>
      <c r="Y144" s="15">
        <v>0</v>
      </c>
      <c r="Z144" s="16">
        <f t="shared" si="154"/>
        <v>0</v>
      </c>
      <c r="AA144" s="15" t="e">
        <f t="shared" si="158"/>
        <v>#DIV/0!</v>
      </c>
      <c r="AB144" s="15" t="e">
        <f t="shared" si="165"/>
        <v>#DIV/0!</v>
      </c>
      <c r="AC144" s="15" t="e">
        <f t="shared" si="165"/>
        <v>#DIV/0!</v>
      </c>
      <c r="AD144" s="16" t="e">
        <f t="shared" si="156"/>
        <v>#DIV/0!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84">bdrate($D144:$D147,E144:E147,$P144:$P147,Q144:Q147)</f>
        <v>#VALUE!</v>
      </c>
      <c r="AM144" s="21" t="e">
        <f t="shared" si="184"/>
        <v>#VALUE!</v>
      </c>
      <c r="AN144" s="36" t="e">
        <f t="shared" si="184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#DIV/0!</v>
      </c>
      <c r="AY144" s="15" t="e">
        <f t="shared" ref="AY144:AY147" si="185">X144/L144</f>
        <v>#DIV/0!</v>
      </c>
      <c r="AZ144" s="15" t="e">
        <f t="shared" si="137"/>
        <v>#DIV/0!</v>
      </c>
      <c r="BA144" s="15" t="e">
        <f>V144/J144</f>
        <v>#DIV/0!</v>
      </c>
      <c r="BB144" s="15" t="e">
        <f t="shared" si="183"/>
        <v>#DIV/0!</v>
      </c>
      <c r="BC144" s="15" t="e">
        <f t="shared" si="133"/>
        <v>#DIV/0!</v>
      </c>
      <c r="BD144" s="1">
        <f t="shared" si="157"/>
        <v>0</v>
      </c>
    </row>
    <row r="145" spans="1:56" x14ac:dyDescent="0.2">
      <c r="A145" s="13"/>
      <c r="B145" s="13"/>
      <c r="C145" s="43">
        <v>32</v>
      </c>
      <c r="D145" s="14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6">
        <f t="shared" si="153"/>
        <v>0</v>
      </c>
      <c r="P145" s="14">
        <v>0</v>
      </c>
      <c r="Q145" s="15">
        <v>0</v>
      </c>
      <c r="R145" s="15">
        <v>0</v>
      </c>
      <c r="S145" s="15">
        <v>0</v>
      </c>
      <c r="T145" s="15">
        <v>0</v>
      </c>
      <c r="U145" s="51">
        <v>0</v>
      </c>
      <c r="V145" s="15">
        <v>0</v>
      </c>
      <c r="W145" s="15">
        <v>0</v>
      </c>
      <c r="X145" s="15">
        <v>0</v>
      </c>
      <c r="Y145" s="15">
        <v>0</v>
      </c>
      <c r="Z145" s="16">
        <f t="shared" si="154"/>
        <v>0</v>
      </c>
      <c r="AA145" s="15" t="e">
        <f t="shared" si="158"/>
        <v>#DIV/0!</v>
      </c>
      <c r="AB145" s="15" t="e">
        <f t="shared" si="165"/>
        <v>#DIV/0!</v>
      </c>
      <c r="AC145" s="15" t="e">
        <f t="shared" si="165"/>
        <v>#DIV/0!</v>
      </c>
      <c r="AD145" s="16" t="e">
        <f t="shared" si="156"/>
        <v>#DIV/0!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#DIV/0!</v>
      </c>
      <c r="AY145" s="15" t="e">
        <f t="shared" si="185"/>
        <v>#DIV/0!</v>
      </c>
      <c r="AZ145" s="15" t="e">
        <f t="shared" si="137"/>
        <v>#DIV/0!</v>
      </c>
      <c r="BA145" s="15" t="e">
        <f>V145/J145</f>
        <v>#DIV/0!</v>
      </c>
      <c r="BB145" s="15" t="e">
        <f t="shared" si="183"/>
        <v>#DIV/0!</v>
      </c>
      <c r="BC145" s="15" t="e">
        <f t="shared" si="133"/>
        <v>#DIV/0!</v>
      </c>
      <c r="BD145" s="1">
        <f t="shared" si="157"/>
        <v>0</v>
      </c>
    </row>
    <row r="146" spans="1:56" x14ac:dyDescent="0.2">
      <c r="A146" s="13"/>
      <c r="B146" s="13"/>
      <c r="C146" s="43">
        <v>37</v>
      </c>
      <c r="D146" s="14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6">
        <f t="shared" si="153"/>
        <v>0</v>
      </c>
      <c r="P146" s="14">
        <v>0</v>
      </c>
      <c r="Q146" s="15">
        <v>0</v>
      </c>
      <c r="R146" s="15">
        <v>0</v>
      </c>
      <c r="S146" s="15">
        <v>0</v>
      </c>
      <c r="T146" s="15">
        <v>0</v>
      </c>
      <c r="U146" s="51">
        <v>0</v>
      </c>
      <c r="V146" s="15">
        <v>0</v>
      </c>
      <c r="W146" s="15">
        <v>0</v>
      </c>
      <c r="X146" s="15">
        <v>0</v>
      </c>
      <c r="Y146" s="15">
        <v>0</v>
      </c>
      <c r="Z146" s="16">
        <f t="shared" si="154"/>
        <v>0</v>
      </c>
      <c r="AA146" s="15" t="e">
        <f t="shared" si="158"/>
        <v>#DIV/0!</v>
      </c>
      <c r="AB146" s="15" t="e">
        <f t="shared" si="165"/>
        <v>#DIV/0!</v>
      </c>
      <c r="AC146" s="15" t="e">
        <f t="shared" si="165"/>
        <v>#DIV/0!</v>
      </c>
      <c r="AD146" s="16" t="e">
        <f t="shared" si="156"/>
        <v>#DIV/0!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#DIV/0!</v>
      </c>
      <c r="AY146" s="15" t="e">
        <f t="shared" si="185"/>
        <v>#DIV/0!</v>
      </c>
      <c r="AZ146" s="15" t="e">
        <f t="shared" si="137"/>
        <v>#DIV/0!</v>
      </c>
      <c r="BA146" s="15" t="e">
        <f>V146/J146</f>
        <v>#DIV/0!</v>
      </c>
      <c r="BB146" s="15" t="e">
        <f t="shared" si="183"/>
        <v>#DIV/0!</v>
      </c>
      <c r="BC146" s="15" t="e">
        <f t="shared" si="133"/>
        <v>#DIV/0!</v>
      </c>
      <c r="BD146" s="1">
        <f t="shared" si="157"/>
        <v>0</v>
      </c>
    </row>
    <row r="147" spans="1:56" ht="12.75" thickBot="1" x14ac:dyDescent="0.25">
      <c r="A147" s="13"/>
      <c r="B147" s="17"/>
      <c r="C147" s="44">
        <v>42</v>
      </c>
      <c r="D147" s="18">
        <v>0</v>
      </c>
      <c r="E147" s="19">
        <v>0</v>
      </c>
      <c r="F147" s="19">
        <v>0</v>
      </c>
      <c r="G147" s="19">
        <v>0</v>
      </c>
      <c r="H147" s="19">
        <v>0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20">
        <f t="shared" si="153"/>
        <v>0</v>
      </c>
      <c r="P147" s="18">
        <v>0</v>
      </c>
      <c r="Q147" s="19">
        <v>0</v>
      </c>
      <c r="R147" s="19">
        <v>0</v>
      </c>
      <c r="S147" s="19">
        <v>0</v>
      </c>
      <c r="T147" s="19">
        <v>0</v>
      </c>
      <c r="U147" s="52">
        <v>0</v>
      </c>
      <c r="V147" s="19">
        <v>0</v>
      </c>
      <c r="W147" s="19">
        <v>0</v>
      </c>
      <c r="X147" s="19">
        <v>0</v>
      </c>
      <c r="Y147" s="19">
        <v>0</v>
      </c>
      <c r="Z147" s="20">
        <f t="shared" si="154"/>
        <v>0</v>
      </c>
      <c r="AA147" s="15" t="e">
        <f t="shared" si="158"/>
        <v>#DIV/0!</v>
      </c>
      <c r="AB147" s="15" t="e">
        <f t="shared" si="165"/>
        <v>#DIV/0!</v>
      </c>
      <c r="AC147" s="15" t="e">
        <f t="shared" si="165"/>
        <v>#DIV/0!</v>
      </c>
      <c r="AD147" s="20" t="e">
        <f t="shared" si="156"/>
        <v>#DIV/0!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#DIV/0!</v>
      </c>
      <c r="AY147" s="15" t="e">
        <f t="shared" si="185"/>
        <v>#DIV/0!</v>
      </c>
      <c r="AZ147" s="15" t="e">
        <f t="shared" si="137"/>
        <v>#DIV/0!</v>
      </c>
      <c r="BA147" s="15"/>
      <c r="BB147" s="15"/>
      <c r="BC147" s="15"/>
      <c r="BD147" s="1">
        <f t="shared" si="157"/>
        <v>0</v>
      </c>
    </row>
    <row r="148" spans="1:56" x14ac:dyDescent="0.2">
      <c r="A148" s="13"/>
      <c r="B148" s="8" t="s">
        <v>68</v>
      </c>
      <c r="C148" s="39">
        <v>22</v>
      </c>
      <c r="D148" s="9">
        <v>0</v>
      </c>
      <c r="E148" s="10">
        <v>0</v>
      </c>
      <c r="F148" s="10">
        <v>0</v>
      </c>
      <c r="G148" s="10">
        <v>0</v>
      </c>
      <c r="H148" s="10">
        <v>0</v>
      </c>
      <c r="I148" s="10">
        <v>0</v>
      </c>
      <c r="J148" s="10">
        <v>0</v>
      </c>
      <c r="K148" s="10">
        <v>0</v>
      </c>
      <c r="L148" s="10">
        <v>0</v>
      </c>
      <c r="M148" s="10">
        <v>0</v>
      </c>
      <c r="N148" s="11">
        <f t="shared" si="153"/>
        <v>0</v>
      </c>
      <c r="P148" s="9">
        <v>0</v>
      </c>
      <c r="Q148" s="10">
        <v>0</v>
      </c>
      <c r="R148" s="10">
        <v>0</v>
      </c>
      <c r="S148" s="10">
        <v>0</v>
      </c>
      <c r="T148" s="10">
        <v>0</v>
      </c>
      <c r="U148" s="50">
        <v>0</v>
      </c>
      <c r="V148" s="10">
        <v>0</v>
      </c>
      <c r="W148" s="10">
        <v>0</v>
      </c>
      <c r="X148" s="10">
        <v>0</v>
      </c>
      <c r="Y148" s="10">
        <v>0</v>
      </c>
      <c r="Z148" s="11">
        <f t="shared" si="154"/>
        <v>0</v>
      </c>
      <c r="AA148" s="15" t="e">
        <f t="shared" si="158"/>
        <v>#DIV/0!</v>
      </c>
      <c r="AB148" s="15" t="e">
        <f t="shared" si="165"/>
        <v>#DIV/0!</v>
      </c>
      <c r="AC148" s="15" t="e">
        <f t="shared" si="165"/>
        <v>#DIV/0!</v>
      </c>
      <c r="AD148" s="11" t="e">
        <f t="shared" si="156"/>
        <v>#DIV/0!</v>
      </c>
      <c r="AE148" s="12"/>
      <c r="AF148" s="25" t="e">
        <f t="shared" ref="AF148" si="186">bdRateExtend($D148:$D152,E148:E152,$P148:$P152,Q148:Q152)</f>
        <v>#VALUE!</v>
      </c>
      <c r="AG148" s="30" t="e">
        <f t="shared" ref="AG148" si="187">bdRateExtend($D148:$D152,F148:F152,$P148:$P152,R148:R152)</f>
        <v>#VALUE!</v>
      </c>
      <c r="AH148" s="31" t="e">
        <f t="shared" ref="AH148" si="188">bdRateExtend($D148:$D152,G148:G152,$P148:$P152,S148:S152)</f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" si="189">bdrate($D148:$D151,E148:E151,$P148:$P151,Q148:Q151)</f>
        <v>#VALUE!</v>
      </c>
      <c r="AS148" s="30" t="e">
        <f t="shared" ref="AS148" si="190">bdrate($D148:$D151,F148:F151,$P148:$P151,R148:R151)</f>
        <v>#VALUE!</v>
      </c>
      <c r="AT148" s="31" t="e">
        <f t="shared" ref="AT148" si="191">bdrate($D148:$D151,G148:G151,$P148:$P151,S148:S151)</f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#DIV/0!</v>
      </c>
      <c r="BB148" s="15" t="e">
        <f t="shared" ref="BB148:BB151" si="192">X148/L148</f>
        <v>#DIV/0!</v>
      </c>
      <c r="BC148" s="15" t="e">
        <f t="shared" si="133"/>
        <v>#DIV/0!</v>
      </c>
      <c r="BD148" s="1" t="e">
        <f t="shared" si="157"/>
        <v>#VALUE!</v>
      </c>
    </row>
    <row r="149" spans="1:56" x14ac:dyDescent="0.2">
      <c r="A149" s="13"/>
      <c r="B149" s="13"/>
      <c r="C149" s="43">
        <v>27</v>
      </c>
      <c r="D149" s="14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6">
        <f t="shared" si="153"/>
        <v>0</v>
      </c>
      <c r="P149" s="14">
        <v>0</v>
      </c>
      <c r="Q149" s="15">
        <v>0</v>
      </c>
      <c r="R149" s="15">
        <v>0</v>
      </c>
      <c r="S149" s="15">
        <v>0</v>
      </c>
      <c r="T149" s="15">
        <v>0</v>
      </c>
      <c r="U149" s="51">
        <v>0</v>
      </c>
      <c r="V149" s="15">
        <v>0</v>
      </c>
      <c r="W149" s="15">
        <v>0</v>
      </c>
      <c r="X149" s="15">
        <v>0</v>
      </c>
      <c r="Y149" s="15">
        <v>0</v>
      </c>
      <c r="Z149" s="16">
        <f t="shared" si="154"/>
        <v>0</v>
      </c>
      <c r="AA149" s="15" t="e">
        <f t="shared" si="158"/>
        <v>#DIV/0!</v>
      </c>
      <c r="AB149" s="15" t="e">
        <f t="shared" si="165"/>
        <v>#DIV/0!</v>
      </c>
      <c r="AC149" s="15" t="e">
        <f t="shared" si="165"/>
        <v>#DIV/0!</v>
      </c>
      <c r="AD149" s="16" t="e">
        <f t="shared" si="156"/>
        <v>#DIV/0!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93">bdrate($D149:$D152,E149:E152,$P149:$P152,Q149:Q152)</f>
        <v>#VALUE!</v>
      </c>
      <c r="AM149" s="21" t="e">
        <f t="shared" si="193"/>
        <v>#VALUE!</v>
      </c>
      <c r="AN149" s="36" t="e">
        <f t="shared" si="193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#DIV/0!</v>
      </c>
      <c r="AY149" s="15" t="e">
        <f t="shared" ref="AY149:AY152" si="194">X149/L149</f>
        <v>#DIV/0!</v>
      </c>
      <c r="AZ149" s="15" t="e">
        <f t="shared" si="137"/>
        <v>#DIV/0!</v>
      </c>
      <c r="BA149" s="15" t="e">
        <f>V149/J149</f>
        <v>#DIV/0!</v>
      </c>
      <c r="BB149" s="15" t="e">
        <f t="shared" si="192"/>
        <v>#DIV/0!</v>
      </c>
      <c r="BC149" s="15" t="e">
        <f t="shared" si="133"/>
        <v>#DIV/0!</v>
      </c>
      <c r="BD149" s="1">
        <f t="shared" si="157"/>
        <v>0</v>
      </c>
    </row>
    <row r="150" spans="1:56" x14ac:dyDescent="0.2">
      <c r="A150" s="13"/>
      <c r="B150" s="13"/>
      <c r="C150" s="43">
        <v>32</v>
      </c>
      <c r="D150" s="14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6">
        <f t="shared" si="153"/>
        <v>0</v>
      </c>
      <c r="P150" s="14">
        <v>0</v>
      </c>
      <c r="Q150" s="15">
        <v>0</v>
      </c>
      <c r="R150" s="15">
        <v>0</v>
      </c>
      <c r="S150" s="15">
        <v>0</v>
      </c>
      <c r="T150" s="15">
        <v>0</v>
      </c>
      <c r="U150" s="51">
        <v>0</v>
      </c>
      <c r="V150" s="15">
        <v>0</v>
      </c>
      <c r="W150" s="15">
        <v>0</v>
      </c>
      <c r="X150" s="15">
        <v>0</v>
      </c>
      <c r="Y150" s="15">
        <v>0</v>
      </c>
      <c r="Z150" s="16">
        <f t="shared" si="154"/>
        <v>0</v>
      </c>
      <c r="AA150" s="15" t="e">
        <f t="shared" si="158"/>
        <v>#DIV/0!</v>
      </c>
      <c r="AB150" s="15" t="e">
        <f t="shared" si="165"/>
        <v>#DIV/0!</v>
      </c>
      <c r="AC150" s="15" t="e">
        <f t="shared" si="165"/>
        <v>#DIV/0!</v>
      </c>
      <c r="AD150" s="16" t="e">
        <f t="shared" si="156"/>
        <v>#DIV/0!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#DIV/0!</v>
      </c>
      <c r="AY150" s="15" t="e">
        <f t="shared" si="194"/>
        <v>#DIV/0!</v>
      </c>
      <c r="AZ150" s="15" t="e">
        <f t="shared" si="137"/>
        <v>#DIV/0!</v>
      </c>
      <c r="BA150" s="15" t="e">
        <f>V150/J150</f>
        <v>#DIV/0!</v>
      </c>
      <c r="BB150" s="15" t="e">
        <f t="shared" si="192"/>
        <v>#DIV/0!</v>
      </c>
      <c r="BC150" s="15" t="e">
        <f t="shared" si="133"/>
        <v>#DIV/0!</v>
      </c>
      <c r="BD150" s="1">
        <f t="shared" si="157"/>
        <v>0</v>
      </c>
    </row>
    <row r="151" spans="1:56" x14ac:dyDescent="0.2">
      <c r="A151" s="13"/>
      <c r="B151" s="13"/>
      <c r="C151" s="43">
        <v>37</v>
      </c>
      <c r="D151" s="14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6">
        <f t="shared" si="153"/>
        <v>0</v>
      </c>
      <c r="P151" s="14">
        <v>0</v>
      </c>
      <c r="Q151" s="15">
        <v>0</v>
      </c>
      <c r="R151" s="15">
        <v>0</v>
      </c>
      <c r="S151" s="15">
        <v>0</v>
      </c>
      <c r="T151" s="15">
        <v>0</v>
      </c>
      <c r="U151" s="51">
        <v>0</v>
      </c>
      <c r="V151" s="15">
        <v>0</v>
      </c>
      <c r="W151" s="15">
        <v>0</v>
      </c>
      <c r="X151" s="15">
        <v>0</v>
      </c>
      <c r="Y151" s="15">
        <v>0</v>
      </c>
      <c r="Z151" s="16">
        <f t="shared" si="154"/>
        <v>0</v>
      </c>
      <c r="AA151" s="15" t="e">
        <f t="shared" si="158"/>
        <v>#DIV/0!</v>
      </c>
      <c r="AB151" s="15" t="e">
        <f t="shared" si="165"/>
        <v>#DIV/0!</v>
      </c>
      <c r="AC151" s="15" t="e">
        <f t="shared" si="165"/>
        <v>#DIV/0!</v>
      </c>
      <c r="AD151" s="16" t="e">
        <f t="shared" si="156"/>
        <v>#DIV/0!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#DIV/0!</v>
      </c>
      <c r="AY151" s="15" t="e">
        <f t="shared" si="194"/>
        <v>#DIV/0!</v>
      </c>
      <c r="AZ151" s="15" t="e">
        <f t="shared" si="137"/>
        <v>#DIV/0!</v>
      </c>
      <c r="BA151" s="15" t="e">
        <f>V151/J151</f>
        <v>#DIV/0!</v>
      </c>
      <c r="BB151" s="15" t="e">
        <f t="shared" si="192"/>
        <v>#DIV/0!</v>
      </c>
      <c r="BC151" s="15" t="e">
        <f t="shared" si="133"/>
        <v>#DIV/0!</v>
      </c>
      <c r="BD151" s="1">
        <f t="shared" si="157"/>
        <v>0</v>
      </c>
    </row>
    <row r="152" spans="1:56" ht="12.75" thickBot="1" x14ac:dyDescent="0.25">
      <c r="A152" s="17"/>
      <c r="B152" s="17"/>
      <c r="C152" s="44">
        <v>42</v>
      </c>
      <c r="D152" s="18">
        <v>0</v>
      </c>
      <c r="E152" s="19">
        <v>0</v>
      </c>
      <c r="F152" s="19">
        <v>0</v>
      </c>
      <c r="G152" s="19">
        <v>0</v>
      </c>
      <c r="H152" s="19">
        <v>0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20">
        <f t="shared" si="153"/>
        <v>0</v>
      </c>
      <c r="P152" s="18">
        <v>0</v>
      </c>
      <c r="Q152" s="19">
        <v>0</v>
      </c>
      <c r="R152" s="19">
        <v>0</v>
      </c>
      <c r="S152" s="19">
        <v>0</v>
      </c>
      <c r="T152" s="19">
        <v>0</v>
      </c>
      <c r="U152" s="52">
        <v>0</v>
      </c>
      <c r="V152" s="19">
        <v>0</v>
      </c>
      <c r="W152" s="19">
        <v>0</v>
      </c>
      <c r="X152" s="19">
        <v>0</v>
      </c>
      <c r="Y152" s="19">
        <v>0</v>
      </c>
      <c r="Z152" s="20">
        <f t="shared" si="154"/>
        <v>0</v>
      </c>
      <c r="AA152" s="19" t="e">
        <f t="shared" si="158"/>
        <v>#DIV/0!</v>
      </c>
      <c r="AB152" s="19" t="e">
        <f t="shared" si="165"/>
        <v>#DIV/0!</v>
      </c>
      <c r="AC152" s="19" t="e">
        <f t="shared" si="165"/>
        <v>#DIV/0!</v>
      </c>
      <c r="AD152" s="20" t="e">
        <f t="shared" si="156"/>
        <v>#DIV/0!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#DIV/0!</v>
      </c>
      <c r="AY152" s="19" t="e">
        <f t="shared" si="194"/>
        <v>#DIV/0!</v>
      </c>
      <c r="AZ152" s="19" t="e">
        <f t="shared" si="137"/>
        <v>#DIV/0!</v>
      </c>
      <c r="BA152" s="19"/>
      <c r="BB152" s="19"/>
      <c r="BC152" s="19"/>
      <c r="BD152" s="1">
        <f t="shared" si="157"/>
        <v>0</v>
      </c>
    </row>
    <row r="153" spans="1:56" x14ac:dyDescent="0.2">
      <c r="B153" s="1" t="s">
        <v>40</v>
      </c>
      <c r="L153" s="12">
        <f>GEOMEAN(L3:L17)</f>
        <v>0.56791855189774076</v>
      </c>
      <c r="M153" s="12" t="e">
        <f>GEOMEAN(M3:M17)</f>
        <v>#NUM!</v>
      </c>
      <c r="N153" s="12">
        <f>GEOMEAN(N3:N17)</f>
        <v>7.8025848950443052E-2</v>
      </c>
      <c r="X153" s="12">
        <f t="shared" ref="X153:AC153" si="195">GEOMEAN(X3:X17)</f>
        <v>0.58057577577492103</v>
      </c>
      <c r="Y153" s="12" t="e">
        <f t="shared" si="195"/>
        <v>#NUM!</v>
      </c>
      <c r="Z153" s="12">
        <f t="shared" si="195"/>
        <v>8.8088368218283489E-2</v>
      </c>
      <c r="AA153" s="67">
        <f>GEOMEAN(AA3:AA17)</f>
        <v>1.1289639190498459</v>
      </c>
      <c r="AB153" s="67">
        <f t="shared" si="195"/>
        <v>1.0222870406942779</v>
      </c>
      <c r="AC153" s="12" t="e">
        <f t="shared" si="195"/>
        <v>#DIV/0!</v>
      </c>
      <c r="AD153" s="12">
        <f t="shared" ref="AD153" si="196">AVERAGE(AD3:AD17)</f>
        <v>2.233674403496378E-3</v>
      </c>
      <c r="AF153" s="25">
        <f t="shared" ref="AF153:AW153" si="197">AVERAGE(AF3:AF17)</f>
        <v>1.2088797345886082E-3</v>
      </c>
      <c r="AG153" s="30">
        <f t="shared" si="197"/>
        <v>4.8417276181723272E-3</v>
      </c>
      <c r="AH153" s="30">
        <f t="shared" si="197"/>
        <v>2.1642904034919383E-3</v>
      </c>
      <c r="AI153" s="25">
        <f t="shared" si="197"/>
        <v>1.0903244270932995E-3</v>
      </c>
      <c r="AJ153" s="30">
        <f t="shared" si="197"/>
        <v>7.4214671833994217E-3</v>
      </c>
      <c r="AK153" s="30">
        <f t="shared" si="197"/>
        <v>9.6714539186475434E-3</v>
      </c>
      <c r="AL153" s="25">
        <f t="shared" ref="AL153:AQ153" si="198">AVERAGE(AL4:AL18)</f>
        <v>2.0083686717859242E-3</v>
      </c>
      <c r="AM153" s="30">
        <f t="shared" si="198"/>
        <v>2.4945988111861515E-3</v>
      </c>
      <c r="AN153" s="30">
        <f t="shared" si="198"/>
        <v>5.1109061099533131E-3</v>
      </c>
      <c r="AO153" s="25">
        <f t="shared" si="198"/>
        <v>1.4626211182612685E-3</v>
      </c>
      <c r="AP153" s="30">
        <f t="shared" si="198"/>
        <v>6.2434531361795402E-3</v>
      </c>
      <c r="AQ153" s="30">
        <f t="shared" si="198"/>
        <v>1.2888887431078707E-2</v>
      </c>
      <c r="AR153" s="25">
        <f t="shared" ref="AR153:AT153" si="199">AVERAGE(AR3:AR17)</f>
        <v>1.1191906128934134E-5</v>
      </c>
      <c r="AS153" s="30">
        <f t="shared" si="199"/>
        <v>5.6658953692914809E-3</v>
      </c>
      <c r="AT153" s="31">
        <f t="shared" si="199"/>
        <v>9.3099312660801148E-4</v>
      </c>
      <c r="AU153" s="25">
        <f t="shared" si="197"/>
        <v>-3.0394083739415656E-4</v>
      </c>
      <c r="AV153" s="30">
        <f t="shared" si="197"/>
        <v>9.9851787431553731E-3</v>
      </c>
      <c r="AW153" s="31">
        <f t="shared" si="197"/>
        <v>7.4424812469719992E-3</v>
      </c>
      <c r="AX153" s="12">
        <f t="shared" ref="AX153:BC153" si="200">GEOMEAN(AX3:AX17)</f>
        <v>0.99990355707567613</v>
      </c>
      <c r="AY153" s="12">
        <f t="shared" si="200"/>
        <v>1.0382362819691229</v>
      </c>
      <c r="AZ153" s="12">
        <f t="shared" si="200"/>
        <v>1.1448830918016879</v>
      </c>
      <c r="BA153" s="12">
        <f t="shared" si="200"/>
        <v>0.9999476450028405</v>
      </c>
      <c r="BB153" s="12">
        <f t="shared" si="200"/>
        <v>1.0179746807119832</v>
      </c>
      <c r="BC153" s="12">
        <f t="shared" si="200"/>
        <v>1.1225220854750024</v>
      </c>
    </row>
    <row r="154" spans="1:56" x14ac:dyDescent="0.2">
      <c r="B154" s="1" t="s">
        <v>41</v>
      </c>
      <c r="L154" s="12">
        <f>GEOMEAN(L18:L32)</f>
        <v>0.74249602810634086</v>
      </c>
      <c r="M154" s="12" t="e">
        <f>GEOMEAN(M18:M32)</f>
        <v>#NUM!</v>
      </c>
      <c r="N154" s="12">
        <f>GEOMEAN(N18:N32)</f>
        <v>0.18138255623185662</v>
      </c>
      <c r="X154" s="12">
        <f t="shared" ref="X154:AC154" si="201">GEOMEAN(X18:X32)</f>
        <v>0.74279743174721691</v>
      </c>
      <c r="Y154" s="12" t="e">
        <f t="shared" si="201"/>
        <v>#NUM!</v>
      </c>
      <c r="Z154" s="12">
        <f t="shared" si="201"/>
        <v>0.19323936241378681</v>
      </c>
      <c r="AA154" s="67">
        <f>GEOMEAN(AA18:AA32)</f>
        <v>1.0653690543801464</v>
      </c>
      <c r="AB154" s="67">
        <f t="shared" si="201"/>
        <v>1.0004059330009409</v>
      </c>
      <c r="AC154" s="12" t="e">
        <f t="shared" si="201"/>
        <v>#DIV/0!</v>
      </c>
      <c r="AD154" s="12">
        <f t="shared" ref="AD154" si="202">AVERAGE(AD18:AD32)</f>
        <v>9.0303197524882104E-4</v>
      </c>
      <c r="AF154" s="28">
        <f t="shared" ref="AF154:AK154" si="203">AVERAGE(AF18:AF32)</f>
        <v>-4.8344401174863866E-4</v>
      </c>
      <c r="AG154" s="32">
        <f t="shared" si="203"/>
        <v>1.0276675908573433E-2</v>
      </c>
      <c r="AH154" s="32">
        <f t="shared" si="203"/>
        <v>-1.5186859430615558E-3</v>
      </c>
      <c r="AI154" s="28">
        <f t="shared" si="203"/>
        <v>6.210590333577034E-4</v>
      </c>
      <c r="AJ154" s="32">
        <f t="shared" si="203"/>
        <v>8.9713257611522268E-3</v>
      </c>
      <c r="AK154" s="32">
        <f t="shared" si="203"/>
        <v>-1.2163822071908543E-3</v>
      </c>
      <c r="AL154" s="28">
        <f t="shared" ref="AL154:AQ154" si="204">AVERAGE(AL19:AL33)</f>
        <v>-3.9242697269015192E-4</v>
      </c>
      <c r="AM154" s="32">
        <f t="shared" si="204"/>
        <v>8.9123914539495832E-3</v>
      </c>
      <c r="AN154" s="32">
        <f t="shared" si="204"/>
        <v>-3.9510274871604372E-3</v>
      </c>
      <c r="AO154" s="28">
        <f t="shared" si="204"/>
        <v>9.3579306461329581E-4</v>
      </c>
      <c r="AP154" s="32">
        <f t="shared" si="204"/>
        <v>9.0600295633937646E-3</v>
      </c>
      <c r="AQ154" s="32">
        <f t="shared" si="204"/>
        <v>-2.1465243129425624E-3</v>
      </c>
      <c r="AR154" s="28">
        <f t="shared" ref="AR154:AW154" si="205">AVERAGE(AR18:AR32)</f>
        <v>-4.7739186649453647E-4</v>
      </c>
      <c r="AS154" s="32">
        <f t="shared" si="205"/>
        <v>9.8914360610654253E-3</v>
      </c>
      <c r="AT154" s="33">
        <f t="shared" si="205"/>
        <v>-1.6045975010950952E-3</v>
      </c>
      <c r="AU154" s="28">
        <f t="shared" si="205"/>
        <v>-2.4010803373208933E-4</v>
      </c>
      <c r="AV154" s="32">
        <f t="shared" si="205"/>
        <v>7.4750286933154735E-3</v>
      </c>
      <c r="AW154" s="33">
        <f t="shared" si="205"/>
        <v>-4.4183078474188857E-3</v>
      </c>
      <c r="AX154" s="12">
        <f t="shared" ref="AX154:BC154" si="206">GEOMEAN(AX18:AX32)</f>
        <v>1.0000126611591069</v>
      </c>
      <c r="AY154" s="12">
        <f t="shared" si="206"/>
        <v>1.0097137805533849</v>
      </c>
      <c r="AZ154" s="12">
        <f t="shared" si="206"/>
        <v>1.0726422784610263</v>
      </c>
      <c r="BA154" s="12">
        <f t="shared" si="206"/>
        <v>1.0000576151424199</v>
      </c>
      <c r="BB154" s="12">
        <f t="shared" si="206"/>
        <v>0.99808874002312775</v>
      </c>
      <c r="BC154" s="12">
        <f t="shared" si="206"/>
        <v>1.0650174762557816</v>
      </c>
    </row>
    <row r="155" spans="1:56" x14ac:dyDescent="0.2">
      <c r="B155" s="1" t="s">
        <v>1</v>
      </c>
      <c r="L155" s="12">
        <f>GEOMEAN(L33:L57)</f>
        <v>0.267610269096556</v>
      </c>
      <c r="M155" s="12" t="e">
        <f>GEOMEAN(M33:M57)</f>
        <v>#NUM!</v>
      </c>
      <c r="N155" s="12">
        <f>GEOMEAN(N33:N57)</f>
        <v>5.5112181339232104E-2</v>
      </c>
      <c r="X155" s="12">
        <f>GEOMEAN(X33:X57)</f>
        <v>0.25655341911531865</v>
      </c>
      <c r="Y155" s="12" t="e">
        <f>GEOMEAN(Y33:Y57)</f>
        <v>#NUM!</v>
      </c>
      <c r="Z155" s="12">
        <f>GEOMEAN(Z33:Z57)</f>
        <v>6.0147694534231605E-2</v>
      </c>
      <c r="AA155" s="67">
        <f t="shared" ref="AA155:AC155" si="207">GEOMEAN(AA33:AA57)</f>
        <v>1.0913684247771722</v>
      </c>
      <c r="AB155" s="67">
        <f t="shared" si="207"/>
        <v>0.95868301310497184</v>
      </c>
      <c r="AC155" s="12" t="e">
        <f t="shared" si="207"/>
        <v>#DIV/0!</v>
      </c>
      <c r="AD155" s="12">
        <f>AVERAGE(AD33:AD57)</f>
        <v>2.3147241733310034E-3</v>
      </c>
      <c r="AF155" s="28">
        <f>AVERAGE(AF33:AF57)</f>
        <v>7.029974401177475E-4</v>
      </c>
      <c r="AG155" s="32">
        <f t="shared" ref="AG155:AH155" si="208">AVERAGE(AG33:AG57)</f>
        <v>1.5723305565679801E-3</v>
      </c>
      <c r="AH155" s="32">
        <f t="shared" si="208"/>
        <v>9.6843930212537899E-3</v>
      </c>
      <c r="AI155" s="28">
        <f>AVERAGE(AI33:AI57)</f>
        <v>2.1262653036295378E-3</v>
      </c>
      <c r="AJ155" s="32">
        <f t="shared" ref="AJ155:AK155" si="209">AVERAGE(AJ33:AJ57)</f>
        <v>-7.1362160926633498E-4</v>
      </c>
      <c r="AK155" s="32">
        <f t="shared" si="209"/>
        <v>1.2674080670065457E-2</v>
      </c>
      <c r="AL155" s="28">
        <f t="shared" ref="AL155:AQ155" si="210">AVERAGE(AL34:AL58)</f>
        <v>9.5513105802964566E-4</v>
      </c>
      <c r="AM155" s="32">
        <f t="shared" si="210"/>
        <v>2.9936569454265262E-4</v>
      </c>
      <c r="AN155" s="32">
        <f t="shared" si="210"/>
        <v>1.3753338281190918E-2</v>
      </c>
      <c r="AO155" s="28">
        <f t="shared" si="210"/>
        <v>2.4460827403453679E-3</v>
      </c>
      <c r="AP155" s="32">
        <f t="shared" si="210"/>
        <v>-2.6423905947098535E-3</v>
      </c>
      <c r="AQ155" s="32">
        <f t="shared" si="210"/>
        <v>1.5450102203501492E-2</v>
      </c>
      <c r="AR155" s="28">
        <f t="shared" ref="AR155:AW155" si="211">AVERAGE(AR33:AR57)</f>
        <v>5.668880212160055E-4</v>
      </c>
      <c r="AS155" s="32">
        <f t="shared" si="211"/>
        <v>2.5675615168155642E-3</v>
      </c>
      <c r="AT155" s="33">
        <f t="shared" si="211"/>
        <v>6.1548955745086122E-3</v>
      </c>
      <c r="AU155" s="28">
        <f t="shared" si="211"/>
        <v>1.81319742784809E-3</v>
      </c>
      <c r="AV155" s="32">
        <f t="shared" si="211"/>
        <v>4.3649661395985806E-3</v>
      </c>
      <c r="AW155" s="33">
        <f t="shared" si="211"/>
        <v>5.4370577121595877E-3</v>
      </c>
      <c r="AX155" s="12">
        <f t="shared" ref="AX155:BC155" si="212">GEOMEAN(AX33:AX57)</f>
        <v>0.99984270557631039</v>
      </c>
      <c r="AY155" s="12">
        <f t="shared" si="212"/>
        <v>0.96620699512054653</v>
      </c>
      <c r="AZ155" s="12">
        <f t="shared" si="212"/>
        <v>1.0958353622455186</v>
      </c>
      <c r="BA155" s="12">
        <f t="shared" si="212"/>
        <v>0.99993350103670009</v>
      </c>
      <c r="BB155" s="12">
        <f t="shared" si="212"/>
        <v>0.97017958694761586</v>
      </c>
      <c r="BC155" s="12">
        <f t="shared" si="212"/>
        <v>1.0909297767690724</v>
      </c>
    </row>
    <row r="156" spans="1:56" x14ac:dyDescent="0.2">
      <c r="B156" s="1" t="s">
        <v>5</v>
      </c>
      <c r="L156" s="12">
        <f>GEOMEAN(L58:L77)</f>
        <v>0.13626499920966528</v>
      </c>
      <c r="M156" s="12" t="e">
        <f>GEOMEAN(M58:M77)</f>
        <v>#NUM!</v>
      </c>
      <c r="N156" s="12">
        <f>GEOMEAN(N58:N77)</f>
        <v>3.3794624845786637E-2</v>
      </c>
      <c r="X156" s="12">
        <f>GEOMEAN(X58:X77)</f>
        <v>0.1418935809318744</v>
      </c>
      <c r="Y156" s="12" t="e">
        <f>GEOMEAN(Y58:Y77)</f>
        <v>#NUM!</v>
      </c>
      <c r="Z156" s="12">
        <f>GEOMEAN(Z58:Z77)</f>
        <v>3.1873166750961156E-2</v>
      </c>
      <c r="AA156" s="67">
        <f t="shared" ref="AA156:AC156" si="213">GEOMEAN(AA58:AA77)</f>
        <v>0.9431430855174876</v>
      </c>
      <c r="AB156" s="67">
        <f t="shared" si="213"/>
        <v>1.0413061443133218</v>
      </c>
      <c r="AC156" s="12" t="e">
        <f t="shared" si="213"/>
        <v>#DIV/0!</v>
      </c>
      <c r="AD156" s="12">
        <f>AVERAGE(AD58:AD77)</f>
        <v>4.1725574712924898E-3</v>
      </c>
      <c r="AF156" s="28">
        <f>AVERAGE(AF58:AF77)</f>
        <v>8.346617092981623E-4</v>
      </c>
      <c r="AG156" s="32">
        <f t="shared" ref="AG156:AH156" si="214">AVERAGE(AG58:AG77)</f>
        <v>-1.1395145925760519E-3</v>
      </c>
      <c r="AH156" s="32">
        <f t="shared" si="214"/>
        <v>-9.460210041762146E-3</v>
      </c>
      <c r="AI156" s="28">
        <f>AVERAGE(AI58:AI77)</f>
        <v>5.2498742379383789E-3</v>
      </c>
      <c r="AJ156" s="32">
        <f t="shared" ref="AJ156:AK156" si="215">AVERAGE(AJ58:AJ77)</f>
        <v>1.3829066488068031E-3</v>
      </c>
      <c r="AK156" s="32">
        <f t="shared" si="215"/>
        <v>-7.2107158868857102E-3</v>
      </c>
      <c r="AL156" s="28">
        <f t="shared" ref="AL156:AQ156" si="216">AVERAGE(AL59:AL78)</f>
        <v>1.5302470600379592E-3</v>
      </c>
      <c r="AM156" s="32">
        <f t="shared" si="216"/>
        <v>-5.0980259996772082E-3</v>
      </c>
      <c r="AN156" s="32">
        <f t="shared" si="216"/>
        <v>-1.1990669492448397E-2</v>
      </c>
      <c r="AO156" s="28">
        <f t="shared" si="216"/>
        <v>5.6809895307306513E-3</v>
      </c>
      <c r="AP156" s="32">
        <f t="shared" si="216"/>
        <v>4.5016354924265478E-5</v>
      </c>
      <c r="AQ156" s="32">
        <f t="shared" si="216"/>
        <v>-6.9614312161635217E-3</v>
      </c>
      <c r="AR156" s="28">
        <f t="shared" ref="AR156:AW156" si="217">AVERAGE(AR58:AR77)</f>
        <v>2.2024348726779053E-4</v>
      </c>
      <c r="AS156" s="32">
        <f t="shared" si="217"/>
        <v>6.2693546976799741E-4</v>
      </c>
      <c r="AT156" s="33">
        <f t="shared" si="217"/>
        <v>-4.9773303631960031E-3</v>
      </c>
      <c r="AU156" s="28">
        <f t="shared" si="217"/>
        <v>2.4307987320545121E-3</v>
      </c>
      <c r="AV156" s="32">
        <f t="shared" si="217"/>
        <v>2.3944826359700855E-3</v>
      </c>
      <c r="AW156" s="33">
        <f t="shared" si="217"/>
        <v>9.4095971157231173E-3</v>
      </c>
      <c r="AX156" s="12">
        <f t="shared" ref="AX156:BC156" si="218">GEOMEAN(AX58:AX77)</f>
        <v>0.99991719767052201</v>
      </c>
      <c r="AY156" s="12">
        <f t="shared" si="218"/>
        <v>1.0468618385978465</v>
      </c>
      <c r="AZ156" s="12">
        <f t="shared" si="218"/>
        <v>0.94565836259128977</v>
      </c>
      <c r="BA156" s="12">
        <f t="shared" si="218"/>
        <v>1.0000991362059883</v>
      </c>
      <c r="BB156" s="12">
        <f t="shared" si="218"/>
        <v>1.0476889121071553</v>
      </c>
      <c r="BC156" s="12">
        <f t="shared" si="218"/>
        <v>0.94003770646511053</v>
      </c>
    </row>
    <row r="157" spans="1:56" x14ac:dyDescent="0.2">
      <c r="B157" s="1" t="s">
        <v>6</v>
      </c>
      <c r="L157" s="12">
        <f>GEOMEAN(L78:L97)</f>
        <v>9.5889189508295961E-2</v>
      </c>
      <c r="M157" s="12" t="e">
        <f>GEOMEAN(M78:M97)</f>
        <v>#NUM!</v>
      </c>
      <c r="N157" s="12">
        <f>GEOMEAN(N78:N97)</f>
        <v>1.0890060313224374E-2</v>
      </c>
      <c r="X157" s="12">
        <f>GEOMEAN(X78:X97)</f>
        <v>9.9934184768890169E-2</v>
      </c>
      <c r="Y157" s="12" t="e">
        <f>GEOMEAN(Y78:Y97)</f>
        <v>#NUM!</v>
      </c>
      <c r="Z157" s="12">
        <f>GEOMEAN(Z78:Z97)</f>
        <v>9.8355387766521397E-3</v>
      </c>
      <c r="AA157" s="67">
        <f t="shared" ref="AA157:AC157" si="219">GEOMEAN(AA78:AA97)</f>
        <v>0.90316660273298277</v>
      </c>
      <c r="AB157" s="67">
        <f t="shared" si="219"/>
        <v>1.0421840593432512</v>
      </c>
      <c r="AC157" s="12" t="e">
        <f t="shared" si="219"/>
        <v>#DIV/0!</v>
      </c>
      <c r="AD157" s="12">
        <f>AVERAGE(AD78:AD97)</f>
        <v>4.3526173532903011E-3</v>
      </c>
      <c r="AF157" s="28">
        <f>AVERAGE(AF78:AF97)</f>
        <v>-3.1123075524544519E-4</v>
      </c>
      <c r="AG157" s="32">
        <f t="shared" ref="AG157:AH157" si="220">AVERAGE(AG78:AG97)</f>
        <v>-1.2097571161354514E-2</v>
      </c>
      <c r="AH157" s="32">
        <f t="shared" si="220"/>
        <v>-6.3039965549011034E-3</v>
      </c>
      <c r="AI157" s="28">
        <f>AVERAGE(AI78:AI97)</f>
        <v>4.7786876917039756E-3</v>
      </c>
      <c r="AJ157" s="32">
        <f t="shared" ref="AJ157:AK157" si="221">AVERAGE(AJ78:AJ97)</f>
        <v>-1.5766726409487952E-3</v>
      </c>
      <c r="AK157" s="32">
        <f t="shared" si="221"/>
        <v>8.9286548222256013E-4</v>
      </c>
      <c r="AL157" s="28">
        <f t="shared" ref="AL157:AQ157" si="222">AVERAGE(AL79:AL98)</f>
        <v>-3.0514587937308102E-4</v>
      </c>
      <c r="AM157" s="32">
        <f t="shared" si="222"/>
        <v>-2.3486275436790827E-2</v>
      </c>
      <c r="AN157" s="32">
        <f t="shared" si="222"/>
        <v>-1.2774044053142697E-2</v>
      </c>
      <c r="AO157" s="28">
        <f t="shared" si="222"/>
        <v>4.6539622646720458E-3</v>
      </c>
      <c r="AP157" s="32">
        <f t="shared" si="222"/>
        <v>-6.7046067541012E-3</v>
      </c>
      <c r="AQ157" s="32">
        <f t="shared" si="222"/>
        <v>-2.6515453728037652E-4</v>
      </c>
      <c r="AR157" s="28">
        <f t="shared" ref="AR157:AW157" si="223">AVERAGE(AR78:AR97)</f>
        <v>-4.2048228868932225E-4</v>
      </c>
      <c r="AS157" s="32">
        <f t="shared" si="223"/>
        <v>-1.8283088975729112E-2</v>
      </c>
      <c r="AT157" s="33">
        <f t="shared" si="223"/>
        <v>-6.110655139339477E-3</v>
      </c>
      <c r="AU157" s="28">
        <f t="shared" si="223"/>
        <v>4.5226628543298675E-3</v>
      </c>
      <c r="AV157" s="32">
        <f t="shared" si="223"/>
        <v>-2.4640894097033711E-2</v>
      </c>
      <c r="AW157" s="33">
        <f t="shared" si="223"/>
        <v>5.9498642829522441E-4</v>
      </c>
      <c r="AX157" s="12">
        <f t="shared" ref="AX157:BC157" si="224">GEOMEAN(AX78:AX97)</f>
        <v>0.99996230090472893</v>
      </c>
      <c r="AY157" s="12">
        <f t="shared" si="224"/>
        <v>1.0690501369111229</v>
      </c>
      <c r="AZ157" s="12">
        <f t="shared" si="224"/>
        <v>0.9062706796766038</v>
      </c>
      <c r="BA157" s="12">
        <f t="shared" si="224"/>
        <v>0.99983662014976615</v>
      </c>
      <c r="BB157" s="12">
        <f t="shared" si="224"/>
        <v>1.0103543988684844</v>
      </c>
      <c r="BC157" s="12">
        <f t="shared" si="224"/>
        <v>0.90626226813081523</v>
      </c>
    </row>
    <row r="158" spans="1:56" x14ac:dyDescent="0.2">
      <c r="B158" s="1" t="s">
        <v>7</v>
      </c>
      <c r="L158" s="12">
        <f>GEOMEAN(L98:L112)</f>
        <v>0.15521816916432501</v>
      </c>
      <c r="M158" s="12" t="e">
        <f>GEOMEAN(M98:M112)</f>
        <v>#NUM!</v>
      </c>
      <c r="N158" s="12">
        <f>GEOMEAN(N98:N112)</f>
        <v>3.1162347024011799E-2</v>
      </c>
      <c r="X158" s="12">
        <f>GEOMEAN(X98:X112)</f>
        <v>0.15274693007695608</v>
      </c>
      <c r="Y158" s="12" t="e">
        <f>GEOMEAN(Y98:Y112)</f>
        <v>#NUM!</v>
      </c>
      <c r="Z158" s="12">
        <f>GEOMEAN(Z98:Z112)</f>
        <v>2.8564060784985901E-2</v>
      </c>
      <c r="AA158" s="67">
        <f t="shared" ref="AA158:AC158" si="225">GEOMEAN(AA98:AA112)</f>
        <v>0.91662097091005945</v>
      </c>
      <c r="AB158" s="67">
        <f t="shared" si="225"/>
        <v>0.98407893160527671</v>
      </c>
      <c r="AC158" s="12" t="e">
        <f t="shared" si="225"/>
        <v>#DIV/0!</v>
      </c>
      <c r="AD158" s="12">
        <f>AVERAGE(AD98:AD109)</f>
        <v>5.4243119458385848E-3</v>
      </c>
      <c r="AF158" s="28">
        <f>AVERAGE(AF98:AF109)</f>
        <v>-6.3117762216683782E-4</v>
      </c>
      <c r="AG158" s="32">
        <f t="shared" ref="AG158:AH158" si="226">AVERAGE(AG98:AG109)</f>
        <v>1.1970959472429321E-4</v>
      </c>
      <c r="AH158" s="32">
        <f t="shared" si="226"/>
        <v>-7.9687819055520217E-3</v>
      </c>
      <c r="AI158" s="28">
        <f>AVERAGE(AI98:AI109)</f>
        <v>-1.6102684606064122E-3</v>
      </c>
      <c r="AJ158" s="32">
        <f t="shared" ref="AJ158:AK158" si="227">AVERAGE(AJ98:AJ109)</f>
        <v>5.6206488320235482E-4</v>
      </c>
      <c r="AK158" s="32">
        <f t="shared" si="227"/>
        <v>-1.0211150718943149E-2</v>
      </c>
      <c r="AL158" s="28">
        <f t="shared" ref="AL158:AQ158" si="228">AVERAGE(AL99:AL110)</f>
        <v>-7.474188421514224E-4</v>
      </c>
      <c r="AM158" s="32">
        <f t="shared" si="228"/>
        <v>-2.1459832819633227E-3</v>
      </c>
      <c r="AN158" s="32">
        <f t="shared" si="228"/>
        <v>-7.0590752508240167E-3</v>
      </c>
      <c r="AO158" s="28">
        <f t="shared" si="228"/>
        <v>-2.0434023339453988E-3</v>
      </c>
      <c r="AP158" s="32">
        <f t="shared" si="228"/>
        <v>-3.8164202161738991E-4</v>
      </c>
      <c r="AQ158" s="32">
        <f t="shared" si="228"/>
        <v>-7.3803915163452123E-3</v>
      </c>
      <c r="AR158" s="28">
        <f t="shared" ref="AR158:AW158" si="229">AVERAGE(AR98:AR109)</f>
        <v>-9.0865933134143262E-4</v>
      </c>
      <c r="AS158" s="32">
        <f t="shared" si="229"/>
        <v>1.1586466463657426E-3</v>
      </c>
      <c r="AT158" s="33">
        <f t="shared" si="229"/>
        <v>-7.3179924271558061E-3</v>
      </c>
      <c r="AU158" s="28">
        <f t="shared" si="229"/>
        <v>7.8238249674026739E-4</v>
      </c>
      <c r="AV158" s="32">
        <f t="shared" si="229"/>
        <v>1.72329278157346E-3</v>
      </c>
      <c r="AW158" s="33">
        <f t="shared" si="229"/>
        <v>1.9415800815005824E-3</v>
      </c>
      <c r="AX158" s="12">
        <f t="shared" ref="AX158:BC158" si="230">GEOMEAN(AX98:AX112)</f>
        <v>1.0000838586623022</v>
      </c>
      <c r="AY158" s="12">
        <f t="shared" si="230"/>
        <v>1.0008738886481945</v>
      </c>
      <c r="AZ158" s="12">
        <f t="shared" si="230"/>
        <v>0.91355612441629808</v>
      </c>
      <c r="BA158" s="12">
        <f t="shared" si="230"/>
        <v>1.0000025231138185</v>
      </c>
      <c r="BB158" s="12">
        <f t="shared" si="230"/>
        <v>0.97686059869744524</v>
      </c>
      <c r="BC158" s="12">
        <f t="shared" si="230"/>
        <v>0.92417106927804471</v>
      </c>
    </row>
    <row r="159" spans="1:56" x14ac:dyDescent="0.2">
      <c r="B159" s="1" t="s">
        <v>18</v>
      </c>
      <c r="L159" s="12">
        <f>GEOMEAN(L113:L132)</f>
        <v>0.18907085153660874</v>
      </c>
      <c r="M159" s="12" t="e">
        <f>GEOMEAN(M113:M132)</f>
        <v>#NUM!</v>
      </c>
      <c r="N159" s="12">
        <f>GEOMEAN(N113:N132)</f>
        <v>3.7149803837682897E-2</v>
      </c>
      <c r="X159" s="12">
        <f>GEOMEAN(X113:X132)</f>
        <v>0.19979711622559107</v>
      </c>
      <c r="Y159" s="12" t="e">
        <f>GEOMEAN(Y113:Y132)</f>
        <v>#NUM!</v>
      </c>
      <c r="Z159" s="12">
        <f>GEOMEAN(Z113:Z132)</f>
        <v>3.8744141027604616E-2</v>
      </c>
      <c r="AA159" s="67">
        <f t="shared" ref="AA159:AC160" si="231">GEOMEAN(AA113:AA132)</f>
        <v>1.0429164362990391</v>
      </c>
      <c r="AB159" s="67">
        <f>GEOMEAN(AB113:AB132)</f>
        <v>1.0567314559690628</v>
      </c>
      <c r="AC159" s="12" t="e">
        <f>GEOMEAN(AC113:AC132)</f>
        <v>#DIV/0!</v>
      </c>
      <c r="AD159" s="12">
        <f>AVERAGE(AD113:AD132)</f>
        <v>2.2514287481219834E-3</v>
      </c>
      <c r="AF159" s="28">
        <f>AVERAGE(AF113:AF132)</f>
        <v>-1.6126503925945612E-3</v>
      </c>
      <c r="AG159" s="32">
        <f t="shared" ref="AG159:AH159" si="232">AVERAGE(AG113:AG132)</f>
        <v>3.4969346577858607E-3</v>
      </c>
      <c r="AH159" s="32">
        <f t="shared" si="232"/>
        <v>1.3525090084933189E-3</v>
      </c>
      <c r="AI159" s="28">
        <f>AVERAGE(AI113:AI132)</f>
        <v>2.7266246213830392E-3</v>
      </c>
      <c r="AJ159" s="32">
        <f t="shared" ref="AJ159:AK159" si="233">AVERAGE(AJ113:AJ132)</f>
        <v>-5.4966863997206461E-3</v>
      </c>
      <c r="AK159" s="32">
        <f t="shared" si="233"/>
        <v>-4.2509605495374414E-3</v>
      </c>
      <c r="AL159" s="28">
        <f t="shared" ref="AL159:AQ159" si="234">AVERAGE(AL114:AL132)</f>
        <v>-1.2180847653275872E-3</v>
      </c>
      <c r="AM159" s="32">
        <f t="shared" si="234"/>
        <v>6.0724053851183568E-3</v>
      </c>
      <c r="AN159" s="32">
        <f t="shared" si="234"/>
        <v>-7.9912762642825319E-5</v>
      </c>
      <c r="AO159" s="28">
        <f t="shared" si="234"/>
        <v>3.2247964038607524E-3</v>
      </c>
      <c r="AP159" s="32">
        <f t="shared" si="234"/>
        <v>-4.3699991885401968E-3</v>
      </c>
      <c r="AQ159" s="32">
        <f t="shared" si="234"/>
        <v>-6.3294113373297822E-3</v>
      </c>
      <c r="AR159" s="28">
        <f t="shared" ref="AR159:AW159" si="235">AVERAGE(AR113:AR132)</f>
        <v>-8.0569704574490197E-4</v>
      </c>
      <c r="AS159" s="32">
        <f t="shared" si="235"/>
        <v>5.4935821063798462E-3</v>
      </c>
      <c r="AT159" s="33">
        <f t="shared" si="235"/>
        <v>6.4128482376246687E-5</v>
      </c>
      <c r="AU159" s="28">
        <f t="shared" si="235"/>
        <v>1.1941412334640078E-3</v>
      </c>
      <c r="AV159" s="32">
        <f t="shared" si="235"/>
        <v>1.4006197648563895E-2</v>
      </c>
      <c r="AW159" s="33">
        <f t="shared" si="235"/>
        <v>-9.2682298475627034E-3</v>
      </c>
      <c r="AX159" s="12">
        <f t="shared" ref="AX159" si="236">GEOMEAN(AX113:AX132)</f>
        <v>0.99999781281497779</v>
      </c>
      <c r="AY159" s="12">
        <f>GEOMEAN(AY113:AY132)</f>
        <v>1.05542518926916</v>
      </c>
      <c r="AZ159" s="12">
        <f>GEOMEAN(AZ113:AZ132)</f>
        <v>1.0528958891401672</v>
      </c>
      <c r="BA159" s="12">
        <f t="shared" ref="BA159" si="237">GEOMEAN(BA113:BA132)</f>
        <v>1.0000672976196869</v>
      </c>
      <c r="BB159" s="12">
        <f>GEOMEAN(BB113:BB132)</f>
        <v>1.0250607552530873</v>
      </c>
      <c r="BC159" s="12">
        <f>GEOMEAN(BC113:BC132)</f>
        <v>1.0327266395787</v>
      </c>
    </row>
    <row r="160" spans="1:56" ht="12.75" thickBot="1" x14ac:dyDescent="0.25">
      <c r="B160" s="1" t="s">
        <v>69</v>
      </c>
      <c r="L160" s="12" t="e">
        <f>GEOMEAN(L133:L152)</f>
        <v>#NUM!</v>
      </c>
      <c r="M160" s="12" t="e">
        <f>GEOMEAN(M133:M152)</f>
        <v>#NUM!</v>
      </c>
      <c r="N160" s="12" t="e">
        <f>GEOMEAN(N133:N152)</f>
        <v>#NUM!</v>
      </c>
      <c r="X160" s="12" t="e">
        <f>GEOMEAN(X133:X152)</f>
        <v>#NUM!</v>
      </c>
      <c r="Y160" s="12" t="e">
        <f>GEOMEAN(Y133:Y152)</f>
        <v>#NUM!</v>
      </c>
      <c r="Z160" s="12" t="e">
        <f>GEOMEAN(Z133:Z152)</f>
        <v>#NUM!</v>
      </c>
      <c r="AA160" s="12" t="e">
        <f>GEOMEAN(AA133:AA152)</f>
        <v>#DIV/0!</v>
      </c>
      <c r="AB160" s="12" t="e">
        <f t="shared" si="231"/>
        <v>#DIV/0!</v>
      </c>
      <c r="AC160" s="12" t="e">
        <f t="shared" si="231"/>
        <v>#DIV/0!</v>
      </c>
      <c r="AD160" s="12" t="e">
        <f>AVERAGE(AD133:AD152)</f>
        <v>#DIV/0!</v>
      </c>
      <c r="AF160" s="28" t="e">
        <f t="shared" ref="AF160:AW160" si="238">AVERAGE(AF133:AF152)</f>
        <v>#VALUE!</v>
      </c>
      <c r="AG160" s="32" t="e">
        <f t="shared" si="238"/>
        <v>#VALUE!</v>
      </c>
      <c r="AH160" s="32" t="e">
        <f t="shared" si="238"/>
        <v>#VALUE!</v>
      </c>
      <c r="AI160" s="28" t="e">
        <f t="shared" si="238"/>
        <v>#VALUE!</v>
      </c>
      <c r="AJ160" s="32" t="e">
        <f t="shared" si="238"/>
        <v>#VALUE!</v>
      </c>
      <c r="AK160" s="32" t="e">
        <f t="shared" si="238"/>
        <v>#VALUE!</v>
      </c>
      <c r="AL160" s="28" t="e">
        <f t="shared" si="238"/>
        <v>#VALUE!</v>
      </c>
      <c r="AM160" s="32" t="e">
        <f t="shared" si="238"/>
        <v>#VALUE!</v>
      </c>
      <c r="AN160" s="32" t="e">
        <f t="shared" si="238"/>
        <v>#VALUE!</v>
      </c>
      <c r="AO160" s="28" t="e">
        <f t="shared" si="238"/>
        <v>#VALUE!</v>
      </c>
      <c r="AP160" s="32" t="e">
        <f t="shared" si="238"/>
        <v>#VALUE!</v>
      </c>
      <c r="AQ160" s="32" t="e">
        <f t="shared" si="238"/>
        <v>#VALUE!</v>
      </c>
      <c r="AR160" s="28" t="e">
        <f t="shared" si="238"/>
        <v>#VALUE!</v>
      </c>
      <c r="AS160" s="32" t="e">
        <f t="shared" si="238"/>
        <v>#VALUE!</v>
      </c>
      <c r="AT160" s="32" t="e">
        <f t="shared" si="238"/>
        <v>#VALUE!</v>
      </c>
      <c r="AU160" s="28" t="e">
        <f t="shared" si="238"/>
        <v>#VALUE!</v>
      </c>
      <c r="AV160" s="32" t="e">
        <f t="shared" si="238"/>
        <v>#VALUE!</v>
      </c>
      <c r="AW160" s="32" t="e">
        <f t="shared" si="238"/>
        <v>#VALUE!</v>
      </c>
      <c r="AX160" s="12" t="e">
        <f>GEOMEAN(AX133:AX152)</f>
        <v>#DIV/0!</v>
      </c>
      <c r="AY160" s="12">
        <f t="shared" ref="AY160:AZ160" si="239">GEOMEAN(AY114:AY133)</f>
        <v>1.05542518926916</v>
      </c>
      <c r="AZ160" s="12">
        <f t="shared" si="239"/>
        <v>1.0528958891401672</v>
      </c>
      <c r="BA160" s="12" t="e">
        <f>GEOMEAN(BA133:BA152)</f>
        <v>#DIV/0!</v>
      </c>
      <c r="BB160" s="12" t="e">
        <f>GEOMEAN(BB114:BB133)</f>
        <v>#DIV/0!</v>
      </c>
      <c r="BC160" s="12" t="e">
        <f t="shared" ref="BC160" si="240">GEOMEAN(BC114:BC133)</f>
        <v>#DIV/0!</v>
      </c>
    </row>
    <row r="161" spans="1:55" ht="12.75" thickBot="1" x14ac:dyDescent="0.25">
      <c r="A161" s="61"/>
      <c r="B161" s="62" t="s">
        <v>8</v>
      </c>
      <c r="C161" s="62"/>
      <c r="D161" s="62"/>
      <c r="E161" s="62"/>
      <c r="F161" s="62"/>
      <c r="G161" s="62"/>
      <c r="H161" s="62"/>
      <c r="I161" s="62"/>
      <c r="J161" s="62"/>
      <c r="K161" s="62"/>
      <c r="L161" s="63">
        <f>GEOMEAN(L3:L77, L98:L112)</f>
        <v>0.28266220580485535</v>
      </c>
      <c r="M161" s="63" t="e">
        <f>GEOMEAN(M3:M77, M98:M112)</f>
        <v>#NUM!</v>
      </c>
      <c r="N161" s="63">
        <f>GEOMEAN(N3:N77,N98:N112)</f>
        <v>5.8098890233294065E-2</v>
      </c>
      <c r="O161" s="62"/>
      <c r="P161" s="62"/>
      <c r="Q161" s="62"/>
      <c r="R161" s="62"/>
      <c r="S161" s="62"/>
      <c r="T161" s="62"/>
      <c r="U161" s="62"/>
      <c r="V161" s="62"/>
      <c r="W161" s="62"/>
      <c r="X161" s="63">
        <f>GEOMEAN(X3:X77,X98:X112)</f>
        <v>0.28219347498330338</v>
      </c>
      <c r="Y161" s="63" t="e">
        <f>GEOMEAN(Y3:Y77,Y98:Y112)</f>
        <v>#NUM!</v>
      </c>
      <c r="Z161" s="63">
        <f>GEOMEAN(Z3:Z77,Z98:Z112)</f>
        <v>5.9721082767971174E-2</v>
      </c>
      <c r="AA161" s="63">
        <f>GEOMEAN(AA3:AA77,AA98:AA112)</f>
        <v>1.0279212309936256</v>
      </c>
      <c r="AB161" s="63">
        <f>GEOMEAN(AB3:AB77,AB98:AB112)</f>
        <v>0.99834172799926568</v>
      </c>
      <c r="AC161" s="63" t="e">
        <f>GEOMEAN(AC3:AC77,AC133:AC152)</f>
        <v>#DIV/0!</v>
      </c>
      <c r="AD161" s="63">
        <f t="shared" ref="AD161" si="241">AVERAGE(AD3:AD77,AD98:AD112)</f>
        <v>3.0070399775385332E-3</v>
      </c>
      <c r="AE161" s="4"/>
      <c r="AF161" s="29">
        <f>AVERAGE(AF3:AF132)</f>
        <v>-2.150447121381708E-5</v>
      </c>
      <c r="AG161" s="29">
        <f t="shared" ref="AG161:AW161" si="242">AVERAGE(AG3:AG132)</f>
        <v>5.6213029856427843E-4</v>
      </c>
      <c r="AH161" s="29">
        <f t="shared" si="242"/>
        <v>-1.1997829839144496E-3</v>
      </c>
      <c r="AI161" s="29">
        <f t="shared" si="242"/>
        <v>2.3829006816070398E-3</v>
      </c>
      <c r="AJ161" s="29">
        <f t="shared" si="242"/>
        <v>9.4364061036460699E-4</v>
      </c>
      <c r="AK161" s="29">
        <f t="shared" si="242"/>
        <v>6.0872778888713627E-4</v>
      </c>
      <c r="AL161" s="29">
        <f t="shared" si="242"/>
        <v>2.8497267393578623E-4</v>
      </c>
      <c r="AM161" s="29">
        <f t="shared" si="242"/>
        <v>-2.3372205685833927E-3</v>
      </c>
      <c r="AN161" s="29">
        <f t="shared" si="242"/>
        <v>-1.8580539888874809E-3</v>
      </c>
      <c r="AO161" s="29">
        <f t="shared" si="242"/>
        <v>2.5974785402141588E-3</v>
      </c>
      <c r="AP161" s="29">
        <f t="shared" si="242"/>
        <v>-4.832611265596173E-4</v>
      </c>
      <c r="AQ161" s="29">
        <f t="shared" si="242"/>
        <v>1.2735552869148283E-3</v>
      </c>
      <c r="AR161" s="29">
        <f t="shared" si="242"/>
        <v>-2.043800445271851E-4</v>
      </c>
      <c r="AS161" s="29">
        <f t="shared" si="242"/>
        <v>5.5136370061233445E-4</v>
      </c>
      <c r="AT161" s="29">
        <f t="shared" si="242"/>
        <v>-1.4344515620393285E-3</v>
      </c>
      <c r="AU161" s="29">
        <f t="shared" si="242"/>
        <v>1.6296692036721562E-3</v>
      </c>
      <c r="AV161" s="29">
        <f t="shared" si="242"/>
        <v>1.7851721577741115E-3</v>
      </c>
      <c r="AW161" s="29">
        <f t="shared" si="242"/>
        <v>1.7318447611454452E-3</v>
      </c>
      <c r="AX161" s="42">
        <f>GEOMEAN(AX3:AX77,AX98:AX112)</f>
        <v>0.9999379157573246</v>
      </c>
      <c r="AY161" s="42" t="e">
        <f>GEOMEAN(AY3:AY77,AY133:AY152)</f>
        <v>#DIV/0!</v>
      </c>
      <c r="AZ161" s="42" t="e">
        <f>GEOMEAN(AZ3:AZ77,AZ133:AZ152)</f>
        <v>#DIV/0!</v>
      </c>
      <c r="BA161" s="42">
        <f>GEOMEAN(BA3:BA77,BA98:BA112)</f>
        <v>1.0000048533436618</v>
      </c>
      <c r="BB161" s="42">
        <f>GEOMEAN(BB3:BB77,BB98:BB112)</f>
        <v>1.0006918116215577</v>
      </c>
      <c r="BC161" s="42">
        <f>GEOMEAN(BC3:BC77,BC98:BC112)</f>
        <v>1.0274216809737302</v>
      </c>
    </row>
    <row r="162" spans="1:55" x14ac:dyDescent="0.2">
      <c r="B162" s="1" t="s">
        <v>9</v>
      </c>
      <c r="L162" s="22">
        <f>GEOMEAN(L3:L132)</f>
        <v>0.22499304243530741</v>
      </c>
      <c r="M162" s="22" t="e">
        <f>GEOMEAN(M3:M132)</f>
        <v>#NUM!</v>
      </c>
      <c r="N162" s="22">
        <f>GEOMEAN(N3:N132)</f>
        <v>4.1920056355160377E-2</v>
      </c>
      <c r="X162" s="22">
        <f>GEOMEAN(X3:X132)</f>
        <v>0.22809598325701769</v>
      </c>
      <c r="Y162" s="22" t="e">
        <f>GEOMEAN(Y3:Y132)</f>
        <v>#NUM!</v>
      </c>
      <c r="Z162" s="22">
        <f>GEOMEAN(Z3:Z132)</f>
        <v>4.2335473213454419E-2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x14ac:dyDescent="0.2">
      <c r="B163" s="1" t="s">
        <v>10</v>
      </c>
      <c r="X163" s="23">
        <f>X162/L162</f>
        <v>1.0137912745573121</v>
      </c>
      <c r="Y163" s="23" t="e">
        <f>Y162/M162</f>
        <v>#NUM!</v>
      </c>
      <c r="Z163" s="23">
        <f>Z162/N162</f>
        <v>1.0099097399768382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t="12.75" thickBot="1" x14ac:dyDescent="0.25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t="12.75" thickBot="1" x14ac:dyDescent="0.25">
      <c r="AA165" s="63">
        <f>GEOMEAN(AA58:AA132)</f>
        <v>0.95220388486034346</v>
      </c>
      <c r="AB165" s="63">
        <f>GEOMEAN(AB58:AB132)</f>
        <v>1.0338780573883439</v>
      </c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x14ac:dyDescent="0.2">
      <c r="B167" s="1" t="s">
        <v>40</v>
      </c>
      <c r="L167" s="12">
        <f>SUM(L$3:L$17)</f>
        <v>8.984</v>
      </c>
      <c r="M167" s="12">
        <f>SUM(M$3:M$17)</f>
        <v>0</v>
      </c>
      <c r="N167" s="12">
        <f>SUM(N$3:N$17)</f>
        <v>2.5893544444444445</v>
      </c>
      <c r="X167" s="12">
        <f>SUM(X$3:X$17)</f>
        <v>9.0950000000000006</v>
      </c>
      <c r="Y167" s="12">
        <f>SUM(Y$3:Y$17)</f>
        <v>0</v>
      </c>
      <c r="Z167" s="12">
        <f>SUM(Z$3:Z$17)</f>
        <v>2.7743908333333338</v>
      </c>
      <c r="AA167" s="12">
        <f>X167/L167</f>
        <v>1.0123552983081034</v>
      </c>
      <c r="AB167" s="12" t="e">
        <f>Y167/M167</f>
        <v>#DIV/0!</v>
      </c>
      <c r="AC167" s="12">
        <f t="shared" ref="AB167:AC174" si="243">Y167/L167</f>
        <v>0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x14ac:dyDescent="0.2">
      <c r="B168" s="1" t="s">
        <v>41</v>
      </c>
      <c r="L168" s="12">
        <f>SUM(L$18:L$32)</f>
        <v>11.74</v>
      </c>
      <c r="M168" s="12">
        <f>SUM(M$18:M$32)</f>
        <v>0</v>
      </c>
      <c r="N168" s="12">
        <f>SUM(N$18:N$32)</f>
        <v>4.2400486111111109</v>
      </c>
      <c r="X168" s="12">
        <f>SUM(X$18:X$32)</f>
        <v>11.635</v>
      </c>
      <c r="Y168" s="12">
        <f>SUM(Y$18:Y$32)</f>
        <v>0</v>
      </c>
      <c r="Z168" s="12">
        <f>SUM(Z$18:Z$32)</f>
        <v>4.4517747222222219</v>
      </c>
      <c r="AA168" s="12">
        <f t="shared" ref="AA168:AA174" si="244">X168/L168</f>
        <v>0.99105621805792155</v>
      </c>
      <c r="AB168" s="12" t="e">
        <f t="shared" si="243"/>
        <v>#DIV/0!</v>
      </c>
      <c r="AC168" s="12">
        <f t="shared" si="243"/>
        <v>0</v>
      </c>
      <c r="AD168" s="12"/>
      <c r="AF168" s="21"/>
      <c r="AG168" s="76" t="s">
        <v>97</v>
      </c>
      <c r="AH168" s="83" t="s">
        <v>98</v>
      </c>
      <c r="AI168" s="82" t="s">
        <v>99</v>
      </c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x14ac:dyDescent="0.2">
      <c r="B169" s="1" t="s">
        <v>1</v>
      </c>
      <c r="L169" s="12">
        <f>SUM(L$33:L$57)</f>
        <v>6.9190000000000005</v>
      </c>
      <c r="M169" s="12">
        <f>SUM(M$33:M$57)</f>
        <v>0</v>
      </c>
      <c r="N169" s="12">
        <f>SUM(N$33:N$57)</f>
        <v>2.0734463888888892</v>
      </c>
      <c r="X169" s="12">
        <f>SUM(X$33:X$57)</f>
        <v>6.6340000000000003</v>
      </c>
      <c r="Y169" s="12">
        <f>SUM(Y$33:Y$57)</f>
        <v>0</v>
      </c>
      <c r="Z169" s="12">
        <f>SUM(Z$33:Z$57)</f>
        <v>2.2172463888888885</v>
      </c>
      <c r="AA169" s="12">
        <f t="shared" si="244"/>
        <v>0.95880907645613522</v>
      </c>
      <c r="AB169" s="12" t="e">
        <f t="shared" si="243"/>
        <v>#DIV/0!</v>
      </c>
      <c r="AC169" s="12">
        <f t="shared" si="243"/>
        <v>0</v>
      </c>
      <c r="AD169" s="12"/>
      <c r="AF169" s="21"/>
      <c r="AG169" s="73" t="s">
        <v>5</v>
      </c>
      <c r="AH169" s="80">
        <v>0.9431430855174876</v>
      </c>
      <c r="AI169" s="74">
        <v>1.0413061443133218</v>
      </c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x14ac:dyDescent="0.2">
      <c r="B170" s="1" t="s">
        <v>5</v>
      </c>
      <c r="L170" s="12">
        <f>SUM(L$58:L$77)</f>
        <v>2.766</v>
      </c>
      <c r="M170" s="12">
        <f>SUM(M$58:M$77)</f>
        <v>0</v>
      </c>
      <c r="N170" s="12">
        <f>SUM(N$58:N$77)</f>
        <v>0.77534444444444439</v>
      </c>
      <c r="X170" s="12">
        <f>SUM(X$58:X$77)</f>
        <v>2.8879999999999999</v>
      </c>
      <c r="Y170" s="12">
        <f>SUM(Y$58:Y$77)</f>
        <v>0</v>
      </c>
      <c r="Z170" s="12">
        <f>SUM(Z$58:Z$77)</f>
        <v>0.73026888888888897</v>
      </c>
      <c r="AA170" s="12">
        <f t="shared" si="244"/>
        <v>1.0441070137382502</v>
      </c>
      <c r="AB170" s="12" t="e">
        <f t="shared" si="243"/>
        <v>#DIV/0!</v>
      </c>
      <c r="AC170" s="12">
        <f t="shared" si="243"/>
        <v>0</v>
      </c>
      <c r="AD170" s="12"/>
      <c r="AF170" s="21"/>
      <c r="AG170" s="73" t="s">
        <v>6</v>
      </c>
      <c r="AH170" s="80">
        <v>0.90316660273298277</v>
      </c>
      <c r="AI170" s="74">
        <v>1.0421840593432512</v>
      </c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x14ac:dyDescent="0.2">
      <c r="B171" s="1" t="s">
        <v>6</v>
      </c>
      <c r="L171" s="12">
        <f>SUM(L$78:L$97)</f>
        <v>1.929</v>
      </c>
      <c r="M171" s="12">
        <f>SUM(M$78:M$97)</f>
        <v>0</v>
      </c>
      <c r="N171" s="12">
        <f>SUM(N$78:N$97)</f>
        <v>0.23996694444444444</v>
      </c>
      <c r="X171" s="12">
        <f>SUM(X$78:X$97)</f>
        <v>2.0110000000000001</v>
      </c>
      <c r="Y171" s="12">
        <f>SUM(Y$78:Y$97)</f>
        <v>0</v>
      </c>
      <c r="Z171" s="12">
        <f>SUM(Z$78:Z$97)</f>
        <v>0.21703388888888889</v>
      </c>
      <c r="AA171" s="12">
        <f t="shared" si="244"/>
        <v>1.0425090720580612</v>
      </c>
      <c r="AB171" s="12" t="e">
        <f t="shared" si="243"/>
        <v>#DIV/0!</v>
      </c>
      <c r="AC171" s="12">
        <f t="shared" si="243"/>
        <v>0</v>
      </c>
      <c r="AD171" s="12"/>
      <c r="AF171" s="21"/>
      <c r="AG171" s="73" t="s">
        <v>7</v>
      </c>
      <c r="AH171" s="80">
        <v>0.91662097091005945</v>
      </c>
      <c r="AI171" s="74">
        <v>0.98407893160527671</v>
      </c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x14ac:dyDescent="0.2">
      <c r="B172" s="1" t="s">
        <v>7</v>
      </c>
      <c r="L172" s="12">
        <f>SUM(L$98:L$112)</f>
        <v>2.355</v>
      </c>
      <c r="M172" s="12">
        <f>SUM(M$98:M$112)</f>
        <v>0</v>
      </c>
      <c r="N172" s="12">
        <f>SUM(N$98:N$112)</f>
        <v>0.57748500000000014</v>
      </c>
      <c r="X172" s="12">
        <f>SUM(X$98:X$112)</f>
        <v>2.3079999999999998</v>
      </c>
      <c r="Y172" s="12">
        <f>SUM(Y$98:Y$112)</f>
        <v>0</v>
      </c>
      <c r="Z172" s="12">
        <f>SUM(Z$98:Z$112)</f>
        <v>0.53158611111111098</v>
      </c>
      <c r="AA172" s="12">
        <f t="shared" si="244"/>
        <v>0.98004246284501051</v>
      </c>
      <c r="AB172" s="12" t="e">
        <f t="shared" si="243"/>
        <v>#DIV/0!</v>
      </c>
      <c r="AC172" s="12">
        <f t="shared" si="243"/>
        <v>0</v>
      </c>
      <c r="AD172" s="12"/>
      <c r="AF172" s="21"/>
      <c r="AG172" s="75" t="s">
        <v>18</v>
      </c>
      <c r="AH172" s="80">
        <v>1.0429164362990391</v>
      </c>
      <c r="AI172" s="74">
        <v>1.0567314559690628</v>
      </c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x14ac:dyDescent="0.2">
      <c r="B173" s="1" t="s">
        <v>18</v>
      </c>
      <c r="L173" s="12">
        <f>SUM(L$113:L$132)</f>
        <v>4.1050000000000004</v>
      </c>
      <c r="M173" s="12">
        <f>SUM(M$113:M$132)</f>
        <v>0</v>
      </c>
      <c r="N173" s="12">
        <f>SUM(N$113:N$132)</f>
        <v>1.1453974999999998</v>
      </c>
      <c r="X173" s="12">
        <f>SUM(X$113:X$132)</f>
        <v>4.3310000000000013</v>
      </c>
      <c r="Y173" s="12">
        <f>SUM(Y$113:Y$132)</f>
        <v>0</v>
      </c>
      <c r="Z173" s="12">
        <f>SUM(Z$113:Z$132)</f>
        <v>1.1247097222222222</v>
      </c>
      <c r="AA173" s="12">
        <f t="shared" si="244"/>
        <v>1.0550548112058467</v>
      </c>
      <c r="AB173" s="12" t="e">
        <f t="shared" si="243"/>
        <v>#DIV/0!</v>
      </c>
      <c r="AC173" s="12">
        <f t="shared" si="243"/>
        <v>0</v>
      </c>
      <c r="AD173" s="12"/>
      <c r="AG173" s="73" t="s">
        <v>96</v>
      </c>
      <c r="AH173" s="81">
        <v>0.95220388486034346</v>
      </c>
      <c r="AI173" s="78">
        <v>1.0338780573883439</v>
      </c>
      <c r="AX173" s="12"/>
      <c r="AY173" s="12"/>
      <c r="AZ173" s="12"/>
      <c r="BA173" s="12"/>
      <c r="BB173" s="12"/>
    </row>
    <row r="174" spans="1:55" x14ac:dyDescent="0.2">
      <c r="B174" s="1" t="s">
        <v>8</v>
      </c>
      <c r="L174" s="12">
        <f>SUM(L167:L173)</f>
        <v>38.798000000000002</v>
      </c>
      <c r="M174" s="12">
        <f>SUM(M167:M173)</f>
        <v>0</v>
      </c>
      <c r="N174" s="12">
        <f>SUM(N167:N173)</f>
        <v>11.641043333333334</v>
      </c>
      <c r="X174" s="12">
        <f>SUM(X167:X173)</f>
        <v>38.902000000000008</v>
      </c>
      <c r="Y174" s="12">
        <f>SUM(Y167:Y173)</f>
        <v>0</v>
      </c>
      <c r="Z174" s="12">
        <f>SUM(Z167:Z173)</f>
        <v>12.047010555555554</v>
      </c>
      <c r="AA174" s="12">
        <f t="shared" si="244"/>
        <v>1.0026805505438425</v>
      </c>
      <c r="AB174" s="12" t="e">
        <f t="shared" si="243"/>
        <v>#DIV/0!</v>
      </c>
      <c r="AC174" s="12">
        <f t="shared" si="243"/>
        <v>0</v>
      </c>
      <c r="AD174" s="12"/>
      <c r="AX174" s="12"/>
      <c r="AY174" s="12"/>
      <c r="AZ174" s="12"/>
      <c r="BA174" s="12"/>
      <c r="BB174" s="12"/>
    </row>
    <row r="175" spans="1:55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x14ac:dyDescent="0.2">
      <c r="B177" s="1" t="s">
        <v>40</v>
      </c>
      <c r="L177" s="12">
        <f>MAX(L$3:L$17)</f>
        <v>1.242</v>
      </c>
      <c r="M177" s="12">
        <f>MAX(M$3:M$17)</f>
        <v>0</v>
      </c>
      <c r="N177" s="12">
        <f>MAX(N$3:N$17)</f>
        <v>0.84987500000000005</v>
      </c>
      <c r="X177" s="12">
        <f>MAX(X$3:X$17)</f>
        <v>1.1879999999999999</v>
      </c>
      <c r="Y177" s="12">
        <f>MAX(Y$3:Y$17)</f>
        <v>0</v>
      </c>
      <c r="Z177" s="12">
        <f>MAX(Z$3:Z$17)</f>
        <v>0.80665583333333324</v>
      </c>
      <c r="AA177" s="12">
        <f>X177/L177</f>
        <v>0.9565217391304347</v>
      </c>
      <c r="AB177" s="12" t="e">
        <f t="shared" ref="AB177:AC184" si="245">X177/K177</f>
        <v>#DIV/0!</v>
      </c>
      <c r="AC177" s="12">
        <f t="shared" si="245"/>
        <v>0</v>
      </c>
      <c r="AD177" s="12"/>
      <c r="AX177" s="12"/>
      <c r="AY177" s="12"/>
      <c r="AZ177" s="12"/>
      <c r="BA177" s="12"/>
      <c r="BB177" s="12"/>
    </row>
    <row r="178" spans="2:54" x14ac:dyDescent="0.2">
      <c r="B178" s="1" t="s">
        <v>41</v>
      </c>
      <c r="L178" s="12">
        <f>MAX(L$18:L$32)</f>
        <v>1.4510000000000001</v>
      </c>
      <c r="M178" s="12">
        <f>MAX(M$18:M$32)</f>
        <v>0</v>
      </c>
      <c r="N178" s="12">
        <f>MAX(N$18:N$32)</f>
        <v>0.89146055555555548</v>
      </c>
      <c r="X178" s="12">
        <f>MAX(X$18:X$32)</f>
        <v>1.3320000000000001</v>
      </c>
      <c r="Y178" s="12">
        <f>MAX(Y$18:Y$32)</f>
        <v>0</v>
      </c>
      <c r="Z178" s="12">
        <f>MAX(Z$18:Z$32)</f>
        <v>0.9551802777777777</v>
      </c>
      <c r="AA178" s="12">
        <f t="shared" ref="AA178:AA184" si="246">X178/L178</f>
        <v>0.91798759476223291</v>
      </c>
      <c r="AB178" s="12" t="e">
        <f t="shared" si="245"/>
        <v>#DIV/0!</v>
      </c>
      <c r="AC178" s="12">
        <f t="shared" si="245"/>
        <v>0</v>
      </c>
      <c r="AD178" s="12"/>
      <c r="AX178" s="12"/>
      <c r="AY178" s="12"/>
      <c r="AZ178" s="12"/>
      <c r="BA178" s="12"/>
      <c r="BB178" s="12"/>
    </row>
    <row r="179" spans="2:54" x14ac:dyDescent="0.2">
      <c r="B179" s="1" t="s">
        <v>1</v>
      </c>
      <c r="L179" s="12">
        <f>MAX(L$33:L$57)</f>
        <v>0.46800000000000003</v>
      </c>
      <c r="M179" s="12">
        <f>MAX(M$33:M$57)</f>
        <v>0</v>
      </c>
      <c r="N179" s="12">
        <f>MAX(N$33:N$57)</f>
        <v>0.28732722222222218</v>
      </c>
      <c r="X179" s="12">
        <f>MAX(X$33:X$57)</f>
        <v>0.45100000000000001</v>
      </c>
      <c r="Y179" s="12">
        <f>MAX(Y$33:Y$57)</f>
        <v>0</v>
      </c>
      <c r="Z179" s="12">
        <f>MAX(Z$33:Z$57)</f>
        <v>0.25542638888888886</v>
      </c>
      <c r="AA179" s="12">
        <f t="shared" si="246"/>
        <v>0.96367521367521369</v>
      </c>
      <c r="AB179" s="12" t="e">
        <f t="shared" si="245"/>
        <v>#DIV/0!</v>
      </c>
      <c r="AC179" s="12">
        <f t="shared" si="245"/>
        <v>0</v>
      </c>
      <c r="AD179" s="12"/>
      <c r="AX179" s="12"/>
      <c r="AY179" s="12"/>
      <c r="AZ179" s="12"/>
      <c r="BA179" s="12"/>
      <c r="BB179" s="12"/>
    </row>
    <row r="180" spans="2:54" x14ac:dyDescent="0.2">
      <c r="B180" s="1" t="s">
        <v>5</v>
      </c>
      <c r="L180" s="12">
        <f>MAX(L$58:L$77)</f>
        <v>0.19700000000000001</v>
      </c>
      <c r="M180" s="12">
        <f>MAX(M$58:M$77)</f>
        <v>0</v>
      </c>
      <c r="N180" s="12">
        <f>MAX(N$58:N$77)</f>
        <v>7.4688611111111122E-2</v>
      </c>
      <c r="X180" s="12">
        <f>MAX(X$58:X$77)</f>
        <v>0.20399999999999999</v>
      </c>
      <c r="Y180" s="12">
        <f>MAX(Y$58:Y$77)</f>
        <v>0</v>
      </c>
      <c r="Z180" s="12">
        <f>MAX(Z$58:Z$77)</f>
        <v>7.0325277777777778E-2</v>
      </c>
      <c r="AA180" s="12">
        <f t="shared" si="246"/>
        <v>1.0355329949238579</v>
      </c>
      <c r="AB180" s="12" t="e">
        <f t="shared" si="245"/>
        <v>#DIV/0!</v>
      </c>
      <c r="AC180" s="12">
        <f t="shared" si="245"/>
        <v>0</v>
      </c>
      <c r="AD180" s="12"/>
      <c r="AX180" s="12"/>
      <c r="AY180" s="12"/>
      <c r="AZ180" s="12"/>
      <c r="BA180" s="12"/>
      <c r="BB180" s="12"/>
    </row>
    <row r="181" spans="2:54" x14ac:dyDescent="0.2">
      <c r="B181" s="1" t="s">
        <v>6</v>
      </c>
      <c r="L181" s="12">
        <f>MAX(L$78:L$97)</f>
        <v>0.13900000000000001</v>
      </c>
      <c r="M181" s="12">
        <f>MAX(M$78:M$97)</f>
        <v>0</v>
      </c>
      <c r="N181" s="12">
        <f>MAX(N$78:N$97)</f>
        <v>2.1213055555555558E-2</v>
      </c>
      <c r="X181" s="12">
        <f>MAX(X$78:X$97)</f>
        <v>0.14499999999999999</v>
      </c>
      <c r="Y181" s="12">
        <f>MAX(Y$78:Y$97)</f>
        <v>0</v>
      </c>
      <c r="Z181" s="12">
        <f>MAX(Z$78:Z$97)</f>
        <v>1.8914722222222222E-2</v>
      </c>
      <c r="AA181" s="12">
        <f t="shared" si="246"/>
        <v>1.043165467625899</v>
      </c>
      <c r="AB181" s="12" t="e">
        <f t="shared" si="245"/>
        <v>#DIV/0!</v>
      </c>
      <c r="AC181" s="12">
        <f t="shared" si="245"/>
        <v>0</v>
      </c>
      <c r="AD181" s="12"/>
      <c r="AX181" s="12"/>
      <c r="AY181" s="12"/>
      <c r="AZ181" s="12"/>
      <c r="BA181" s="12"/>
      <c r="BB181" s="12"/>
    </row>
    <row r="182" spans="2:54" x14ac:dyDescent="0.2">
      <c r="B182" s="1" t="s">
        <v>7</v>
      </c>
      <c r="L182" s="12">
        <f>MAX(L$98:L$112)</f>
        <v>0.22500000000000001</v>
      </c>
      <c r="M182" s="12">
        <f>MAX(M$98:M$112)</f>
        <v>0</v>
      </c>
      <c r="N182" s="12">
        <f>MAX(N$98:N$112)</f>
        <v>9.7731388888888895E-2</v>
      </c>
      <c r="X182" s="12">
        <f>MAX(X$98:X$112)</f>
        <v>0.19500000000000001</v>
      </c>
      <c r="Y182" s="12">
        <f>MAX(Y$98:Y$112)</f>
        <v>0</v>
      </c>
      <c r="Z182" s="12">
        <f>MAX(Z$98:Z$112)</f>
        <v>8.894638888888888E-2</v>
      </c>
      <c r="AA182" s="12">
        <f t="shared" si="246"/>
        <v>0.8666666666666667</v>
      </c>
      <c r="AB182" s="12" t="e">
        <f t="shared" si="245"/>
        <v>#DIV/0!</v>
      </c>
      <c r="AC182" s="12">
        <f t="shared" si="245"/>
        <v>0</v>
      </c>
      <c r="AD182" s="12"/>
      <c r="AX182" s="12"/>
      <c r="AY182" s="12"/>
      <c r="AZ182" s="12"/>
      <c r="BA182" s="12"/>
      <c r="BB182" s="12"/>
    </row>
    <row r="183" spans="2:54" x14ac:dyDescent="0.2">
      <c r="B183" s="1" t="s">
        <v>18</v>
      </c>
      <c r="L183" s="12">
        <f>MAX(L$113:L$132)</f>
        <v>0.47</v>
      </c>
      <c r="M183" s="12">
        <f>MAX(M$113:M$132)</f>
        <v>0</v>
      </c>
      <c r="N183" s="12">
        <f>MAX(N$113:N$132)</f>
        <v>0.28223666666666669</v>
      </c>
      <c r="X183" s="12">
        <f>MAX(X$113:X$132)</f>
        <v>0.48299999999999998</v>
      </c>
      <c r="Y183" s="12">
        <f>MAX(Y$113:Y$132)</f>
        <v>0</v>
      </c>
      <c r="Z183" s="12">
        <f>MAX(Z$113:Z$132)</f>
        <v>0.25055444444444441</v>
      </c>
      <c r="AA183" s="12">
        <f t="shared" si="246"/>
        <v>1.0276595744680852</v>
      </c>
      <c r="AB183" s="12" t="e">
        <f t="shared" si="245"/>
        <v>#DIV/0!</v>
      </c>
      <c r="AC183" s="12">
        <f t="shared" si="245"/>
        <v>0</v>
      </c>
      <c r="AD183" s="12"/>
      <c r="AX183" s="12"/>
      <c r="AY183" s="12"/>
      <c r="AZ183" s="12"/>
      <c r="BA183" s="12"/>
      <c r="BB183" s="12"/>
    </row>
    <row r="184" spans="2:54" x14ac:dyDescent="0.2">
      <c r="B184" s="1" t="s">
        <v>8</v>
      </c>
      <c r="L184" s="12">
        <f>MAX(L177:L183)</f>
        <v>1.4510000000000001</v>
      </c>
      <c r="M184" s="12">
        <f>MAX(M177:M183)</f>
        <v>0</v>
      </c>
      <c r="N184" s="12">
        <f>MAX(N177:N183)</f>
        <v>0.89146055555555548</v>
      </c>
      <c r="X184" s="12">
        <f>MAX(X177:X183)</f>
        <v>1.3320000000000001</v>
      </c>
      <c r="Y184" s="12">
        <f>MAX(Y177:Y183)</f>
        <v>0</v>
      </c>
      <c r="Z184" s="12">
        <f>MAX(Z177:Z183)</f>
        <v>0.9551802777777777</v>
      </c>
      <c r="AA184" s="12">
        <f t="shared" si="246"/>
        <v>0.91798759476223291</v>
      </c>
      <c r="AB184" s="12" t="e">
        <f t="shared" si="245"/>
        <v>#DIV/0!</v>
      </c>
      <c r="AC184" s="12">
        <f t="shared" si="245"/>
        <v>0</v>
      </c>
      <c r="AD184" s="12"/>
      <c r="AX184" s="12"/>
      <c r="AY184" s="12"/>
      <c r="AZ184" s="12"/>
      <c r="BA184" s="12"/>
      <c r="BB184" s="12"/>
    </row>
    <row r="188" spans="2:54" x14ac:dyDescent="0.2">
      <c r="Q188" s="13" t="s">
        <v>44</v>
      </c>
      <c r="R188" s="1" t="s">
        <v>78</v>
      </c>
    </row>
    <row r="189" spans="2:54" ht="12.75" thickBot="1" x14ac:dyDescent="0.25">
      <c r="Q189" s="13" t="s">
        <v>45</v>
      </c>
      <c r="R189" s="1" t="s">
        <v>79</v>
      </c>
      <c r="AF189" s="21">
        <f>AVERAGE(AF58:AF132)</f>
        <v>-4.1669404137785931E-4</v>
      </c>
      <c r="AG189" s="21">
        <f t="shared" ref="AG189:AW189" si="247">AVERAGE(AG58:AG132)</f>
        <v>-2.5734317066937297E-3</v>
      </c>
      <c r="AH189" s="21">
        <f t="shared" si="247"/>
        <v>-5.436875737955719E-3</v>
      </c>
      <c r="AI189" s="21">
        <f t="shared" si="247"/>
        <v>3.0793293881521558E-3</v>
      </c>
      <c r="AJ189" s="21">
        <f t="shared" si="247"/>
        <v>-1.4050409945228991E-3</v>
      </c>
      <c r="AK189" s="21">
        <f t="shared" si="247"/>
        <v>-4.8605797315754542E-3</v>
      </c>
      <c r="AL189" s="21">
        <f t="shared" si="247"/>
        <v>-1.4761272434034024E-4</v>
      </c>
      <c r="AM189" s="21">
        <f t="shared" si="247"/>
        <v>-6.4323689367525782E-3</v>
      </c>
      <c r="AN189" s="21">
        <f t="shared" si="247"/>
        <v>-8.0370487323605157E-3</v>
      </c>
      <c r="AO189" s="21">
        <f t="shared" si="247"/>
        <v>3.2072523863478403E-3</v>
      </c>
      <c r="AP189" s="21">
        <f t="shared" si="247"/>
        <v>-3.0175522943813797E-3</v>
      </c>
      <c r="AQ189" s="21">
        <f t="shared" si="247"/>
        <v>-5.0910108608086908E-3</v>
      </c>
      <c r="AR189" s="21">
        <f t="shared" si="247"/>
        <v>-4.4998142551266884E-4</v>
      </c>
      <c r="AS189" s="21">
        <f t="shared" si="247"/>
        <v>-3.0116230439485229E-3</v>
      </c>
      <c r="AT189" s="21">
        <f t="shared" si="247"/>
        <v>-4.4032936908069567E-3</v>
      </c>
      <c r="AU189" s="21">
        <f t="shared" si="247"/>
        <v>2.3291705846409569E-3</v>
      </c>
      <c r="AV189" s="21">
        <f t="shared" si="247"/>
        <v>-1.8527317936852361E-3</v>
      </c>
      <c r="AW189" s="21">
        <f t="shared" si="247"/>
        <v>5.8467700202161999E-4</v>
      </c>
    </row>
    <row r="190" spans="2:54" ht="12.75" thickBot="1" x14ac:dyDescent="0.25">
      <c r="Q190" s="8" t="s">
        <v>3</v>
      </c>
      <c r="R190" s="1" t="s">
        <v>80</v>
      </c>
    </row>
    <row r="191" spans="2:54" ht="12.75" thickBot="1" x14ac:dyDescent="0.25">
      <c r="Q191" s="8" t="s">
        <v>4</v>
      </c>
      <c r="R191" s="1" t="s">
        <v>81</v>
      </c>
    </row>
    <row r="192" spans="2:54" ht="12.75" thickBot="1" x14ac:dyDescent="0.25">
      <c r="Q192" s="8" t="s">
        <v>2</v>
      </c>
      <c r="R192" s="1" t="s">
        <v>82</v>
      </c>
    </row>
    <row r="193" spans="17:26" ht="12.75" thickBot="1" x14ac:dyDescent="0.25">
      <c r="Q193" s="8" t="s">
        <v>29</v>
      </c>
      <c r="R193" s="1" t="s">
        <v>83</v>
      </c>
    </row>
    <row r="194" spans="17:26" ht="12.75" thickBot="1" x14ac:dyDescent="0.25">
      <c r="Q194" s="8" t="s">
        <v>32</v>
      </c>
      <c r="R194" s="1" t="s">
        <v>84</v>
      </c>
    </row>
    <row r="195" spans="17:26" ht="12.75" thickBot="1" x14ac:dyDescent="0.25">
      <c r="Q195" s="8" t="s">
        <v>34</v>
      </c>
      <c r="R195" s="1" t="s">
        <v>85</v>
      </c>
    </row>
    <row r="196" spans="17:26" ht="12.75" thickBot="1" x14ac:dyDescent="0.25">
      <c r="Q196" s="8" t="s">
        <v>35</v>
      </c>
      <c r="R196" s="1" t="s">
        <v>86</v>
      </c>
    </row>
    <row r="197" spans="17:26" ht="12.75" thickBot="1" x14ac:dyDescent="0.25">
      <c r="Q197" s="8" t="s">
        <v>36</v>
      </c>
      <c r="R197" s="1" t="s">
        <v>87</v>
      </c>
    </row>
    <row r="198" spans="17:26" x14ac:dyDescent="0.2">
      <c r="Q198" s="8" t="s">
        <v>37</v>
      </c>
      <c r="R198" s="1" t="s">
        <v>88</v>
      </c>
    </row>
    <row r="201" spans="17:26" x14ac:dyDescent="0.2">
      <c r="X201" s="1" t="s">
        <v>97</v>
      </c>
      <c r="Y201" s="1" t="s">
        <v>98</v>
      </c>
      <c r="Z201" s="1" t="s">
        <v>99</v>
      </c>
    </row>
    <row r="202" spans="17:26" x14ac:dyDescent="0.2">
      <c r="X202" s="1" t="s">
        <v>5</v>
      </c>
      <c r="Y202" s="21">
        <v>0.9431430855174876</v>
      </c>
      <c r="Z202" s="21">
        <v>1.0413061443133218</v>
      </c>
    </row>
    <row r="203" spans="17:26" x14ac:dyDescent="0.2">
      <c r="X203" s="1" t="s">
        <v>6</v>
      </c>
      <c r="Y203" s="21">
        <v>0.90316660273298277</v>
      </c>
      <c r="Z203" s="21">
        <v>1.0421840593432512</v>
      </c>
    </row>
    <row r="204" spans="17:26" x14ac:dyDescent="0.2">
      <c r="X204" s="1" t="s">
        <v>7</v>
      </c>
      <c r="Y204" s="21">
        <v>0.91662097091005945</v>
      </c>
      <c r="Z204" s="21">
        <v>0.98407893160527671</v>
      </c>
    </row>
    <row r="205" spans="17:26" x14ac:dyDescent="0.2">
      <c r="X205" s="1" t="s">
        <v>18</v>
      </c>
      <c r="Y205" s="21">
        <v>1.0429164362990391</v>
      </c>
      <c r="Z205" s="21">
        <v>1.0567314559690628</v>
      </c>
    </row>
    <row r="206" spans="17:26" x14ac:dyDescent="0.2">
      <c r="X206" s="1" t="s">
        <v>96</v>
      </c>
      <c r="Y206" s="21">
        <v>0.95220388486034346</v>
      </c>
      <c r="Z206" s="21">
        <v>1.0338780573883439</v>
      </c>
    </row>
  </sheetData>
  <autoFilter ref="BD1:BD189" xr:uid="{9B1BEC21-B009-40A5-9B5B-2C52AD26AD0E}"/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4435" priority="1464" operator="greaterThan">
      <formula>0.03</formula>
    </cfRule>
    <cfRule type="cellIs" dxfId="4434" priority="1465" stopIfTrue="1" operator="lessThan">
      <formula>-0.03</formula>
    </cfRule>
  </conditionalFormatting>
  <conditionalFormatting sqref="AU7:AV7">
    <cfRule type="cellIs" dxfId="4433" priority="1462" operator="greaterThan">
      <formula>0.03</formula>
    </cfRule>
    <cfRule type="cellIs" dxfId="4432" priority="1463" stopIfTrue="1" operator="lessThan">
      <formula>-0.03</formula>
    </cfRule>
  </conditionalFormatting>
  <conditionalFormatting sqref="AO156:AQ156 AU156:AW156">
    <cfRule type="cellIs" dxfId="4431" priority="1454" operator="greaterThan">
      <formula>0.03</formula>
    </cfRule>
    <cfRule type="cellIs" dxfId="4430" priority="1455" stopIfTrue="1" operator="lessThan">
      <formula>-0.03</formula>
    </cfRule>
  </conditionalFormatting>
  <conditionalFormatting sqref="AO159:AQ159 AU159:AW159">
    <cfRule type="cellIs" dxfId="4429" priority="1452" operator="greaterThan">
      <formula>0.03</formula>
    </cfRule>
    <cfRule type="cellIs" dxfId="4428" priority="1453" stopIfTrue="1" operator="lessThan">
      <formula>-0.03</formula>
    </cfRule>
  </conditionalFormatting>
  <conditionalFormatting sqref="AO161:AQ161 AU161:AW161">
    <cfRule type="cellIs" dxfId="4427" priority="1460" operator="greaterThan">
      <formula>0.03</formula>
    </cfRule>
    <cfRule type="cellIs" dxfId="4426" priority="1461" stopIfTrue="1" operator="lessThan">
      <formula>-0.03</formula>
    </cfRule>
  </conditionalFormatting>
  <conditionalFormatting sqref="AO153:AQ153 AO155:AQ155 AU155:AW155 AU153:AW153">
    <cfRule type="cellIs" dxfId="4425" priority="1456" operator="greaterThan">
      <formula>0.03</formula>
    </cfRule>
    <cfRule type="cellIs" dxfId="4424" priority="1457" stopIfTrue="1" operator="lessThan">
      <formula>-0.03</formula>
    </cfRule>
  </conditionalFormatting>
  <conditionalFormatting sqref="AO157:AQ158 AU157:AW158">
    <cfRule type="cellIs" dxfId="4423" priority="1458" operator="greaterThan">
      <formula>0.03</formula>
    </cfRule>
    <cfRule type="cellIs" dxfId="4422" priority="1459" stopIfTrue="1" operator="lessThan">
      <formula>-0.03</formula>
    </cfRule>
  </conditionalFormatting>
  <conditionalFormatting sqref="AO154:AQ154 AU154:AW154">
    <cfRule type="cellIs" dxfId="4421" priority="1450" operator="greaterThan">
      <formula>0.03</formula>
    </cfRule>
    <cfRule type="cellIs" dxfId="4420" priority="1451" stopIfTrue="1" operator="lessThan">
      <formula>-0.03</formula>
    </cfRule>
  </conditionalFormatting>
  <conditionalFormatting sqref="AO7:AQ7">
    <cfRule type="cellIs" dxfId="4419" priority="1448" operator="greaterThan">
      <formula>0.03</formula>
    </cfRule>
    <cfRule type="cellIs" dxfId="4418" priority="1449" stopIfTrue="1" operator="lessThan">
      <formula>-0.03</formula>
    </cfRule>
  </conditionalFormatting>
  <conditionalFormatting sqref="AI7:AK7 AI3:AK5">
    <cfRule type="cellIs" dxfId="4417" priority="1446" operator="greaterThan">
      <formula>0.03</formula>
    </cfRule>
    <cfRule type="cellIs" dxfId="4416" priority="1447" stopIfTrue="1" operator="lessThan">
      <formula>-0.03</formula>
    </cfRule>
  </conditionalFormatting>
  <conditionalFormatting sqref="AI156:AK156">
    <cfRule type="cellIs" dxfId="4415" priority="1438" operator="greaterThan">
      <formula>0.03</formula>
    </cfRule>
    <cfRule type="cellIs" dxfId="4414" priority="1439" stopIfTrue="1" operator="lessThan">
      <formula>-0.03</formula>
    </cfRule>
  </conditionalFormatting>
  <conditionalFormatting sqref="AI159:AK159">
    <cfRule type="cellIs" dxfId="4413" priority="1436" operator="greaterThan">
      <formula>0.03</formula>
    </cfRule>
    <cfRule type="cellIs" dxfId="4412" priority="1437" stopIfTrue="1" operator="lessThan">
      <formula>-0.03</formula>
    </cfRule>
  </conditionalFormatting>
  <conditionalFormatting sqref="AI161:AK161">
    <cfRule type="cellIs" dxfId="4411" priority="1444" operator="greaterThan">
      <formula>0.03</formula>
    </cfRule>
    <cfRule type="cellIs" dxfId="4410" priority="1445" stopIfTrue="1" operator="lessThan">
      <formula>-0.03</formula>
    </cfRule>
  </conditionalFormatting>
  <conditionalFormatting sqref="AI153:AK153 AI155:AK155">
    <cfRule type="cellIs" dxfId="4409" priority="1440" operator="greaterThan">
      <formula>0.03</formula>
    </cfRule>
    <cfRule type="cellIs" dxfId="4408" priority="1441" stopIfTrue="1" operator="lessThan">
      <formula>-0.03</formula>
    </cfRule>
  </conditionalFormatting>
  <conditionalFormatting sqref="AI157:AK158">
    <cfRule type="cellIs" dxfId="4407" priority="1442" operator="greaterThan">
      <formula>0.03</formula>
    </cfRule>
    <cfRule type="cellIs" dxfId="4406" priority="1443" stopIfTrue="1" operator="lessThan">
      <formula>-0.03</formula>
    </cfRule>
  </conditionalFormatting>
  <conditionalFormatting sqref="AI154:AK154">
    <cfRule type="cellIs" dxfId="4405" priority="1434" operator="greaterThan">
      <formula>0.03</formula>
    </cfRule>
    <cfRule type="cellIs" dxfId="4404" priority="1435" stopIfTrue="1" operator="lessThan">
      <formula>-0.03</formula>
    </cfRule>
  </conditionalFormatting>
  <conditionalFormatting sqref="AI6:AK6">
    <cfRule type="cellIs" dxfId="4403" priority="1432" operator="greaterThan">
      <formula>0.03</formula>
    </cfRule>
    <cfRule type="cellIs" dxfId="4402" priority="1433" stopIfTrue="1" operator="lessThan">
      <formula>-0.03</formula>
    </cfRule>
  </conditionalFormatting>
  <conditionalFormatting sqref="AU3:AW3">
    <cfRule type="cellIs" dxfId="4401" priority="1430" operator="greaterThan">
      <formula>0.03</formula>
    </cfRule>
    <cfRule type="cellIs" dxfId="4400" priority="1431" stopIfTrue="1" operator="lessThan">
      <formula>-0.03</formula>
    </cfRule>
  </conditionalFormatting>
  <conditionalFormatting sqref="AO13:AQ13 AO10:AQ11">
    <cfRule type="cellIs" dxfId="4399" priority="1428" operator="greaterThan">
      <formula>0.03</formula>
    </cfRule>
    <cfRule type="cellIs" dxfId="4398" priority="1429" stopIfTrue="1" operator="lessThan">
      <formula>-0.03</formula>
    </cfRule>
  </conditionalFormatting>
  <conditionalFormatting sqref="AU12:AV12">
    <cfRule type="cellIs" dxfId="4397" priority="1426" operator="greaterThan">
      <formula>0.03</formula>
    </cfRule>
    <cfRule type="cellIs" dxfId="4396" priority="1427" stopIfTrue="1" operator="lessThan">
      <formula>-0.03</formula>
    </cfRule>
  </conditionalFormatting>
  <conditionalFormatting sqref="AO12:AQ12">
    <cfRule type="cellIs" dxfId="4395" priority="1424" operator="greaterThan">
      <formula>0.03</formula>
    </cfRule>
    <cfRule type="cellIs" dxfId="4394" priority="1425" stopIfTrue="1" operator="lessThan">
      <formula>-0.03</formula>
    </cfRule>
  </conditionalFormatting>
  <conditionalFormatting sqref="AI12:AK12 AI8:AK10">
    <cfRule type="cellIs" dxfId="4393" priority="1422" operator="greaterThan">
      <formula>0.03</formula>
    </cfRule>
    <cfRule type="cellIs" dxfId="4392" priority="1423" stopIfTrue="1" operator="lessThan">
      <formula>-0.03</formula>
    </cfRule>
  </conditionalFormatting>
  <conditionalFormatting sqref="AI11:AK11">
    <cfRule type="cellIs" dxfId="4391" priority="1420" operator="greaterThan">
      <formula>0.03</formula>
    </cfRule>
    <cfRule type="cellIs" dxfId="4390" priority="1421" stopIfTrue="1" operator="lessThan">
      <formula>-0.03</formula>
    </cfRule>
  </conditionalFormatting>
  <conditionalFormatting sqref="AU8:AW8">
    <cfRule type="cellIs" dxfId="4389" priority="1418" operator="greaterThan">
      <formula>0.03</formula>
    </cfRule>
    <cfRule type="cellIs" dxfId="4388" priority="1419" stopIfTrue="1" operator="lessThan">
      <formula>-0.03</formula>
    </cfRule>
  </conditionalFormatting>
  <conditionalFormatting sqref="AO18:AQ18 AO15:AQ16">
    <cfRule type="cellIs" dxfId="4387" priority="1416" operator="greaterThan">
      <formula>0.03</formula>
    </cfRule>
    <cfRule type="cellIs" dxfId="4386" priority="1417" stopIfTrue="1" operator="lessThan">
      <formula>-0.03</formula>
    </cfRule>
  </conditionalFormatting>
  <conditionalFormatting sqref="AU17:AV17">
    <cfRule type="cellIs" dxfId="4385" priority="1414" operator="greaterThan">
      <formula>0.03</formula>
    </cfRule>
    <cfRule type="cellIs" dxfId="4384" priority="1415" stopIfTrue="1" operator="lessThan">
      <formula>-0.03</formula>
    </cfRule>
  </conditionalFormatting>
  <conditionalFormatting sqref="AO17:AQ17">
    <cfRule type="cellIs" dxfId="4383" priority="1412" operator="greaterThan">
      <formula>0.03</formula>
    </cfRule>
    <cfRule type="cellIs" dxfId="4382" priority="1413" stopIfTrue="1" operator="lessThan">
      <formula>-0.03</formula>
    </cfRule>
  </conditionalFormatting>
  <conditionalFormatting sqref="AI17:AK17 AI13:AK15">
    <cfRule type="cellIs" dxfId="4381" priority="1410" operator="greaterThan">
      <formula>0.03</formula>
    </cfRule>
    <cfRule type="cellIs" dxfId="4380" priority="1411" stopIfTrue="1" operator="lessThan">
      <formula>-0.03</formula>
    </cfRule>
  </conditionalFormatting>
  <conditionalFormatting sqref="AI16:AK16">
    <cfRule type="cellIs" dxfId="4379" priority="1408" operator="greaterThan">
      <formula>0.03</formula>
    </cfRule>
    <cfRule type="cellIs" dxfId="4378" priority="1409" stopIfTrue="1" operator="lessThan">
      <formula>-0.03</formula>
    </cfRule>
  </conditionalFormatting>
  <conditionalFormatting sqref="AU13:AW13">
    <cfRule type="cellIs" dxfId="4377" priority="1406" operator="greaterThan">
      <formula>0.03</formula>
    </cfRule>
    <cfRule type="cellIs" dxfId="4376" priority="1407" stopIfTrue="1" operator="lessThan">
      <formula>-0.03</formula>
    </cfRule>
  </conditionalFormatting>
  <conditionalFormatting sqref="AO23:AQ23 AO20:AQ21">
    <cfRule type="cellIs" dxfId="4375" priority="1404" operator="greaterThan">
      <formula>0.03</formula>
    </cfRule>
    <cfRule type="cellIs" dxfId="4374" priority="1405" stopIfTrue="1" operator="lessThan">
      <formula>-0.03</formula>
    </cfRule>
  </conditionalFormatting>
  <conditionalFormatting sqref="AU22:AV22">
    <cfRule type="cellIs" dxfId="4373" priority="1402" operator="greaterThan">
      <formula>0.03</formula>
    </cfRule>
    <cfRule type="cellIs" dxfId="4372" priority="1403" stopIfTrue="1" operator="lessThan">
      <formula>-0.03</formula>
    </cfRule>
  </conditionalFormatting>
  <conditionalFormatting sqref="AO22:AQ22">
    <cfRule type="cellIs" dxfId="4371" priority="1400" operator="greaterThan">
      <formula>0.03</formula>
    </cfRule>
    <cfRule type="cellIs" dxfId="4370" priority="1401" stopIfTrue="1" operator="lessThan">
      <formula>-0.03</formula>
    </cfRule>
  </conditionalFormatting>
  <conditionalFormatting sqref="AI22:AK22 AI18:AK20">
    <cfRule type="cellIs" dxfId="4369" priority="1398" operator="greaterThan">
      <formula>0.03</formula>
    </cfRule>
    <cfRule type="cellIs" dxfId="4368" priority="1399" stopIfTrue="1" operator="lessThan">
      <formula>-0.03</formula>
    </cfRule>
  </conditionalFormatting>
  <conditionalFormatting sqref="AI21:AK21">
    <cfRule type="cellIs" dxfId="4367" priority="1396" operator="greaterThan">
      <formula>0.03</formula>
    </cfRule>
    <cfRule type="cellIs" dxfId="4366" priority="1397" stopIfTrue="1" operator="lessThan">
      <formula>-0.03</formula>
    </cfRule>
  </conditionalFormatting>
  <conditionalFormatting sqref="AU18:AW18">
    <cfRule type="cellIs" dxfId="4365" priority="1394" operator="greaterThan">
      <formula>0.03</formula>
    </cfRule>
    <cfRule type="cellIs" dxfId="4364" priority="1395" stopIfTrue="1" operator="lessThan">
      <formula>-0.03</formula>
    </cfRule>
  </conditionalFormatting>
  <conditionalFormatting sqref="AO28:AQ28 AO25:AQ26">
    <cfRule type="cellIs" dxfId="4363" priority="1392" operator="greaterThan">
      <formula>0.03</formula>
    </cfRule>
    <cfRule type="cellIs" dxfId="4362" priority="1393" stopIfTrue="1" operator="lessThan">
      <formula>-0.03</formula>
    </cfRule>
  </conditionalFormatting>
  <conditionalFormatting sqref="AU27:AV27">
    <cfRule type="cellIs" dxfId="4361" priority="1390" operator="greaterThan">
      <formula>0.03</formula>
    </cfRule>
    <cfRule type="cellIs" dxfId="4360" priority="1391" stopIfTrue="1" operator="lessThan">
      <formula>-0.03</formula>
    </cfRule>
  </conditionalFormatting>
  <conditionalFormatting sqref="AO27:AQ27">
    <cfRule type="cellIs" dxfId="4359" priority="1388" operator="greaterThan">
      <formula>0.03</formula>
    </cfRule>
    <cfRule type="cellIs" dxfId="4358" priority="1389" stopIfTrue="1" operator="lessThan">
      <formula>-0.03</formula>
    </cfRule>
  </conditionalFormatting>
  <conditionalFormatting sqref="AI27:AK27 AI23:AK25">
    <cfRule type="cellIs" dxfId="4357" priority="1386" operator="greaterThan">
      <formula>0.03</formula>
    </cfRule>
    <cfRule type="cellIs" dxfId="4356" priority="1387" stopIfTrue="1" operator="lessThan">
      <formula>-0.03</formula>
    </cfRule>
  </conditionalFormatting>
  <conditionalFormatting sqref="AI26:AK26">
    <cfRule type="cellIs" dxfId="4355" priority="1384" operator="greaterThan">
      <formula>0.03</formula>
    </cfRule>
    <cfRule type="cellIs" dxfId="4354" priority="1385" stopIfTrue="1" operator="lessThan">
      <formula>-0.03</formula>
    </cfRule>
  </conditionalFormatting>
  <conditionalFormatting sqref="AU23:AW23">
    <cfRule type="cellIs" dxfId="4353" priority="1382" operator="greaterThan">
      <formula>0.03</formula>
    </cfRule>
    <cfRule type="cellIs" dxfId="4352" priority="1383" stopIfTrue="1" operator="lessThan">
      <formula>-0.03</formula>
    </cfRule>
  </conditionalFormatting>
  <conditionalFormatting sqref="AO33:AQ33 AO30:AQ31">
    <cfRule type="cellIs" dxfId="4351" priority="1380" operator="greaterThan">
      <formula>0.03</formula>
    </cfRule>
    <cfRule type="cellIs" dxfId="4350" priority="1381" stopIfTrue="1" operator="lessThan">
      <formula>-0.03</formula>
    </cfRule>
  </conditionalFormatting>
  <conditionalFormatting sqref="AU32:AV32">
    <cfRule type="cellIs" dxfId="4349" priority="1378" operator="greaterThan">
      <formula>0.03</formula>
    </cfRule>
    <cfRule type="cellIs" dxfId="4348" priority="1379" stopIfTrue="1" operator="lessThan">
      <formula>-0.03</formula>
    </cfRule>
  </conditionalFormatting>
  <conditionalFormatting sqref="AO32:AQ32">
    <cfRule type="cellIs" dxfId="4347" priority="1376" operator="greaterThan">
      <formula>0.03</formula>
    </cfRule>
    <cfRule type="cellIs" dxfId="4346" priority="1377" stopIfTrue="1" operator="lessThan">
      <formula>-0.03</formula>
    </cfRule>
  </conditionalFormatting>
  <conditionalFormatting sqref="AI32:AK32 AI28:AK30">
    <cfRule type="cellIs" dxfId="4345" priority="1374" operator="greaterThan">
      <formula>0.03</formula>
    </cfRule>
    <cfRule type="cellIs" dxfId="4344" priority="1375" stopIfTrue="1" operator="lessThan">
      <formula>-0.03</formula>
    </cfRule>
  </conditionalFormatting>
  <conditionalFormatting sqref="AI31:AK31">
    <cfRule type="cellIs" dxfId="4343" priority="1372" operator="greaterThan">
      <formula>0.03</formula>
    </cfRule>
    <cfRule type="cellIs" dxfId="4342" priority="1373" stopIfTrue="1" operator="lessThan">
      <formula>-0.03</formula>
    </cfRule>
  </conditionalFormatting>
  <conditionalFormatting sqref="AU28:AW28">
    <cfRule type="cellIs" dxfId="4341" priority="1370" operator="greaterThan">
      <formula>0.03</formula>
    </cfRule>
    <cfRule type="cellIs" dxfId="4340" priority="1371" stopIfTrue="1" operator="lessThan">
      <formula>-0.03</formula>
    </cfRule>
  </conditionalFormatting>
  <conditionalFormatting sqref="AO38:AQ38 AO35:AQ36">
    <cfRule type="cellIs" dxfId="4339" priority="1368" operator="greaterThan">
      <formula>0.03</formula>
    </cfRule>
    <cfRule type="cellIs" dxfId="4338" priority="1369" stopIfTrue="1" operator="lessThan">
      <formula>-0.03</formula>
    </cfRule>
  </conditionalFormatting>
  <conditionalFormatting sqref="AU37:AV37">
    <cfRule type="cellIs" dxfId="4337" priority="1366" operator="greaterThan">
      <formula>0.03</formula>
    </cfRule>
    <cfRule type="cellIs" dxfId="4336" priority="1367" stopIfTrue="1" operator="lessThan">
      <formula>-0.03</formula>
    </cfRule>
  </conditionalFormatting>
  <conditionalFormatting sqref="AO37:AQ37">
    <cfRule type="cellIs" dxfId="4335" priority="1364" operator="greaterThan">
      <formula>0.03</formula>
    </cfRule>
    <cfRule type="cellIs" dxfId="4334" priority="1365" stopIfTrue="1" operator="lessThan">
      <formula>-0.03</formula>
    </cfRule>
  </conditionalFormatting>
  <conditionalFormatting sqref="AI37:AK37 AI33:AK35">
    <cfRule type="cellIs" dxfId="4333" priority="1362" operator="greaterThan">
      <formula>0.03</formula>
    </cfRule>
    <cfRule type="cellIs" dxfId="4332" priority="1363" stopIfTrue="1" operator="lessThan">
      <formula>-0.03</formula>
    </cfRule>
  </conditionalFormatting>
  <conditionalFormatting sqref="AI36:AK36">
    <cfRule type="cellIs" dxfId="4331" priority="1360" operator="greaterThan">
      <formula>0.03</formula>
    </cfRule>
    <cfRule type="cellIs" dxfId="4330" priority="1361" stopIfTrue="1" operator="lessThan">
      <formula>-0.03</formula>
    </cfRule>
  </conditionalFormatting>
  <conditionalFormatting sqref="AU33:AW33">
    <cfRule type="cellIs" dxfId="4329" priority="1358" operator="greaterThan">
      <formula>0.03</formula>
    </cfRule>
    <cfRule type="cellIs" dxfId="4328" priority="1359" stopIfTrue="1" operator="lessThan">
      <formula>-0.03</formula>
    </cfRule>
  </conditionalFormatting>
  <conditionalFormatting sqref="AO43:AQ43 AO40:AQ41">
    <cfRule type="cellIs" dxfId="4327" priority="1356" operator="greaterThan">
      <formula>0.03</formula>
    </cfRule>
    <cfRule type="cellIs" dxfId="4326" priority="1357" stopIfTrue="1" operator="lessThan">
      <formula>-0.03</formula>
    </cfRule>
  </conditionalFormatting>
  <conditionalFormatting sqref="AU42:AV42">
    <cfRule type="cellIs" dxfId="4325" priority="1354" operator="greaterThan">
      <formula>0.03</formula>
    </cfRule>
    <cfRule type="cellIs" dxfId="4324" priority="1355" stopIfTrue="1" operator="lessThan">
      <formula>-0.03</formula>
    </cfRule>
  </conditionalFormatting>
  <conditionalFormatting sqref="AO42:AQ42">
    <cfRule type="cellIs" dxfId="4323" priority="1352" operator="greaterThan">
      <formula>0.03</formula>
    </cfRule>
    <cfRule type="cellIs" dxfId="4322" priority="1353" stopIfTrue="1" operator="lessThan">
      <formula>-0.03</formula>
    </cfRule>
  </conditionalFormatting>
  <conditionalFormatting sqref="AI42:AK42 AI38:AK40">
    <cfRule type="cellIs" dxfId="4321" priority="1350" operator="greaterThan">
      <formula>0.03</formula>
    </cfRule>
    <cfRule type="cellIs" dxfId="4320" priority="1351" stopIfTrue="1" operator="lessThan">
      <formula>-0.03</formula>
    </cfRule>
  </conditionalFormatting>
  <conditionalFormatting sqref="AI41:AK41">
    <cfRule type="cellIs" dxfId="4319" priority="1348" operator="greaterThan">
      <formula>0.03</formula>
    </cfRule>
    <cfRule type="cellIs" dxfId="4318" priority="1349" stopIfTrue="1" operator="lessThan">
      <formula>-0.03</formula>
    </cfRule>
  </conditionalFormatting>
  <conditionalFormatting sqref="AU38:AW38">
    <cfRule type="cellIs" dxfId="4317" priority="1346" operator="greaterThan">
      <formula>0.03</formula>
    </cfRule>
    <cfRule type="cellIs" dxfId="4316" priority="1347" stopIfTrue="1" operator="lessThan">
      <formula>-0.03</formula>
    </cfRule>
  </conditionalFormatting>
  <conditionalFormatting sqref="AO48:AQ48 AO45:AQ46">
    <cfRule type="cellIs" dxfId="4315" priority="1344" operator="greaterThan">
      <formula>0.03</formula>
    </cfRule>
    <cfRule type="cellIs" dxfId="4314" priority="1345" stopIfTrue="1" operator="lessThan">
      <formula>-0.03</formula>
    </cfRule>
  </conditionalFormatting>
  <conditionalFormatting sqref="AU47:AV47">
    <cfRule type="cellIs" dxfId="4313" priority="1342" operator="greaterThan">
      <formula>0.03</formula>
    </cfRule>
    <cfRule type="cellIs" dxfId="4312" priority="1343" stopIfTrue="1" operator="lessThan">
      <formula>-0.03</formula>
    </cfRule>
  </conditionalFormatting>
  <conditionalFormatting sqref="AO47:AQ47">
    <cfRule type="cellIs" dxfId="4311" priority="1340" operator="greaterThan">
      <formula>0.03</formula>
    </cfRule>
    <cfRule type="cellIs" dxfId="4310" priority="1341" stopIfTrue="1" operator="lessThan">
      <formula>-0.03</formula>
    </cfRule>
  </conditionalFormatting>
  <conditionalFormatting sqref="AI47:AK47 AI43:AK45">
    <cfRule type="cellIs" dxfId="4309" priority="1338" operator="greaterThan">
      <formula>0.03</formula>
    </cfRule>
    <cfRule type="cellIs" dxfId="4308" priority="1339" stopIfTrue="1" operator="lessThan">
      <formula>-0.03</formula>
    </cfRule>
  </conditionalFormatting>
  <conditionalFormatting sqref="AI46:AK46">
    <cfRule type="cellIs" dxfId="4307" priority="1336" operator="greaterThan">
      <formula>0.03</formula>
    </cfRule>
    <cfRule type="cellIs" dxfId="4306" priority="1337" stopIfTrue="1" operator="lessThan">
      <formula>-0.03</formula>
    </cfRule>
  </conditionalFormatting>
  <conditionalFormatting sqref="AU43:AW43">
    <cfRule type="cellIs" dxfId="4305" priority="1334" operator="greaterThan">
      <formula>0.03</formula>
    </cfRule>
    <cfRule type="cellIs" dxfId="4304" priority="1335" stopIfTrue="1" operator="lessThan">
      <formula>-0.03</formula>
    </cfRule>
  </conditionalFormatting>
  <conditionalFormatting sqref="AO53:AQ53 AO50:AQ51">
    <cfRule type="cellIs" dxfId="4303" priority="1332" operator="greaterThan">
      <formula>0.03</formula>
    </cfRule>
    <cfRule type="cellIs" dxfId="4302" priority="1333" stopIfTrue="1" operator="lessThan">
      <formula>-0.03</formula>
    </cfRule>
  </conditionalFormatting>
  <conditionalFormatting sqref="AU52:AV52">
    <cfRule type="cellIs" dxfId="4301" priority="1330" operator="greaterThan">
      <formula>0.03</formula>
    </cfRule>
    <cfRule type="cellIs" dxfId="4300" priority="1331" stopIfTrue="1" operator="lessThan">
      <formula>-0.03</formula>
    </cfRule>
  </conditionalFormatting>
  <conditionalFormatting sqref="AO52:AQ52">
    <cfRule type="cellIs" dxfId="4299" priority="1328" operator="greaterThan">
      <formula>0.03</formula>
    </cfRule>
    <cfRule type="cellIs" dxfId="4298" priority="1329" stopIfTrue="1" operator="lessThan">
      <formula>-0.03</formula>
    </cfRule>
  </conditionalFormatting>
  <conditionalFormatting sqref="AI52:AK52 AI48:AK50">
    <cfRule type="cellIs" dxfId="4297" priority="1326" operator="greaterThan">
      <formula>0.03</formula>
    </cfRule>
    <cfRule type="cellIs" dxfId="4296" priority="1327" stopIfTrue="1" operator="lessThan">
      <formula>-0.03</formula>
    </cfRule>
  </conditionalFormatting>
  <conditionalFormatting sqref="AI51:AK51">
    <cfRule type="cellIs" dxfId="4295" priority="1324" operator="greaterThan">
      <formula>0.03</formula>
    </cfRule>
    <cfRule type="cellIs" dxfId="4294" priority="1325" stopIfTrue="1" operator="lessThan">
      <formula>-0.03</formula>
    </cfRule>
  </conditionalFormatting>
  <conditionalFormatting sqref="AU48:AW48">
    <cfRule type="cellIs" dxfId="4293" priority="1322" operator="greaterThan">
      <formula>0.03</formula>
    </cfRule>
    <cfRule type="cellIs" dxfId="4292" priority="1323" stopIfTrue="1" operator="lessThan">
      <formula>-0.03</formula>
    </cfRule>
  </conditionalFormatting>
  <conditionalFormatting sqref="AO58:AQ58 AO55:AQ56">
    <cfRule type="cellIs" dxfId="4291" priority="1320" operator="greaterThan">
      <formula>0.03</formula>
    </cfRule>
    <cfRule type="cellIs" dxfId="4290" priority="1321" stopIfTrue="1" operator="lessThan">
      <formula>-0.03</formula>
    </cfRule>
  </conditionalFormatting>
  <conditionalFormatting sqref="AU57:AV57">
    <cfRule type="cellIs" dxfId="4289" priority="1318" operator="greaterThan">
      <formula>0.03</formula>
    </cfRule>
    <cfRule type="cellIs" dxfId="4288" priority="1319" stopIfTrue="1" operator="lessThan">
      <formula>-0.03</formula>
    </cfRule>
  </conditionalFormatting>
  <conditionalFormatting sqref="AO57:AQ57">
    <cfRule type="cellIs" dxfId="4287" priority="1316" operator="greaterThan">
      <formula>0.03</formula>
    </cfRule>
    <cfRule type="cellIs" dxfId="4286" priority="1317" stopIfTrue="1" operator="lessThan">
      <formula>-0.03</formula>
    </cfRule>
  </conditionalFormatting>
  <conditionalFormatting sqref="AI57:AK57 AI53:AK55">
    <cfRule type="cellIs" dxfId="4285" priority="1314" operator="greaterThan">
      <formula>0.03</formula>
    </cfRule>
    <cfRule type="cellIs" dxfId="4284" priority="1315" stopIfTrue="1" operator="lessThan">
      <formula>-0.03</formula>
    </cfRule>
  </conditionalFormatting>
  <conditionalFormatting sqref="AI56:AK56">
    <cfRule type="cellIs" dxfId="4283" priority="1312" operator="greaterThan">
      <formula>0.03</formula>
    </cfRule>
    <cfRule type="cellIs" dxfId="4282" priority="1313" stopIfTrue="1" operator="lessThan">
      <formula>-0.03</formula>
    </cfRule>
  </conditionalFormatting>
  <conditionalFormatting sqref="AU53:AW53">
    <cfRule type="cellIs" dxfId="4281" priority="1310" operator="greaterThan">
      <formula>0.03</formula>
    </cfRule>
    <cfRule type="cellIs" dxfId="4280" priority="1311" stopIfTrue="1" operator="lessThan">
      <formula>-0.03</formula>
    </cfRule>
  </conditionalFormatting>
  <conditionalFormatting sqref="AO63:AQ63 AO60:AQ61">
    <cfRule type="cellIs" dxfId="4279" priority="1308" operator="greaterThan">
      <formula>0.03</formula>
    </cfRule>
    <cfRule type="cellIs" dxfId="4278" priority="1309" stopIfTrue="1" operator="lessThan">
      <formula>-0.03</formula>
    </cfRule>
  </conditionalFormatting>
  <conditionalFormatting sqref="AU62:AV62">
    <cfRule type="cellIs" dxfId="4277" priority="1306" operator="greaterThan">
      <formula>0.03</formula>
    </cfRule>
    <cfRule type="cellIs" dxfId="4276" priority="1307" stopIfTrue="1" operator="lessThan">
      <formula>-0.03</formula>
    </cfRule>
  </conditionalFormatting>
  <conditionalFormatting sqref="AO62:AQ62">
    <cfRule type="cellIs" dxfId="4275" priority="1304" operator="greaterThan">
      <formula>0.03</formula>
    </cfRule>
    <cfRule type="cellIs" dxfId="4274" priority="1305" stopIfTrue="1" operator="lessThan">
      <formula>-0.03</formula>
    </cfRule>
  </conditionalFormatting>
  <conditionalFormatting sqref="AI62:AK62 AI58:AK60">
    <cfRule type="cellIs" dxfId="4273" priority="1302" operator="greaterThan">
      <formula>0.03</formula>
    </cfRule>
    <cfRule type="cellIs" dxfId="4272" priority="1303" stopIfTrue="1" operator="lessThan">
      <formula>-0.03</formula>
    </cfRule>
  </conditionalFormatting>
  <conditionalFormatting sqref="AI61:AK61">
    <cfRule type="cellIs" dxfId="4271" priority="1300" operator="greaterThan">
      <formula>0.03</formula>
    </cfRule>
    <cfRule type="cellIs" dxfId="4270" priority="1301" stopIfTrue="1" operator="lessThan">
      <formula>-0.03</formula>
    </cfRule>
  </conditionalFormatting>
  <conditionalFormatting sqref="AU58:AW58">
    <cfRule type="cellIs" dxfId="4269" priority="1298" operator="greaterThan">
      <formula>0.03</formula>
    </cfRule>
    <cfRule type="cellIs" dxfId="4268" priority="1299" stopIfTrue="1" operator="lessThan">
      <formula>-0.03</formula>
    </cfRule>
  </conditionalFormatting>
  <conditionalFormatting sqref="AO68:AQ68 AO65:AQ66">
    <cfRule type="cellIs" dxfId="4267" priority="1296" operator="greaterThan">
      <formula>0.03</formula>
    </cfRule>
    <cfRule type="cellIs" dxfId="4266" priority="1297" stopIfTrue="1" operator="lessThan">
      <formula>-0.03</formula>
    </cfRule>
  </conditionalFormatting>
  <conditionalFormatting sqref="AU67:AV67">
    <cfRule type="cellIs" dxfId="4265" priority="1294" operator="greaterThan">
      <formula>0.03</formula>
    </cfRule>
    <cfRule type="cellIs" dxfId="4264" priority="1295" stopIfTrue="1" operator="lessThan">
      <formula>-0.03</formula>
    </cfRule>
  </conditionalFormatting>
  <conditionalFormatting sqref="AO67:AQ67">
    <cfRule type="cellIs" dxfId="4263" priority="1292" operator="greaterThan">
      <formula>0.03</formula>
    </cfRule>
    <cfRule type="cellIs" dxfId="4262" priority="1293" stopIfTrue="1" operator="lessThan">
      <formula>-0.03</formula>
    </cfRule>
  </conditionalFormatting>
  <conditionalFormatting sqref="AI67:AK67 AI63:AK65">
    <cfRule type="cellIs" dxfId="4261" priority="1290" operator="greaterThan">
      <formula>0.03</formula>
    </cfRule>
    <cfRule type="cellIs" dxfId="4260" priority="1291" stopIfTrue="1" operator="lessThan">
      <formula>-0.03</formula>
    </cfRule>
  </conditionalFormatting>
  <conditionalFormatting sqref="AI66:AK66">
    <cfRule type="cellIs" dxfId="4259" priority="1288" operator="greaterThan">
      <formula>0.03</formula>
    </cfRule>
    <cfRule type="cellIs" dxfId="4258" priority="1289" stopIfTrue="1" operator="lessThan">
      <formula>-0.03</formula>
    </cfRule>
  </conditionalFormatting>
  <conditionalFormatting sqref="AU63:AW63">
    <cfRule type="cellIs" dxfId="4257" priority="1286" operator="greaterThan">
      <formula>0.03</formula>
    </cfRule>
    <cfRule type="cellIs" dxfId="4256" priority="1287" stopIfTrue="1" operator="lessThan">
      <formula>-0.03</formula>
    </cfRule>
  </conditionalFormatting>
  <conditionalFormatting sqref="AO73:AQ73 AO70:AQ71">
    <cfRule type="cellIs" dxfId="4255" priority="1284" operator="greaterThan">
      <formula>0.03</formula>
    </cfRule>
    <cfRule type="cellIs" dxfId="4254" priority="1285" stopIfTrue="1" operator="lessThan">
      <formula>-0.03</formula>
    </cfRule>
  </conditionalFormatting>
  <conditionalFormatting sqref="AU72:AV72">
    <cfRule type="cellIs" dxfId="4253" priority="1282" operator="greaterThan">
      <formula>0.03</formula>
    </cfRule>
    <cfRule type="cellIs" dxfId="4252" priority="1283" stopIfTrue="1" operator="lessThan">
      <formula>-0.03</formula>
    </cfRule>
  </conditionalFormatting>
  <conditionalFormatting sqref="AO72:AQ72">
    <cfRule type="cellIs" dxfId="4251" priority="1280" operator="greaterThan">
      <formula>0.03</formula>
    </cfRule>
    <cfRule type="cellIs" dxfId="4250" priority="1281" stopIfTrue="1" operator="lessThan">
      <formula>-0.03</formula>
    </cfRule>
  </conditionalFormatting>
  <conditionalFormatting sqref="AI72:AK72 AI68:AK70">
    <cfRule type="cellIs" dxfId="4249" priority="1278" operator="greaterThan">
      <formula>0.03</formula>
    </cfRule>
    <cfRule type="cellIs" dxfId="4248" priority="1279" stopIfTrue="1" operator="lessThan">
      <formula>-0.03</formula>
    </cfRule>
  </conditionalFormatting>
  <conditionalFormatting sqref="AI71:AK71">
    <cfRule type="cellIs" dxfId="4247" priority="1276" operator="greaterThan">
      <formula>0.03</formula>
    </cfRule>
    <cfRule type="cellIs" dxfId="4246" priority="1277" stopIfTrue="1" operator="lessThan">
      <formula>-0.03</formula>
    </cfRule>
  </conditionalFormatting>
  <conditionalFormatting sqref="AU68:AW68">
    <cfRule type="cellIs" dxfId="4245" priority="1274" operator="greaterThan">
      <formula>0.03</formula>
    </cfRule>
    <cfRule type="cellIs" dxfId="4244" priority="1275" stopIfTrue="1" operator="lessThan">
      <formula>-0.03</formula>
    </cfRule>
  </conditionalFormatting>
  <conditionalFormatting sqref="AO78:AQ78 AO75:AQ76">
    <cfRule type="cellIs" dxfId="4243" priority="1272" operator="greaterThan">
      <formula>0.03</formula>
    </cfRule>
    <cfRule type="cellIs" dxfId="4242" priority="1273" stopIfTrue="1" operator="lessThan">
      <formula>-0.03</formula>
    </cfRule>
  </conditionalFormatting>
  <conditionalFormatting sqref="AU77:AV77">
    <cfRule type="cellIs" dxfId="4241" priority="1270" operator="greaterThan">
      <formula>0.03</formula>
    </cfRule>
    <cfRule type="cellIs" dxfId="4240" priority="1271" stopIfTrue="1" operator="lessThan">
      <formula>-0.03</formula>
    </cfRule>
  </conditionalFormatting>
  <conditionalFormatting sqref="AO77:AQ77">
    <cfRule type="cellIs" dxfId="4239" priority="1268" operator="greaterThan">
      <formula>0.03</formula>
    </cfRule>
    <cfRule type="cellIs" dxfId="4238" priority="1269" stopIfTrue="1" operator="lessThan">
      <formula>-0.03</formula>
    </cfRule>
  </conditionalFormatting>
  <conditionalFormatting sqref="AI77:AK77 AI73:AK75">
    <cfRule type="cellIs" dxfId="4237" priority="1266" operator="greaterThan">
      <formula>0.03</formula>
    </cfRule>
    <cfRule type="cellIs" dxfId="4236" priority="1267" stopIfTrue="1" operator="lessThan">
      <formula>-0.03</formula>
    </cfRule>
  </conditionalFormatting>
  <conditionalFormatting sqref="AI76:AK76">
    <cfRule type="cellIs" dxfId="4235" priority="1264" operator="greaterThan">
      <formula>0.03</formula>
    </cfRule>
    <cfRule type="cellIs" dxfId="4234" priority="1265" stopIfTrue="1" operator="lessThan">
      <formula>-0.03</formula>
    </cfRule>
  </conditionalFormatting>
  <conditionalFormatting sqref="AU73:AW73">
    <cfRule type="cellIs" dxfId="4233" priority="1262" operator="greaterThan">
      <formula>0.03</formula>
    </cfRule>
    <cfRule type="cellIs" dxfId="4232" priority="1263" stopIfTrue="1" operator="lessThan">
      <formula>-0.03</formula>
    </cfRule>
  </conditionalFormatting>
  <conditionalFormatting sqref="AO83:AQ83 AO80:AQ81">
    <cfRule type="cellIs" dxfId="4231" priority="1260" operator="greaterThan">
      <formula>0.03</formula>
    </cfRule>
    <cfRule type="cellIs" dxfId="4230" priority="1261" stopIfTrue="1" operator="lessThan">
      <formula>-0.03</formula>
    </cfRule>
  </conditionalFormatting>
  <conditionalFormatting sqref="AU82:AV82">
    <cfRule type="cellIs" dxfId="4229" priority="1258" operator="greaterThan">
      <formula>0.03</formula>
    </cfRule>
    <cfRule type="cellIs" dxfId="4228" priority="1259" stopIfTrue="1" operator="lessThan">
      <formula>-0.03</formula>
    </cfRule>
  </conditionalFormatting>
  <conditionalFormatting sqref="AO82:AQ82">
    <cfRule type="cellIs" dxfId="4227" priority="1256" operator="greaterThan">
      <formula>0.03</formula>
    </cfRule>
    <cfRule type="cellIs" dxfId="4226" priority="1257" stopIfTrue="1" operator="lessThan">
      <formula>-0.03</formula>
    </cfRule>
  </conditionalFormatting>
  <conditionalFormatting sqref="AI82:AK82 AI78:AK80">
    <cfRule type="cellIs" dxfId="4225" priority="1254" operator="greaterThan">
      <formula>0.03</formula>
    </cfRule>
    <cfRule type="cellIs" dxfId="4224" priority="1255" stopIfTrue="1" operator="lessThan">
      <formula>-0.03</formula>
    </cfRule>
  </conditionalFormatting>
  <conditionalFormatting sqref="AI81:AK81">
    <cfRule type="cellIs" dxfId="4223" priority="1252" operator="greaterThan">
      <formula>0.03</formula>
    </cfRule>
    <cfRule type="cellIs" dxfId="4222" priority="1253" stopIfTrue="1" operator="lessThan">
      <formula>-0.03</formula>
    </cfRule>
  </conditionalFormatting>
  <conditionalFormatting sqref="AU78:AW78">
    <cfRule type="cellIs" dxfId="4221" priority="1250" operator="greaterThan">
      <formula>0.03</formula>
    </cfRule>
    <cfRule type="cellIs" dxfId="4220" priority="1251" stopIfTrue="1" operator="lessThan">
      <formula>-0.03</formula>
    </cfRule>
  </conditionalFormatting>
  <conditionalFormatting sqref="AO88:AQ88 AO85:AQ86">
    <cfRule type="cellIs" dxfId="4219" priority="1248" operator="greaterThan">
      <formula>0.03</formula>
    </cfRule>
    <cfRule type="cellIs" dxfId="4218" priority="1249" stopIfTrue="1" operator="lessThan">
      <formula>-0.03</formula>
    </cfRule>
  </conditionalFormatting>
  <conditionalFormatting sqref="AU87:AV87">
    <cfRule type="cellIs" dxfId="4217" priority="1246" operator="greaterThan">
      <formula>0.03</formula>
    </cfRule>
    <cfRule type="cellIs" dxfId="4216" priority="1247" stopIfTrue="1" operator="lessThan">
      <formula>-0.03</formula>
    </cfRule>
  </conditionalFormatting>
  <conditionalFormatting sqref="AO87:AQ87">
    <cfRule type="cellIs" dxfId="4215" priority="1244" operator="greaterThan">
      <formula>0.03</formula>
    </cfRule>
    <cfRule type="cellIs" dxfId="4214" priority="1245" stopIfTrue="1" operator="lessThan">
      <formula>-0.03</formula>
    </cfRule>
  </conditionalFormatting>
  <conditionalFormatting sqref="AI87:AK87 AI83:AK85">
    <cfRule type="cellIs" dxfId="4213" priority="1242" operator="greaterThan">
      <formula>0.03</formula>
    </cfRule>
    <cfRule type="cellIs" dxfId="4212" priority="1243" stopIfTrue="1" operator="lessThan">
      <formula>-0.03</formula>
    </cfRule>
  </conditionalFormatting>
  <conditionalFormatting sqref="AI86:AK86">
    <cfRule type="cellIs" dxfId="4211" priority="1240" operator="greaterThan">
      <formula>0.03</formula>
    </cfRule>
    <cfRule type="cellIs" dxfId="4210" priority="1241" stopIfTrue="1" operator="lessThan">
      <formula>-0.03</formula>
    </cfRule>
  </conditionalFormatting>
  <conditionalFormatting sqref="AU83:AW83">
    <cfRule type="cellIs" dxfId="4209" priority="1238" operator="greaterThan">
      <formula>0.03</formula>
    </cfRule>
    <cfRule type="cellIs" dxfId="4208" priority="1239" stopIfTrue="1" operator="lessThan">
      <formula>-0.03</formula>
    </cfRule>
  </conditionalFormatting>
  <conditionalFormatting sqref="AO93:AQ93 AO90:AQ91">
    <cfRule type="cellIs" dxfId="4207" priority="1236" operator="greaterThan">
      <formula>0.03</formula>
    </cfRule>
    <cfRule type="cellIs" dxfId="4206" priority="1237" stopIfTrue="1" operator="lessThan">
      <formula>-0.03</formula>
    </cfRule>
  </conditionalFormatting>
  <conditionalFormatting sqref="AU92:AV92">
    <cfRule type="cellIs" dxfId="4205" priority="1234" operator="greaterThan">
      <formula>0.03</formula>
    </cfRule>
    <cfRule type="cellIs" dxfId="4204" priority="1235" stopIfTrue="1" operator="lessThan">
      <formula>-0.03</formula>
    </cfRule>
  </conditionalFormatting>
  <conditionalFormatting sqref="AO92:AQ92">
    <cfRule type="cellIs" dxfId="4203" priority="1232" operator="greaterThan">
      <formula>0.03</formula>
    </cfRule>
    <cfRule type="cellIs" dxfId="4202" priority="1233" stopIfTrue="1" operator="lessThan">
      <formula>-0.03</formula>
    </cfRule>
  </conditionalFormatting>
  <conditionalFormatting sqref="AI92:AK92 AI88:AK90">
    <cfRule type="cellIs" dxfId="4201" priority="1230" operator="greaterThan">
      <formula>0.03</formula>
    </cfRule>
    <cfRule type="cellIs" dxfId="4200" priority="1231" stopIfTrue="1" operator="lessThan">
      <formula>-0.03</formula>
    </cfRule>
  </conditionalFormatting>
  <conditionalFormatting sqref="AI91:AK91">
    <cfRule type="cellIs" dxfId="4199" priority="1228" operator="greaterThan">
      <formula>0.03</formula>
    </cfRule>
    <cfRule type="cellIs" dxfId="4198" priority="1229" stopIfTrue="1" operator="lessThan">
      <formula>-0.03</formula>
    </cfRule>
  </conditionalFormatting>
  <conditionalFormatting sqref="AU88:AW88">
    <cfRule type="cellIs" dxfId="4197" priority="1226" operator="greaterThan">
      <formula>0.03</formula>
    </cfRule>
    <cfRule type="cellIs" dxfId="4196" priority="1227" stopIfTrue="1" operator="lessThan">
      <formula>-0.03</formula>
    </cfRule>
  </conditionalFormatting>
  <conditionalFormatting sqref="AO98:AQ98 AO95:AQ96">
    <cfRule type="cellIs" dxfId="4195" priority="1224" operator="greaterThan">
      <formula>0.03</formula>
    </cfRule>
    <cfRule type="cellIs" dxfId="4194" priority="1225" stopIfTrue="1" operator="lessThan">
      <formula>-0.03</formula>
    </cfRule>
  </conditionalFormatting>
  <conditionalFormatting sqref="AU97:AV97">
    <cfRule type="cellIs" dxfId="4193" priority="1222" operator="greaterThan">
      <formula>0.03</formula>
    </cfRule>
    <cfRule type="cellIs" dxfId="4192" priority="1223" stopIfTrue="1" operator="lessThan">
      <formula>-0.03</formula>
    </cfRule>
  </conditionalFormatting>
  <conditionalFormatting sqref="AO97:AQ97">
    <cfRule type="cellIs" dxfId="4191" priority="1220" operator="greaterThan">
      <formula>0.03</formula>
    </cfRule>
    <cfRule type="cellIs" dxfId="4190" priority="1221" stopIfTrue="1" operator="lessThan">
      <formula>-0.03</formula>
    </cfRule>
  </conditionalFormatting>
  <conditionalFormatting sqref="AI97:AK97 AI93:AK95">
    <cfRule type="cellIs" dxfId="4189" priority="1218" operator="greaterThan">
      <formula>0.03</formula>
    </cfRule>
    <cfRule type="cellIs" dxfId="4188" priority="1219" stopIfTrue="1" operator="lessThan">
      <formula>-0.03</formula>
    </cfRule>
  </conditionalFormatting>
  <conditionalFormatting sqref="AI96:AK96">
    <cfRule type="cellIs" dxfId="4187" priority="1216" operator="greaterThan">
      <formula>0.03</formula>
    </cfRule>
    <cfRule type="cellIs" dxfId="4186" priority="1217" stopIfTrue="1" operator="lessThan">
      <formula>-0.03</formula>
    </cfRule>
  </conditionalFormatting>
  <conditionalFormatting sqref="AU93:AW93">
    <cfRule type="cellIs" dxfId="4185" priority="1214" operator="greaterThan">
      <formula>0.03</formula>
    </cfRule>
    <cfRule type="cellIs" dxfId="4184" priority="1215" stopIfTrue="1" operator="lessThan">
      <formula>-0.03</formula>
    </cfRule>
  </conditionalFormatting>
  <conditionalFormatting sqref="AO103:AQ103 AO100:AQ101">
    <cfRule type="cellIs" dxfId="4183" priority="1212" operator="greaterThan">
      <formula>0.03</formula>
    </cfRule>
    <cfRule type="cellIs" dxfId="4182" priority="1213" stopIfTrue="1" operator="lessThan">
      <formula>-0.03</formula>
    </cfRule>
  </conditionalFormatting>
  <conditionalFormatting sqref="AU102:AV102">
    <cfRule type="cellIs" dxfId="4181" priority="1210" operator="greaterThan">
      <formula>0.03</formula>
    </cfRule>
    <cfRule type="cellIs" dxfId="4180" priority="1211" stopIfTrue="1" operator="lessThan">
      <formula>-0.03</formula>
    </cfRule>
  </conditionalFormatting>
  <conditionalFormatting sqref="AO102:AQ102">
    <cfRule type="cellIs" dxfId="4179" priority="1208" operator="greaterThan">
      <formula>0.03</formula>
    </cfRule>
    <cfRule type="cellIs" dxfId="4178" priority="1209" stopIfTrue="1" operator="lessThan">
      <formula>-0.03</formula>
    </cfRule>
  </conditionalFormatting>
  <conditionalFormatting sqref="AI102:AK102 AI98:AK100">
    <cfRule type="cellIs" dxfId="4177" priority="1206" operator="greaterThan">
      <formula>0.03</formula>
    </cfRule>
    <cfRule type="cellIs" dxfId="4176" priority="1207" stopIfTrue="1" operator="lessThan">
      <formula>-0.03</formula>
    </cfRule>
  </conditionalFormatting>
  <conditionalFormatting sqref="AI101:AK101">
    <cfRule type="cellIs" dxfId="4175" priority="1204" operator="greaterThan">
      <formula>0.03</formula>
    </cfRule>
    <cfRule type="cellIs" dxfId="4174" priority="1205" stopIfTrue="1" operator="lessThan">
      <formula>-0.03</formula>
    </cfRule>
  </conditionalFormatting>
  <conditionalFormatting sqref="AU98:AW98">
    <cfRule type="cellIs" dxfId="4173" priority="1202" operator="greaterThan">
      <formula>0.03</formula>
    </cfRule>
    <cfRule type="cellIs" dxfId="4172" priority="1203" stopIfTrue="1" operator="lessThan">
      <formula>-0.03</formula>
    </cfRule>
  </conditionalFormatting>
  <conditionalFormatting sqref="AO108:AQ108 AO105:AQ106">
    <cfRule type="cellIs" dxfId="4171" priority="1200" operator="greaterThan">
      <formula>0.03</formula>
    </cfRule>
    <cfRule type="cellIs" dxfId="4170" priority="1201" stopIfTrue="1" operator="lessThan">
      <formula>-0.03</formula>
    </cfRule>
  </conditionalFormatting>
  <conditionalFormatting sqref="AU107:AV107">
    <cfRule type="cellIs" dxfId="4169" priority="1198" operator="greaterThan">
      <formula>0.03</formula>
    </cfRule>
    <cfRule type="cellIs" dxfId="4168" priority="1199" stopIfTrue="1" operator="lessThan">
      <formula>-0.03</formula>
    </cfRule>
  </conditionalFormatting>
  <conditionalFormatting sqref="AO107:AQ107">
    <cfRule type="cellIs" dxfId="4167" priority="1196" operator="greaterThan">
      <formula>0.03</formula>
    </cfRule>
    <cfRule type="cellIs" dxfId="4166" priority="1197" stopIfTrue="1" operator="lessThan">
      <formula>-0.03</formula>
    </cfRule>
  </conditionalFormatting>
  <conditionalFormatting sqref="AI107:AK107 AI103:AK105">
    <cfRule type="cellIs" dxfId="4165" priority="1194" operator="greaterThan">
      <formula>0.03</formula>
    </cfRule>
    <cfRule type="cellIs" dxfId="4164" priority="1195" stopIfTrue="1" operator="lessThan">
      <formula>-0.03</formula>
    </cfRule>
  </conditionalFormatting>
  <conditionalFormatting sqref="AI106:AK106">
    <cfRule type="cellIs" dxfId="4163" priority="1192" operator="greaterThan">
      <formula>0.03</formula>
    </cfRule>
    <cfRule type="cellIs" dxfId="4162" priority="1193" stopIfTrue="1" operator="lessThan">
      <formula>-0.03</formula>
    </cfRule>
  </conditionalFormatting>
  <conditionalFormatting sqref="AU103:AW103">
    <cfRule type="cellIs" dxfId="4161" priority="1190" operator="greaterThan">
      <formula>0.03</formula>
    </cfRule>
    <cfRule type="cellIs" dxfId="4160" priority="1191" stopIfTrue="1" operator="lessThan">
      <formula>-0.03</formula>
    </cfRule>
  </conditionalFormatting>
  <conditionalFormatting sqref="AO113:AQ113 AO110:AQ111">
    <cfRule type="cellIs" dxfId="4159" priority="1188" operator="greaterThan">
      <formula>0.03</formula>
    </cfRule>
    <cfRule type="cellIs" dxfId="4158" priority="1189" stopIfTrue="1" operator="lessThan">
      <formula>-0.03</formula>
    </cfRule>
  </conditionalFormatting>
  <conditionalFormatting sqref="AU112:AV112">
    <cfRule type="cellIs" dxfId="4157" priority="1186" operator="greaterThan">
      <formula>0.03</formula>
    </cfRule>
    <cfRule type="cellIs" dxfId="4156" priority="1187" stopIfTrue="1" operator="lessThan">
      <formula>-0.03</formula>
    </cfRule>
  </conditionalFormatting>
  <conditionalFormatting sqref="AO112:AQ112">
    <cfRule type="cellIs" dxfId="4155" priority="1184" operator="greaterThan">
      <formula>0.03</formula>
    </cfRule>
    <cfRule type="cellIs" dxfId="4154" priority="1185" stopIfTrue="1" operator="lessThan">
      <formula>-0.03</formula>
    </cfRule>
  </conditionalFormatting>
  <conditionalFormatting sqref="AI112:AK112 AI108:AK110">
    <cfRule type="cellIs" dxfId="4153" priority="1182" operator="greaterThan">
      <formula>0.03</formula>
    </cfRule>
    <cfRule type="cellIs" dxfId="4152" priority="1183" stopIfTrue="1" operator="lessThan">
      <formula>-0.03</formula>
    </cfRule>
  </conditionalFormatting>
  <conditionalFormatting sqref="AI111:AK111">
    <cfRule type="cellIs" dxfId="4151" priority="1180" operator="greaterThan">
      <formula>0.03</formula>
    </cfRule>
    <cfRule type="cellIs" dxfId="4150" priority="1181" stopIfTrue="1" operator="lessThan">
      <formula>-0.03</formula>
    </cfRule>
  </conditionalFormatting>
  <conditionalFormatting sqref="AU108:AW108">
    <cfRule type="cellIs" dxfId="4149" priority="1178" operator="greaterThan">
      <formula>0.03</formula>
    </cfRule>
    <cfRule type="cellIs" dxfId="4148" priority="1179" stopIfTrue="1" operator="lessThan">
      <formula>-0.03</formula>
    </cfRule>
  </conditionalFormatting>
  <conditionalFormatting sqref="AO118:AQ118 AO115:AQ116">
    <cfRule type="cellIs" dxfId="4147" priority="1176" operator="greaterThan">
      <formula>0.03</formula>
    </cfRule>
    <cfRule type="cellIs" dxfId="4146" priority="1177" stopIfTrue="1" operator="lessThan">
      <formula>-0.03</formula>
    </cfRule>
  </conditionalFormatting>
  <conditionalFormatting sqref="AU117:AV117">
    <cfRule type="cellIs" dxfId="4145" priority="1174" operator="greaterThan">
      <formula>0.03</formula>
    </cfRule>
    <cfRule type="cellIs" dxfId="4144" priority="1175" stopIfTrue="1" operator="lessThan">
      <formula>-0.03</formula>
    </cfRule>
  </conditionalFormatting>
  <conditionalFormatting sqref="AO117:AQ117">
    <cfRule type="cellIs" dxfId="4143" priority="1172" operator="greaterThan">
      <formula>0.03</formula>
    </cfRule>
    <cfRule type="cellIs" dxfId="4142" priority="1173" stopIfTrue="1" operator="lessThan">
      <formula>-0.03</formula>
    </cfRule>
  </conditionalFormatting>
  <conditionalFormatting sqref="AI117:AK117 AI113:AK115">
    <cfRule type="cellIs" dxfId="4141" priority="1170" operator="greaterThan">
      <formula>0.03</formula>
    </cfRule>
    <cfRule type="cellIs" dxfId="4140" priority="1171" stopIfTrue="1" operator="lessThan">
      <formula>-0.03</formula>
    </cfRule>
  </conditionalFormatting>
  <conditionalFormatting sqref="AI116:AK116">
    <cfRule type="cellIs" dxfId="4139" priority="1168" operator="greaterThan">
      <formula>0.03</formula>
    </cfRule>
    <cfRule type="cellIs" dxfId="4138" priority="1169" stopIfTrue="1" operator="lessThan">
      <formula>-0.03</formula>
    </cfRule>
  </conditionalFormatting>
  <conditionalFormatting sqref="AU113:AW113">
    <cfRule type="cellIs" dxfId="4137" priority="1166" operator="greaterThan">
      <formula>0.03</formula>
    </cfRule>
    <cfRule type="cellIs" dxfId="4136" priority="1167" stopIfTrue="1" operator="lessThan">
      <formula>-0.03</formula>
    </cfRule>
  </conditionalFormatting>
  <conditionalFormatting sqref="AO123:AQ123 AO120:AQ121">
    <cfRule type="cellIs" dxfId="4135" priority="1164" operator="greaterThan">
      <formula>0.03</formula>
    </cfRule>
    <cfRule type="cellIs" dxfId="4134" priority="1165" stopIfTrue="1" operator="lessThan">
      <formula>-0.03</formula>
    </cfRule>
  </conditionalFormatting>
  <conditionalFormatting sqref="AU122:AV122">
    <cfRule type="cellIs" dxfId="4133" priority="1162" operator="greaterThan">
      <formula>0.03</formula>
    </cfRule>
    <cfRule type="cellIs" dxfId="4132" priority="1163" stopIfTrue="1" operator="lessThan">
      <formula>-0.03</formula>
    </cfRule>
  </conditionalFormatting>
  <conditionalFormatting sqref="AO122:AQ122">
    <cfRule type="cellIs" dxfId="4131" priority="1160" operator="greaterThan">
      <formula>0.03</formula>
    </cfRule>
    <cfRule type="cellIs" dxfId="4130" priority="1161" stopIfTrue="1" operator="lessThan">
      <formula>-0.03</formula>
    </cfRule>
  </conditionalFormatting>
  <conditionalFormatting sqref="AI122:AK122 AI118:AK120">
    <cfRule type="cellIs" dxfId="4129" priority="1158" operator="greaterThan">
      <formula>0.03</formula>
    </cfRule>
    <cfRule type="cellIs" dxfId="4128" priority="1159" stopIfTrue="1" operator="lessThan">
      <formula>-0.03</formula>
    </cfRule>
  </conditionalFormatting>
  <conditionalFormatting sqref="AI121:AK121">
    <cfRule type="cellIs" dxfId="4127" priority="1156" operator="greaterThan">
      <formula>0.03</formula>
    </cfRule>
    <cfRule type="cellIs" dxfId="4126" priority="1157" stopIfTrue="1" operator="lessThan">
      <formula>-0.03</formula>
    </cfRule>
  </conditionalFormatting>
  <conditionalFormatting sqref="AU118:AW118">
    <cfRule type="cellIs" dxfId="4125" priority="1154" operator="greaterThan">
      <formula>0.03</formula>
    </cfRule>
    <cfRule type="cellIs" dxfId="4124" priority="1155" stopIfTrue="1" operator="lessThan">
      <formula>-0.03</formula>
    </cfRule>
  </conditionalFormatting>
  <conditionalFormatting sqref="AO128:AQ128 AO125:AQ126">
    <cfRule type="cellIs" dxfId="4123" priority="1152" operator="greaterThan">
      <formula>0.03</formula>
    </cfRule>
    <cfRule type="cellIs" dxfId="4122" priority="1153" stopIfTrue="1" operator="lessThan">
      <formula>-0.03</formula>
    </cfRule>
  </conditionalFormatting>
  <conditionalFormatting sqref="AU127:AV127">
    <cfRule type="cellIs" dxfId="4121" priority="1150" operator="greaterThan">
      <formula>0.03</formula>
    </cfRule>
    <cfRule type="cellIs" dxfId="4120" priority="1151" stopIfTrue="1" operator="lessThan">
      <formula>-0.03</formula>
    </cfRule>
  </conditionalFormatting>
  <conditionalFormatting sqref="AO127:AQ127">
    <cfRule type="cellIs" dxfId="4119" priority="1148" operator="greaterThan">
      <formula>0.03</formula>
    </cfRule>
    <cfRule type="cellIs" dxfId="4118" priority="1149" stopIfTrue="1" operator="lessThan">
      <formula>-0.03</formula>
    </cfRule>
  </conditionalFormatting>
  <conditionalFormatting sqref="AI127:AK127 AI123:AK125">
    <cfRule type="cellIs" dxfId="4117" priority="1146" operator="greaterThan">
      <formula>0.03</formula>
    </cfRule>
    <cfRule type="cellIs" dxfId="4116" priority="1147" stopIfTrue="1" operator="lessThan">
      <formula>-0.03</formula>
    </cfRule>
  </conditionalFormatting>
  <conditionalFormatting sqref="AI126:AK126">
    <cfRule type="cellIs" dxfId="4115" priority="1144" operator="greaterThan">
      <formula>0.03</formula>
    </cfRule>
    <cfRule type="cellIs" dxfId="4114" priority="1145" stopIfTrue="1" operator="lessThan">
      <formula>-0.03</formula>
    </cfRule>
  </conditionalFormatting>
  <conditionalFormatting sqref="AU123:AW123">
    <cfRule type="cellIs" dxfId="4113" priority="1142" operator="greaterThan">
      <formula>0.03</formula>
    </cfRule>
    <cfRule type="cellIs" dxfId="4112" priority="1143" stopIfTrue="1" operator="lessThan">
      <formula>-0.03</formula>
    </cfRule>
  </conditionalFormatting>
  <conditionalFormatting sqref="AO130:AQ132">
    <cfRule type="cellIs" dxfId="4111" priority="1140" operator="greaterThan">
      <formula>0.03</formula>
    </cfRule>
    <cfRule type="cellIs" dxfId="4110" priority="1141" stopIfTrue="1" operator="lessThan">
      <formula>-0.03</formula>
    </cfRule>
  </conditionalFormatting>
  <conditionalFormatting sqref="AU132:AV132">
    <cfRule type="cellIs" dxfId="4109" priority="1138" operator="greaterThan">
      <formula>0.03</formula>
    </cfRule>
    <cfRule type="cellIs" dxfId="4108" priority="1139" stopIfTrue="1" operator="lessThan">
      <formula>-0.03</formula>
    </cfRule>
  </conditionalFormatting>
  <conditionalFormatting sqref="AI132:AK132 AI128:AK130">
    <cfRule type="cellIs" dxfId="4107" priority="1136" operator="greaterThan">
      <formula>0.03</formula>
    </cfRule>
    <cfRule type="cellIs" dxfId="4106" priority="1137" stopIfTrue="1" operator="lessThan">
      <formula>-0.03</formula>
    </cfRule>
  </conditionalFormatting>
  <conditionalFormatting sqref="AI131:AK131">
    <cfRule type="cellIs" dxfId="4105" priority="1134" operator="greaterThan">
      <formula>0.03</formula>
    </cfRule>
    <cfRule type="cellIs" dxfId="4104" priority="1135" stopIfTrue="1" operator="lessThan">
      <formula>-0.03</formula>
    </cfRule>
  </conditionalFormatting>
  <conditionalFormatting sqref="AU128:AW128">
    <cfRule type="cellIs" dxfId="4103" priority="1132" operator="greaterThan">
      <formula>0.03</formula>
    </cfRule>
    <cfRule type="cellIs" dxfId="4102" priority="1133" stopIfTrue="1" operator="lessThan">
      <formula>-0.03</formula>
    </cfRule>
  </conditionalFormatting>
  <conditionalFormatting sqref="AF7:AH7 AF3:AH5">
    <cfRule type="cellIs" dxfId="4101" priority="1130" operator="greaterThan">
      <formula>0.03</formula>
    </cfRule>
    <cfRule type="cellIs" dxfId="4100" priority="1131" stopIfTrue="1" operator="lessThan">
      <formula>-0.03</formula>
    </cfRule>
  </conditionalFormatting>
  <conditionalFormatting sqref="AF156:AH156">
    <cfRule type="cellIs" dxfId="4099" priority="1122" operator="greaterThan">
      <formula>0.03</formula>
    </cfRule>
    <cfRule type="cellIs" dxfId="4098" priority="1123" stopIfTrue="1" operator="lessThan">
      <formula>-0.03</formula>
    </cfRule>
  </conditionalFormatting>
  <conditionalFormatting sqref="AF159:AH159">
    <cfRule type="cellIs" dxfId="4097" priority="1120" operator="greaterThan">
      <formula>0.03</formula>
    </cfRule>
    <cfRule type="cellIs" dxfId="4096" priority="1121" stopIfTrue="1" operator="lessThan">
      <formula>-0.03</formula>
    </cfRule>
  </conditionalFormatting>
  <conditionalFormatting sqref="AF161:AW161">
    <cfRule type="cellIs" dxfId="4095" priority="1128" operator="greaterThan">
      <formula>0.03</formula>
    </cfRule>
    <cfRule type="cellIs" dxfId="4094" priority="1129" stopIfTrue="1" operator="lessThan">
      <formula>-0.03</formula>
    </cfRule>
  </conditionalFormatting>
  <conditionalFormatting sqref="AF153:AH153 AF155:AH155">
    <cfRule type="cellIs" dxfId="4093" priority="1124" operator="greaterThan">
      <formula>0.03</formula>
    </cfRule>
    <cfRule type="cellIs" dxfId="4092" priority="1125" stopIfTrue="1" operator="lessThan">
      <formula>-0.03</formula>
    </cfRule>
  </conditionalFormatting>
  <conditionalFormatting sqref="AF157:AH158">
    <cfRule type="cellIs" dxfId="4091" priority="1126" operator="greaterThan">
      <formula>0.03</formula>
    </cfRule>
    <cfRule type="cellIs" dxfId="4090" priority="1127" stopIfTrue="1" operator="lessThan">
      <formula>-0.03</formula>
    </cfRule>
  </conditionalFormatting>
  <conditionalFormatting sqref="AF154:AH154">
    <cfRule type="cellIs" dxfId="4089" priority="1118" operator="greaterThan">
      <formula>0.03</formula>
    </cfRule>
    <cfRule type="cellIs" dxfId="4088" priority="1119" stopIfTrue="1" operator="lessThan">
      <formula>-0.03</formula>
    </cfRule>
  </conditionalFormatting>
  <conditionalFormatting sqref="AF6:AH6">
    <cfRule type="cellIs" dxfId="4087" priority="1116" operator="greaterThan">
      <formula>0.03</formula>
    </cfRule>
    <cfRule type="cellIs" dxfId="4086" priority="1117" stopIfTrue="1" operator="lessThan">
      <formula>-0.03</formula>
    </cfRule>
  </conditionalFormatting>
  <conditionalFormatting sqref="AF12:AH12 AF8:AH10">
    <cfRule type="cellIs" dxfId="4085" priority="1114" operator="greaterThan">
      <formula>0.03</formula>
    </cfRule>
    <cfRule type="cellIs" dxfId="4084" priority="1115" stopIfTrue="1" operator="lessThan">
      <formula>-0.03</formula>
    </cfRule>
  </conditionalFormatting>
  <conditionalFormatting sqref="AF11:AH11">
    <cfRule type="cellIs" dxfId="4083" priority="1112" operator="greaterThan">
      <formula>0.03</formula>
    </cfRule>
    <cfRule type="cellIs" dxfId="4082" priority="1113" stopIfTrue="1" operator="lessThan">
      <formula>-0.03</formula>
    </cfRule>
  </conditionalFormatting>
  <conditionalFormatting sqref="AF17:AH17 AF13:AH15">
    <cfRule type="cellIs" dxfId="4081" priority="1110" operator="greaterThan">
      <formula>0.03</formula>
    </cfRule>
    <cfRule type="cellIs" dxfId="4080" priority="1111" stopIfTrue="1" operator="lessThan">
      <formula>-0.03</formula>
    </cfRule>
  </conditionalFormatting>
  <conditionalFormatting sqref="AF16:AH16">
    <cfRule type="cellIs" dxfId="4079" priority="1108" operator="greaterThan">
      <formula>0.03</formula>
    </cfRule>
    <cfRule type="cellIs" dxfId="4078" priority="1109" stopIfTrue="1" operator="lessThan">
      <formula>-0.03</formula>
    </cfRule>
  </conditionalFormatting>
  <conditionalFormatting sqref="AF22:AH22 AF18:AH20">
    <cfRule type="cellIs" dxfId="4077" priority="1106" operator="greaterThan">
      <formula>0.03</formula>
    </cfRule>
    <cfRule type="cellIs" dxfId="4076" priority="1107" stopIfTrue="1" operator="lessThan">
      <formula>-0.03</formula>
    </cfRule>
  </conditionalFormatting>
  <conditionalFormatting sqref="AF21:AH21">
    <cfRule type="cellIs" dxfId="4075" priority="1104" operator="greaterThan">
      <formula>0.03</formula>
    </cfRule>
    <cfRule type="cellIs" dxfId="4074" priority="1105" stopIfTrue="1" operator="lessThan">
      <formula>-0.03</formula>
    </cfRule>
  </conditionalFormatting>
  <conditionalFormatting sqref="AF27:AH27 AF23:AH25">
    <cfRule type="cellIs" dxfId="4073" priority="1102" operator="greaterThan">
      <formula>0.03</formula>
    </cfRule>
    <cfRule type="cellIs" dxfId="4072" priority="1103" stopIfTrue="1" operator="lessThan">
      <formula>-0.03</formula>
    </cfRule>
  </conditionalFormatting>
  <conditionalFormatting sqref="AF26:AH26">
    <cfRule type="cellIs" dxfId="4071" priority="1100" operator="greaterThan">
      <formula>0.03</formula>
    </cfRule>
    <cfRule type="cellIs" dxfId="4070" priority="1101" stopIfTrue="1" operator="lessThan">
      <formula>-0.03</formula>
    </cfRule>
  </conditionalFormatting>
  <conditionalFormatting sqref="AF32:AH32 AF28:AH30">
    <cfRule type="cellIs" dxfId="4069" priority="1098" operator="greaterThan">
      <formula>0.03</formula>
    </cfRule>
    <cfRule type="cellIs" dxfId="4068" priority="1099" stopIfTrue="1" operator="lessThan">
      <formula>-0.03</formula>
    </cfRule>
  </conditionalFormatting>
  <conditionalFormatting sqref="AF31:AH31">
    <cfRule type="cellIs" dxfId="4067" priority="1096" operator="greaterThan">
      <formula>0.03</formula>
    </cfRule>
    <cfRule type="cellIs" dxfId="4066" priority="1097" stopIfTrue="1" operator="lessThan">
      <formula>-0.03</formula>
    </cfRule>
  </conditionalFormatting>
  <conditionalFormatting sqref="AF37:AH37 AF33:AH35">
    <cfRule type="cellIs" dxfId="4065" priority="1094" operator="greaterThan">
      <formula>0.03</formula>
    </cfRule>
    <cfRule type="cellIs" dxfId="4064" priority="1095" stopIfTrue="1" operator="lessThan">
      <formula>-0.03</formula>
    </cfRule>
  </conditionalFormatting>
  <conditionalFormatting sqref="AF36:AH36">
    <cfRule type="cellIs" dxfId="4063" priority="1092" operator="greaterThan">
      <formula>0.03</formula>
    </cfRule>
    <cfRule type="cellIs" dxfId="4062" priority="1093" stopIfTrue="1" operator="lessThan">
      <formula>-0.03</formula>
    </cfRule>
  </conditionalFormatting>
  <conditionalFormatting sqref="AF42:AH42 AF38:AH40">
    <cfRule type="cellIs" dxfId="4061" priority="1090" operator="greaterThan">
      <formula>0.03</formula>
    </cfRule>
    <cfRule type="cellIs" dxfId="4060" priority="1091" stopIfTrue="1" operator="lessThan">
      <formula>-0.03</formula>
    </cfRule>
  </conditionalFormatting>
  <conditionalFormatting sqref="AF41:AH41">
    <cfRule type="cellIs" dxfId="4059" priority="1088" operator="greaterThan">
      <formula>0.03</formula>
    </cfRule>
    <cfRule type="cellIs" dxfId="4058" priority="1089" stopIfTrue="1" operator="lessThan">
      <formula>-0.03</formula>
    </cfRule>
  </conditionalFormatting>
  <conditionalFormatting sqref="AF47:AH47 AF43:AH45">
    <cfRule type="cellIs" dxfId="4057" priority="1086" operator="greaterThan">
      <formula>0.03</formula>
    </cfRule>
    <cfRule type="cellIs" dxfId="4056" priority="1087" stopIfTrue="1" operator="lessThan">
      <formula>-0.03</formula>
    </cfRule>
  </conditionalFormatting>
  <conditionalFormatting sqref="AF46:AH46">
    <cfRule type="cellIs" dxfId="4055" priority="1084" operator="greaterThan">
      <formula>0.03</formula>
    </cfRule>
    <cfRule type="cellIs" dxfId="4054" priority="1085" stopIfTrue="1" operator="lessThan">
      <formula>-0.03</formula>
    </cfRule>
  </conditionalFormatting>
  <conditionalFormatting sqref="AF52:AH52 AF48:AH50">
    <cfRule type="cellIs" dxfId="4053" priority="1082" operator="greaterThan">
      <formula>0.03</formula>
    </cfRule>
    <cfRule type="cellIs" dxfId="4052" priority="1083" stopIfTrue="1" operator="lessThan">
      <formula>-0.03</formula>
    </cfRule>
  </conditionalFormatting>
  <conditionalFormatting sqref="AF51:AH51">
    <cfRule type="cellIs" dxfId="4051" priority="1080" operator="greaterThan">
      <formula>0.03</formula>
    </cfRule>
    <cfRule type="cellIs" dxfId="4050" priority="1081" stopIfTrue="1" operator="lessThan">
      <formula>-0.03</formula>
    </cfRule>
  </conditionalFormatting>
  <conditionalFormatting sqref="AF57:AH57 AF53:AH55">
    <cfRule type="cellIs" dxfId="4049" priority="1078" operator="greaterThan">
      <formula>0.03</formula>
    </cfRule>
    <cfRule type="cellIs" dxfId="4048" priority="1079" stopIfTrue="1" operator="lessThan">
      <formula>-0.03</formula>
    </cfRule>
  </conditionalFormatting>
  <conditionalFormatting sqref="AF56:AH56">
    <cfRule type="cellIs" dxfId="4047" priority="1076" operator="greaterThan">
      <formula>0.03</formula>
    </cfRule>
    <cfRule type="cellIs" dxfId="4046" priority="1077" stopIfTrue="1" operator="lessThan">
      <formula>-0.03</formula>
    </cfRule>
  </conditionalFormatting>
  <conditionalFormatting sqref="AF62:AH62 AF58:AH60">
    <cfRule type="cellIs" dxfId="4045" priority="1074" operator="greaterThan">
      <formula>0.03</formula>
    </cfRule>
    <cfRule type="cellIs" dxfId="4044" priority="1075" stopIfTrue="1" operator="lessThan">
      <formula>-0.03</formula>
    </cfRule>
  </conditionalFormatting>
  <conditionalFormatting sqref="AF61:AH61">
    <cfRule type="cellIs" dxfId="4043" priority="1072" operator="greaterThan">
      <formula>0.03</formula>
    </cfRule>
    <cfRule type="cellIs" dxfId="4042" priority="1073" stopIfTrue="1" operator="lessThan">
      <formula>-0.03</formula>
    </cfRule>
  </conditionalFormatting>
  <conditionalFormatting sqref="AF67:AH67 AF63:AH65">
    <cfRule type="cellIs" dxfId="4041" priority="1070" operator="greaterThan">
      <formula>0.03</formula>
    </cfRule>
    <cfRule type="cellIs" dxfId="4040" priority="1071" stopIfTrue="1" operator="lessThan">
      <formula>-0.03</formula>
    </cfRule>
  </conditionalFormatting>
  <conditionalFormatting sqref="AF66:AH66">
    <cfRule type="cellIs" dxfId="4039" priority="1068" operator="greaterThan">
      <formula>0.03</formula>
    </cfRule>
    <cfRule type="cellIs" dxfId="4038" priority="1069" stopIfTrue="1" operator="lessThan">
      <formula>-0.03</formula>
    </cfRule>
  </conditionalFormatting>
  <conditionalFormatting sqref="AF72:AH72 AF68:AH70">
    <cfRule type="cellIs" dxfId="4037" priority="1066" operator="greaterThan">
      <formula>0.03</formula>
    </cfRule>
    <cfRule type="cellIs" dxfId="4036" priority="1067" stopIfTrue="1" operator="lessThan">
      <formula>-0.03</formula>
    </cfRule>
  </conditionalFormatting>
  <conditionalFormatting sqref="AF71:AH71">
    <cfRule type="cellIs" dxfId="4035" priority="1064" operator="greaterThan">
      <formula>0.03</formula>
    </cfRule>
    <cfRule type="cellIs" dxfId="4034" priority="1065" stopIfTrue="1" operator="lessThan">
      <formula>-0.03</formula>
    </cfRule>
  </conditionalFormatting>
  <conditionalFormatting sqref="AF77:AH77 AF73:AH75">
    <cfRule type="cellIs" dxfId="4033" priority="1062" operator="greaterThan">
      <formula>0.03</formula>
    </cfRule>
    <cfRule type="cellIs" dxfId="4032" priority="1063" stopIfTrue="1" operator="lessThan">
      <formula>-0.03</formula>
    </cfRule>
  </conditionalFormatting>
  <conditionalFormatting sqref="AF76:AH76">
    <cfRule type="cellIs" dxfId="4031" priority="1060" operator="greaterThan">
      <formula>0.03</formula>
    </cfRule>
    <cfRule type="cellIs" dxfId="4030" priority="1061" stopIfTrue="1" operator="lessThan">
      <formula>-0.03</formula>
    </cfRule>
  </conditionalFormatting>
  <conditionalFormatting sqref="AF82:AH82 AF78:AH80">
    <cfRule type="cellIs" dxfId="4029" priority="1058" operator="greaterThan">
      <formula>0.03</formula>
    </cfRule>
    <cfRule type="cellIs" dxfId="4028" priority="1059" stopIfTrue="1" operator="lessThan">
      <formula>-0.03</formula>
    </cfRule>
  </conditionalFormatting>
  <conditionalFormatting sqref="AF81:AH81">
    <cfRule type="cellIs" dxfId="4027" priority="1056" operator="greaterThan">
      <formula>0.03</formula>
    </cfRule>
    <cfRule type="cellIs" dxfId="4026" priority="1057" stopIfTrue="1" operator="lessThan">
      <formula>-0.03</formula>
    </cfRule>
  </conditionalFormatting>
  <conditionalFormatting sqref="AF87:AH87 AF83:AH85">
    <cfRule type="cellIs" dxfId="4025" priority="1054" operator="greaterThan">
      <formula>0.03</formula>
    </cfRule>
    <cfRule type="cellIs" dxfId="4024" priority="1055" stopIfTrue="1" operator="lessThan">
      <formula>-0.03</formula>
    </cfRule>
  </conditionalFormatting>
  <conditionalFormatting sqref="AF86:AH86">
    <cfRule type="cellIs" dxfId="4023" priority="1052" operator="greaterThan">
      <formula>0.03</formula>
    </cfRule>
    <cfRule type="cellIs" dxfId="4022" priority="1053" stopIfTrue="1" operator="lessThan">
      <formula>-0.03</formula>
    </cfRule>
  </conditionalFormatting>
  <conditionalFormatting sqref="AF92:AH92 AF88:AH90">
    <cfRule type="cellIs" dxfId="4021" priority="1050" operator="greaterThan">
      <formula>0.03</formula>
    </cfRule>
    <cfRule type="cellIs" dxfId="4020" priority="1051" stopIfTrue="1" operator="lessThan">
      <formula>-0.03</formula>
    </cfRule>
  </conditionalFormatting>
  <conditionalFormatting sqref="AF91:AH91">
    <cfRule type="cellIs" dxfId="4019" priority="1048" operator="greaterThan">
      <formula>0.03</formula>
    </cfRule>
    <cfRule type="cellIs" dxfId="4018" priority="1049" stopIfTrue="1" operator="lessThan">
      <formula>-0.03</formula>
    </cfRule>
  </conditionalFormatting>
  <conditionalFormatting sqref="AF97:AH97 AF93:AH95">
    <cfRule type="cellIs" dxfId="4017" priority="1046" operator="greaterThan">
      <formula>0.03</formula>
    </cfRule>
    <cfRule type="cellIs" dxfId="4016" priority="1047" stopIfTrue="1" operator="lessThan">
      <formula>-0.03</formula>
    </cfRule>
  </conditionalFormatting>
  <conditionalFormatting sqref="AF96:AH96">
    <cfRule type="cellIs" dxfId="4015" priority="1044" operator="greaterThan">
      <formula>0.03</formula>
    </cfRule>
    <cfRule type="cellIs" dxfId="4014" priority="1045" stopIfTrue="1" operator="lessThan">
      <formula>-0.03</formula>
    </cfRule>
  </conditionalFormatting>
  <conditionalFormatting sqref="AF102:AH102 AF98:AH100">
    <cfRule type="cellIs" dxfId="4013" priority="1042" operator="greaterThan">
      <formula>0.03</formula>
    </cfRule>
    <cfRule type="cellIs" dxfId="4012" priority="1043" stopIfTrue="1" operator="lessThan">
      <formula>-0.03</formula>
    </cfRule>
  </conditionalFormatting>
  <conditionalFormatting sqref="AF101:AH101">
    <cfRule type="cellIs" dxfId="4011" priority="1040" operator="greaterThan">
      <formula>0.03</formula>
    </cfRule>
    <cfRule type="cellIs" dxfId="4010" priority="1041" stopIfTrue="1" operator="lessThan">
      <formula>-0.03</formula>
    </cfRule>
  </conditionalFormatting>
  <conditionalFormatting sqref="AF107:AH107 AF103:AH105">
    <cfRule type="cellIs" dxfId="4009" priority="1038" operator="greaterThan">
      <formula>0.03</formula>
    </cfRule>
    <cfRule type="cellIs" dxfId="4008" priority="1039" stopIfTrue="1" operator="lessThan">
      <formula>-0.03</formula>
    </cfRule>
  </conditionalFormatting>
  <conditionalFormatting sqref="AF106:AH106">
    <cfRule type="cellIs" dxfId="4007" priority="1036" operator="greaterThan">
      <formula>0.03</formula>
    </cfRule>
    <cfRule type="cellIs" dxfId="4006" priority="1037" stopIfTrue="1" operator="lessThan">
      <formula>-0.03</formula>
    </cfRule>
  </conditionalFormatting>
  <conditionalFormatting sqref="AF112:AH112 AF108:AH110">
    <cfRule type="cellIs" dxfId="4005" priority="1034" operator="greaterThan">
      <formula>0.03</formula>
    </cfRule>
    <cfRule type="cellIs" dxfId="4004" priority="1035" stopIfTrue="1" operator="lessThan">
      <formula>-0.03</formula>
    </cfRule>
  </conditionalFormatting>
  <conditionalFormatting sqref="AF111:AH111">
    <cfRule type="cellIs" dxfId="4003" priority="1032" operator="greaterThan">
      <formula>0.03</formula>
    </cfRule>
    <cfRule type="cellIs" dxfId="4002" priority="1033" stopIfTrue="1" operator="lessThan">
      <formula>-0.03</formula>
    </cfRule>
  </conditionalFormatting>
  <conditionalFormatting sqref="AF117:AH117 AF113:AH115">
    <cfRule type="cellIs" dxfId="4001" priority="1030" operator="greaterThan">
      <formula>0.03</formula>
    </cfRule>
    <cfRule type="cellIs" dxfId="4000" priority="1031" stopIfTrue="1" operator="lessThan">
      <formula>-0.03</formula>
    </cfRule>
  </conditionalFormatting>
  <conditionalFormatting sqref="AF116:AH116">
    <cfRule type="cellIs" dxfId="3999" priority="1028" operator="greaterThan">
      <formula>0.03</formula>
    </cfRule>
    <cfRule type="cellIs" dxfId="3998" priority="1029" stopIfTrue="1" operator="lessThan">
      <formula>-0.03</formula>
    </cfRule>
  </conditionalFormatting>
  <conditionalFormatting sqref="AF122:AH122 AF118:AH120">
    <cfRule type="cellIs" dxfId="3997" priority="1026" operator="greaterThan">
      <formula>0.03</formula>
    </cfRule>
    <cfRule type="cellIs" dxfId="3996" priority="1027" stopIfTrue="1" operator="lessThan">
      <formula>-0.03</formula>
    </cfRule>
  </conditionalFormatting>
  <conditionalFormatting sqref="AF121:AH121">
    <cfRule type="cellIs" dxfId="3995" priority="1024" operator="greaterThan">
      <formula>0.03</formula>
    </cfRule>
    <cfRule type="cellIs" dxfId="3994" priority="1025" stopIfTrue="1" operator="lessThan">
      <formula>-0.03</formula>
    </cfRule>
  </conditionalFormatting>
  <conditionalFormatting sqref="AF127:AH127 AF123:AH125">
    <cfRule type="cellIs" dxfId="3993" priority="1022" operator="greaterThan">
      <formula>0.03</formula>
    </cfRule>
    <cfRule type="cellIs" dxfId="3992" priority="1023" stopIfTrue="1" operator="lessThan">
      <formula>-0.03</formula>
    </cfRule>
  </conditionalFormatting>
  <conditionalFormatting sqref="AF126:AH126">
    <cfRule type="cellIs" dxfId="3991" priority="1020" operator="greaterThan">
      <formula>0.03</formula>
    </cfRule>
    <cfRule type="cellIs" dxfId="3990" priority="1021" stopIfTrue="1" operator="lessThan">
      <formula>-0.03</formula>
    </cfRule>
  </conditionalFormatting>
  <conditionalFormatting sqref="AF132:AH132 AF128:AH130">
    <cfRule type="cellIs" dxfId="3989" priority="1018" operator="greaterThan">
      <formula>0.03</formula>
    </cfRule>
    <cfRule type="cellIs" dxfId="3988" priority="1019" stopIfTrue="1" operator="lessThan">
      <formula>-0.03</formula>
    </cfRule>
  </conditionalFormatting>
  <conditionalFormatting sqref="AF131:AH131">
    <cfRule type="cellIs" dxfId="3987" priority="1016" operator="greaterThan">
      <formula>0.03</formula>
    </cfRule>
    <cfRule type="cellIs" dxfId="3986" priority="1017" stopIfTrue="1" operator="lessThan">
      <formula>-0.03</formula>
    </cfRule>
  </conditionalFormatting>
  <conditionalFormatting sqref="AL8:AN8 AL5:AN6">
    <cfRule type="cellIs" dxfId="3985" priority="1014" operator="greaterThan">
      <formula>0.03</formula>
    </cfRule>
    <cfRule type="cellIs" dxfId="3984" priority="1015" stopIfTrue="1" operator="lessThan">
      <formula>-0.03</formula>
    </cfRule>
  </conditionalFormatting>
  <conditionalFormatting sqref="AL156:AN156">
    <cfRule type="cellIs" dxfId="3983" priority="1006" operator="greaterThan">
      <formula>0.03</formula>
    </cfRule>
    <cfRule type="cellIs" dxfId="3982" priority="1007" stopIfTrue="1" operator="lessThan">
      <formula>-0.03</formula>
    </cfRule>
  </conditionalFormatting>
  <conditionalFormatting sqref="AL159:AN159">
    <cfRule type="cellIs" dxfId="3981" priority="1004" operator="greaterThan">
      <formula>0.03</formula>
    </cfRule>
    <cfRule type="cellIs" dxfId="3980" priority="1005" stopIfTrue="1" operator="lessThan">
      <formula>-0.03</formula>
    </cfRule>
  </conditionalFormatting>
  <conditionalFormatting sqref="AL161:AN161">
    <cfRule type="cellIs" dxfId="3979" priority="1012" operator="greaterThan">
      <formula>0.03</formula>
    </cfRule>
    <cfRule type="cellIs" dxfId="3978" priority="1013" stopIfTrue="1" operator="lessThan">
      <formula>-0.03</formula>
    </cfRule>
  </conditionalFormatting>
  <conditionalFormatting sqref="AL153:AN153 AL155:AN155">
    <cfRule type="cellIs" dxfId="3977" priority="1008" operator="greaterThan">
      <formula>0.03</formula>
    </cfRule>
    <cfRule type="cellIs" dxfId="3976" priority="1009" stopIfTrue="1" operator="lessThan">
      <formula>-0.03</formula>
    </cfRule>
  </conditionalFormatting>
  <conditionalFormatting sqref="AL157:AN158">
    <cfRule type="cellIs" dxfId="3975" priority="1010" operator="greaterThan">
      <formula>0.03</formula>
    </cfRule>
    <cfRule type="cellIs" dxfId="3974" priority="1011" stopIfTrue="1" operator="lessThan">
      <formula>-0.03</formula>
    </cfRule>
  </conditionalFormatting>
  <conditionalFormatting sqref="AL154:AN154">
    <cfRule type="cellIs" dxfId="3973" priority="1002" operator="greaterThan">
      <formula>0.03</formula>
    </cfRule>
    <cfRule type="cellIs" dxfId="3972" priority="1003" stopIfTrue="1" operator="lessThan">
      <formula>-0.03</formula>
    </cfRule>
  </conditionalFormatting>
  <conditionalFormatting sqref="AL7:AN7">
    <cfRule type="cellIs" dxfId="3971" priority="1000" operator="greaterThan">
      <formula>0.03</formula>
    </cfRule>
    <cfRule type="cellIs" dxfId="3970" priority="1001" stopIfTrue="1" operator="lessThan">
      <formula>-0.03</formula>
    </cfRule>
  </conditionalFormatting>
  <conditionalFormatting sqref="AL13:AN13 AL10:AN11">
    <cfRule type="cellIs" dxfId="3969" priority="998" operator="greaterThan">
      <formula>0.03</formula>
    </cfRule>
    <cfRule type="cellIs" dxfId="3968" priority="999" stopIfTrue="1" operator="lessThan">
      <formula>-0.03</formula>
    </cfRule>
  </conditionalFormatting>
  <conditionalFormatting sqref="AL12:AN12">
    <cfRule type="cellIs" dxfId="3967" priority="996" operator="greaterThan">
      <formula>0.03</formula>
    </cfRule>
    <cfRule type="cellIs" dxfId="3966" priority="997" stopIfTrue="1" operator="lessThan">
      <formula>-0.03</formula>
    </cfRule>
  </conditionalFormatting>
  <conditionalFormatting sqref="AL18:AN18 AL15:AN16">
    <cfRule type="cellIs" dxfId="3965" priority="994" operator="greaterThan">
      <formula>0.03</formula>
    </cfRule>
    <cfRule type="cellIs" dxfId="3964" priority="995" stopIfTrue="1" operator="lessThan">
      <formula>-0.03</formula>
    </cfRule>
  </conditionalFormatting>
  <conditionalFormatting sqref="AL17:AN17">
    <cfRule type="cellIs" dxfId="3963" priority="992" operator="greaterThan">
      <formula>0.03</formula>
    </cfRule>
    <cfRule type="cellIs" dxfId="3962" priority="993" stopIfTrue="1" operator="lessThan">
      <formula>-0.03</formula>
    </cfRule>
  </conditionalFormatting>
  <conditionalFormatting sqref="AL23:AN23 AL20:AN21">
    <cfRule type="cellIs" dxfId="3961" priority="990" operator="greaterThan">
      <formula>0.03</formula>
    </cfRule>
    <cfRule type="cellIs" dxfId="3960" priority="991" stopIfTrue="1" operator="lessThan">
      <formula>-0.03</formula>
    </cfRule>
  </conditionalFormatting>
  <conditionalFormatting sqref="AL22:AN22">
    <cfRule type="cellIs" dxfId="3959" priority="988" operator="greaterThan">
      <formula>0.03</formula>
    </cfRule>
    <cfRule type="cellIs" dxfId="3958" priority="989" stopIfTrue="1" operator="lessThan">
      <formula>-0.03</formula>
    </cfRule>
  </conditionalFormatting>
  <conditionalFormatting sqref="AL28:AN28 AL25:AN26">
    <cfRule type="cellIs" dxfId="3957" priority="986" operator="greaterThan">
      <formula>0.03</formula>
    </cfRule>
    <cfRule type="cellIs" dxfId="3956" priority="987" stopIfTrue="1" operator="lessThan">
      <formula>-0.03</formula>
    </cfRule>
  </conditionalFormatting>
  <conditionalFormatting sqref="AL27:AN27">
    <cfRule type="cellIs" dxfId="3955" priority="984" operator="greaterThan">
      <formula>0.03</formula>
    </cfRule>
    <cfRule type="cellIs" dxfId="3954" priority="985" stopIfTrue="1" operator="lessThan">
      <formula>-0.03</formula>
    </cfRule>
  </conditionalFormatting>
  <conditionalFormatting sqref="AL33:AN33 AL30:AN31">
    <cfRule type="cellIs" dxfId="3953" priority="982" operator="greaterThan">
      <formula>0.03</formula>
    </cfRule>
    <cfRule type="cellIs" dxfId="3952" priority="983" stopIfTrue="1" operator="lessThan">
      <formula>-0.03</formula>
    </cfRule>
  </conditionalFormatting>
  <conditionalFormatting sqref="AL32:AN32">
    <cfRule type="cellIs" dxfId="3951" priority="980" operator="greaterThan">
      <formula>0.03</formula>
    </cfRule>
    <cfRule type="cellIs" dxfId="3950" priority="981" stopIfTrue="1" operator="lessThan">
      <formula>-0.03</formula>
    </cfRule>
  </conditionalFormatting>
  <conditionalFormatting sqref="AL38:AN38 AL35:AN36">
    <cfRule type="cellIs" dxfId="3949" priority="978" operator="greaterThan">
      <formula>0.03</formula>
    </cfRule>
    <cfRule type="cellIs" dxfId="3948" priority="979" stopIfTrue="1" operator="lessThan">
      <formula>-0.03</formula>
    </cfRule>
  </conditionalFormatting>
  <conditionalFormatting sqref="AL37:AN37">
    <cfRule type="cellIs" dxfId="3947" priority="976" operator="greaterThan">
      <formula>0.03</formula>
    </cfRule>
    <cfRule type="cellIs" dxfId="3946" priority="977" stopIfTrue="1" operator="lessThan">
      <formula>-0.03</formula>
    </cfRule>
  </conditionalFormatting>
  <conditionalFormatting sqref="AL43:AN43 AL40:AN41">
    <cfRule type="cellIs" dxfId="3945" priority="974" operator="greaterThan">
      <formula>0.03</formula>
    </cfRule>
    <cfRule type="cellIs" dxfId="3944" priority="975" stopIfTrue="1" operator="lessThan">
      <formula>-0.03</formula>
    </cfRule>
  </conditionalFormatting>
  <conditionalFormatting sqref="AL42:AN42">
    <cfRule type="cellIs" dxfId="3943" priority="972" operator="greaterThan">
      <formula>0.03</formula>
    </cfRule>
    <cfRule type="cellIs" dxfId="3942" priority="973" stopIfTrue="1" operator="lessThan">
      <formula>-0.03</formula>
    </cfRule>
  </conditionalFormatting>
  <conditionalFormatting sqref="AL48:AN48 AL45:AN46">
    <cfRule type="cellIs" dxfId="3941" priority="970" operator="greaterThan">
      <formula>0.03</formula>
    </cfRule>
    <cfRule type="cellIs" dxfId="3940" priority="971" stopIfTrue="1" operator="lessThan">
      <formula>-0.03</formula>
    </cfRule>
  </conditionalFormatting>
  <conditionalFormatting sqref="AL47:AN47">
    <cfRule type="cellIs" dxfId="3939" priority="968" operator="greaterThan">
      <formula>0.03</formula>
    </cfRule>
    <cfRule type="cellIs" dxfId="3938" priority="969" stopIfTrue="1" operator="lessThan">
      <formula>-0.03</formula>
    </cfRule>
  </conditionalFormatting>
  <conditionalFormatting sqref="AL53:AN53 AL50:AN51">
    <cfRule type="cellIs" dxfId="3937" priority="966" operator="greaterThan">
      <formula>0.03</formula>
    </cfRule>
    <cfRule type="cellIs" dxfId="3936" priority="967" stopIfTrue="1" operator="lessThan">
      <formula>-0.03</formula>
    </cfRule>
  </conditionalFormatting>
  <conditionalFormatting sqref="AL52:AN52">
    <cfRule type="cellIs" dxfId="3935" priority="964" operator="greaterThan">
      <formula>0.03</formula>
    </cfRule>
    <cfRule type="cellIs" dxfId="3934" priority="965" stopIfTrue="1" operator="lessThan">
      <formula>-0.03</formula>
    </cfRule>
  </conditionalFormatting>
  <conditionalFormatting sqref="AL58:AN58 AL55:AN56">
    <cfRule type="cellIs" dxfId="3933" priority="962" operator="greaterThan">
      <formula>0.03</formula>
    </cfRule>
    <cfRule type="cellIs" dxfId="3932" priority="963" stopIfTrue="1" operator="lessThan">
      <formula>-0.03</formula>
    </cfRule>
  </conditionalFormatting>
  <conditionalFormatting sqref="AL57:AN57">
    <cfRule type="cellIs" dxfId="3931" priority="960" operator="greaterThan">
      <formula>0.03</formula>
    </cfRule>
    <cfRule type="cellIs" dxfId="3930" priority="961" stopIfTrue="1" operator="lessThan">
      <formula>-0.03</formula>
    </cfRule>
  </conditionalFormatting>
  <conditionalFormatting sqref="AL63:AN63 AL60:AN61">
    <cfRule type="cellIs" dxfId="3929" priority="958" operator="greaterThan">
      <formula>0.03</formula>
    </cfRule>
    <cfRule type="cellIs" dxfId="3928" priority="959" stopIfTrue="1" operator="lessThan">
      <formula>-0.03</formula>
    </cfRule>
  </conditionalFormatting>
  <conditionalFormatting sqref="AL62:AN62">
    <cfRule type="cellIs" dxfId="3927" priority="956" operator="greaterThan">
      <formula>0.03</formula>
    </cfRule>
    <cfRule type="cellIs" dxfId="3926" priority="957" stopIfTrue="1" operator="lessThan">
      <formula>-0.03</formula>
    </cfRule>
  </conditionalFormatting>
  <conditionalFormatting sqref="AL68:AN68 AL65:AN66">
    <cfRule type="cellIs" dxfId="3925" priority="954" operator="greaterThan">
      <formula>0.03</formula>
    </cfRule>
    <cfRule type="cellIs" dxfId="3924" priority="955" stopIfTrue="1" operator="lessThan">
      <formula>-0.03</formula>
    </cfRule>
  </conditionalFormatting>
  <conditionalFormatting sqref="AL67:AN67">
    <cfRule type="cellIs" dxfId="3923" priority="952" operator="greaterThan">
      <formula>0.03</formula>
    </cfRule>
    <cfRule type="cellIs" dxfId="3922" priority="953" stopIfTrue="1" operator="lessThan">
      <formula>-0.03</formula>
    </cfRule>
  </conditionalFormatting>
  <conditionalFormatting sqref="AL73:AN73 AL70:AN71">
    <cfRule type="cellIs" dxfId="3921" priority="950" operator="greaterThan">
      <formula>0.03</formula>
    </cfRule>
    <cfRule type="cellIs" dxfId="3920" priority="951" stopIfTrue="1" operator="lessThan">
      <formula>-0.03</formula>
    </cfRule>
  </conditionalFormatting>
  <conditionalFormatting sqref="AL72:AN72">
    <cfRule type="cellIs" dxfId="3919" priority="948" operator="greaterThan">
      <formula>0.03</formula>
    </cfRule>
    <cfRule type="cellIs" dxfId="3918" priority="949" stopIfTrue="1" operator="lessThan">
      <formula>-0.03</formula>
    </cfRule>
  </conditionalFormatting>
  <conditionalFormatting sqref="AL78:AN78 AL75:AN76">
    <cfRule type="cellIs" dxfId="3917" priority="946" operator="greaterThan">
      <formula>0.03</formula>
    </cfRule>
    <cfRule type="cellIs" dxfId="3916" priority="947" stopIfTrue="1" operator="lessThan">
      <formula>-0.03</formula>
    </cfRule>
  </conditionalFormatting>
  <conditionalFormatting sqref="AL77:AN77">
    <cfRule type="cellIs" dxfId="3915" priority="944" operator="greaterThan">
      <formula>0.03</formula>
    </cfRule>
    <cfRule type="cellIs" dxfId="3914" priority="945" stopIfTrue="1" operator="lessThan">
      <formula>-0.03</formula>
    </cfRule>
  </conditionalFormatting>
  <conditionalFormatting sqref="AL83:AN83 AL80:AN81">
    <cfRule type="cellIs" dxfId="3913" priority="942" operator="greaterThan">
      <formula>0.03</formula>
    </cfRule>
    <cfRule type="cellIs" dxfId="3912" priority="943" stopIfTrue="1" operator="lessThan">
      <formula>-0.03</formula>
    </cfRule>
  </conditionalFormatting>
  <conditionalFormatting sqref="AL82:AN82">
    <cfRule type="cellIs" dxfId="3911" priority="940" operator="greaterThan">
      <formula>0.03</formula>
    </cfRule>
    <cfRule type="cellIs" dxfId="3910" priority="941" stopIfTrue="1" operator="lessThan">
      <formula>-0.03</formula>
    </cfRule>
  </conditionalFormatting>
  <conditionalFormatting sqref="AL88:AN88 AL85:AN86">
    <cfRule type="cellIs" dxfId="3909" priority="938" operator="greaterThan">
      <formula>0.03</formula>
    </cfRule>
    <cfRule type="cellIs" dxfId="3908" priority="939" stopIfTrue="1" operator="lessThan">
      <formula>-0.03</formula>
    </cfRule>
  </conditionalFormatting>
  <conditionalFormatting sqref="AL87:AN87">
    <cfRule type="cellIs" dxfId="3907" priority="936" operator="greaterThan">
      <formula>0.03</formula>
    </cfRule>
    <cfRule type="cellIs" dxfId="3906" priority="937" stopIfTrue="1" operator="lessThan">
      <formula>-0.03</formula>
    </cfRule>
  </conditionalFormatting>
  <conditionalFormatting sqref="AL93:AN93 AL90:AN91">
    <cfRule type="cellIs" dxfId="3905" priority="934" operator="greaterThan">
      <formula>0.03</formula>
    </cfRule>
    <cfRule type="cellIs" dxfId="3904" priority="935" stopIfTrue="1" operator="lessThan">
      <formula>-0.03</formula>
    </cfRule>
  </conditionalFormatting>
  <conditionalFormatting sqref="AL92:AN92">
    <cfRule type="cellIs" dxfId="3903" priority="932" operator="greaterThan">
      <formula>0.03</formula>
    </cfRule>
    <cfRule type="cellIs" dxfId="3902" priority="933" stopIfTrue="1" operator="lessThan">
      <formula>-0.03</formula>
    </cfRule>
  </conditionalFormatting>
  <conditionalFormatting sqref="AL98:AN98 AL95:AN96">
    <cfRule type="cellIs" dxfId="3901" priority="930" operator="greaterThan">
      <formula>0.03</formula>
    </cfRule>
    <cfRule type="cellIs" dxfId="3900" priority="931" stopIfTrue="1" operator="lessThan">
      <formula>-0.03</formula>
    </cfRule>
  </conditionalFormatting>
  <conditionalFormatting sqref="AL97:AN97">
    <cfRule type="cellIs" dxfId="3899" priority="928" operator="greaterThan">
      <formula>0.03</formula>
    </cfRule>
    <cfRule type="cellIs" dxfId="3898" priority="929" stopIfTrue="1" operator="lessThan">
      <formula>-0.03</formula>
    </cfRule>
  </conditionalFormatting>
  <conditionalFormatting sqref="AL103:AN103 AL100:AN101">
    <cfRule type="cellIs" dxfId="3897" priority="926" operator="greaterThan">
      <formula>0.03</formula>
    </cfRule>
    <cfRule type="cellIs" dxfId="3896" priority="927" stopIfTrue="1" operator="lessThan">
      <formula>-0.03</formula>
    </cfRule>
  </conditionalFormatting>
  <conditionalFormatting sqref="AL102:AN102">
    <cfRule type="cellIs" dxfId="3895" priority="924" operator="greaterThan">
      <formula>0.03</formula>
    </cfRule>
    <cfRule type="cellIs" dxfId="3894" priority="925" stopIfTrue="1" operator="lessThan">
      <formula>-0.03</formula>
    </cfRule>
  </conditionalFormatting>
  <conditionalFormatting sqref="AL108:AN108 AL105:AN106">
    <cfRule type="cellIs" dxfId="3893" priority="922" operator="greaterThan">
      <formula>0.03</formula>
    </cfRule>
    <cfRule type="cellIs" dxfId="3892" priority="923" stopIfTrue="1" operator="lessThan">
      <formula>-0.03</formula>
    </cfRule>
  </conditionalFormatting>
  <conditionalFormatting sqref="AL107:AN107">
    <cfRule type="cellIs" dxfId="3891" priority="920" operator="greaterThan">
      <formula>0.03</formula>
    </cfRule>
    <cfRule type="cellIs" dxfId="3890" priority="921" stopIfTrue="1" operator="lessThan">
      <formula>-0.03</formula>
    </cfRule>
  </conditionalFormatting>
  <conditionalFormatting sqref="AL113:AN113 AL110:AN111">
    <cfRule type="cellIs" dxfId="3889" priority="918" operator="greaterThan">
      <formula>0.03</formula>
    </cfRule>
    <cfRule type="cellIs" dxfId="3888" priority="919" stopIfTrue="1" operator="lessThan">
      <formula>-0.03</formula>
    </cfRule>
  </conditionalFormatting>
  <conditionalFormatting sqref="AL112:AN112">
    <cfRule type="cellIs" dxfId="3887" priority="916" operator="greaterThan">
      <formula>0.03</formula>
    </cfRule>
    <cfRule type="cellIs" dxfId="3886" priority="917" stopIfTrue="1" operator="lessThan">
      <formula>-0.03</formula>
    </cfRule>
  </conditionalFormatting>
  <conditionalFormatting sqref="AL118:AN118 AL115:AN116">
    <cfRule type="cellIs" dxfId="3885" priority="914" operator="greaterThan">
      <formula>0.03</formula>
    </cfRule>
    <cfRule type="cellIs" dxfId="3884" priority="915" stopIfTrue="1" operator="lessThan">
      <formula>-0.03</formula>
    </cfRule>
  </conditionalFormatting>
  <conditionalFormatting sqref="AL117:AN117">
    <cfRule type="cellIs" dxfId="3883" priority="912" operator="greaterThan">
      <formula>0.03</formula>
    </cfRule>
    <cfRule type="cellIs" dxfId="3882" priority="913" stopIfTrue="1" operator="lessThan">
      <formula>-0.03</formula>
    </cfRule>
  </conditionalFormatting>
  <conditionalFormatting sqref="AL123:AN123 AL120:AN121">
    <cfRule type="cellIs" dxfId="3881" priority="910" operator="greaterThan">
      <formula>0.03</formula>
    </cfRule>
    <cfRule type="cellIs" dxfId="3880" priority="911" stopIfTrue="1" operator="lessThan">
      <formula>-0.03</formula>
    </cfRule>
  </conditionalFormatting>
  <conditionalFormatting sqref="AL122:AN122">
    <cfRule type="cellIs" dxfId="3879" priority="908" operator="greaterThan">
      <formula>0.03</formula>
    </cfRule>
    <cfRule type="cellIs" dxfId="3878" priority="909" stopIfTrue="1" operator="lessThan">
      <formula>-0.03</formula>
    </cfRule>
  </conditionalFormatting>
  <conditionalFormatting sqref="AL128:AN128 AL125:AN126">
    <cfRule type="cellIs" dxfId="3877" priority="906" operator="greaterThan">
      <formula>0.03</formula>
    </cfRule>
    <cfRule type="cellIs" dxfId="3876" priority="907" stopIfTrue="1" operator="lessThan">
      <formula>-0.03</formula>
    </cfRule>
  </conditionalFormatting>
  <conditionalFormatting sqref="AL127:AN127">
    <cfRule type="cellIs" dxfId="3875" priority="904" operator="greaterThan">
      <formula>0.03</formula>
    </cfRule>
    <cfRule type="cellIs" dxfId="3874" priority="905" stopIfTrue="1" operator="lessThan">
      <formula>-0.03</formula>
    </cfRule>
  </conditionalFormatting>
  <conditionalFormatting sqref="AL130:AN132">
    <cfRule type="cellIs" dxfId="3873" priority="902" operator="greaterThan">
      <formula>0.03</formula>
    </cfRule>
    <cfRule type="cellIs" dxfId="3872" priority="903" stopIfTrue="1" operator="lessThan">
      <formula>-0.03</formula>
    </cfRule>
  </conditionalFormatting>
  <conditionalFormatting sqref="AR7:AS7">
    <cfRule type="cellIs" dxfId="3871" priority="900" operator="greaterThan">
      <formula>0.03</formula>
    </cfRule>
    <cfRule type="cellIs" dxfId="3870" priority="901" stopIfTrue="1" operator="lessThan">
      <formula>-0.03</formula>
    </cfRule>
  </conditionalFormatting>
  <conditionalFormatting sqref="AR156:AT156">
    <cfRule type="cellIs" dxfId="3869" priority="892" operator="greaterThan">
      <formula>0.03</formula>
    </cfRule>
    <cfRule type="cellIs" dxfId="3868" priority="893" stopIfTrue="1" operator="lessThan">
      <formula>-0.03</formula>
    </cfRule>
  </conditionalFormatting>
  <conditionalFormatting sqref="AR159:AT159">
    <cfRule type="cellIs" dxfId="3867" priority="890" operator="greaterThan">
      <formula>0.03</formula>
    </cfRule>
    <cfRule type="cellIs" dxfId="3866" priority="891" stopIfTrue="1" operator="lessThan">
      <formula>-0.03</formula>
    </cfRule>
  </conditionalFormatting>
  <conditionalFormatting sqref="AR161:AT161">
    <cfRule type="cellIs" dxfId="3865" priority="898" operator="greaterThan">
      <formula>0.03</formula>
    </cfRule>
    <cfRule type="cellIs" dxfId="3864" priority="899" stopIfTrue="1" operator="lessThan">
      <formula>-0.03</formula>
    </cfRule>
  </conditionalFormatting>
  <conditionalFormatting sqref="AR155:AT155 AR153:AT153">
    <cfRule type="cellIs" dxfId="3863" priority="894" operator="greaterThan">
      <formula>0.03</formula>
    </cfRule>
    <cfRule type="cellIs" dxfId="3862" priority="895" stopIfTrue="1" operator="lessThan">
      <formula>-0.03</formula>
    </cfRule>
  </conditionalFormatting>
  <conditionalFormatting sqref="AR157:AT158">
    <cfRule type="cellIs" dxfId="3861" priority="896" operator="greaterThan">
      <formula>0.03</formula>
    </cfRule>
    <cfRule type="cellIs" dxfId="3860" priority="897" stopIfTrue="1" operator="lessThan">
      <formula>-0.03</formula>
    </cfRule>
  </conditionalFormatting>
  <conditionalFormatting sqref="AR154:AT154">
    <cfRule type="cellIs" dxfId="3859" priority="888" operator="greaterThan">
      <formula>0.03</formula>
    </cfRule>
    <cfRule type="cellIs" dxfId="3858" priority="889" stopIfTrue="1" operator="lessThan">
      <formula>-0.03</formula>
    </cfRule>
  </conditionalFormatting>
  <conditionalFormatting sqref="AR3:AT3">
    <cfRule type="cellIs" dxfId="3857" priority="886" operator="greaterThan">
      <formula>0.03</formula>
    </cfRule>
    <cfRule type="cellIs" dxfId="3856" priority="887" stopIfTrue="1" operator="lessThan">
      <formula>-0.03</formula>
    </cfRule>
  </conditionalFormatting>
  <conditionalFormatting sqref="AR12:AS12">
    <cfRule type="cellIs" dxfId="3855" priority="884" operator="greaterThan">
      <formula>0.03</formula>
    </cfRule>
    <cfRule type="cellIs" dxfId="3854" priority="885" stopIfTrue="1" operator="lessThan">
      <formula>-0.03</formula>
    </cfRule>
  </conditionalFormatting>
  <conditionalFormatting sqref="AR8:AT8">
    <cfRule type="cellIs" dxfId="3853" priority="882" operator="greaterThan">
      <formula>0.03</formula>
    </cfRule>
    <cfRule type="cellIs" dxfId="3852" priority="883" stopIfTrue="1" operator="lessThan">
      <formula>-0.03</formula>
    </cfRule>
  </conditionalFormatting>
  <conditionalFormatting sqref="AR17:AS17">
    <cfRule type="cellIs" dxfId="3851" priority="880" operator="greaterThan">
      <formula>0.03</formula>
    </cfRule>
    <cfRule type="cellIs" dxfId="3850" priority="881" stopIfTrue="1" operator="lessThan">
      <formula>-0.03</formula>
    </cfRule>
  </conditionalFormatting>
  <conditionalFormatting sqref="AR13:AT13">
    <cfRule type="cellIs" dxfId="3849" priority="878" operator="greaterThan">
      <formula>0.03</formula>
    </cfRule>
    <cfRule type="cellIs" dxfId="3848" priority="879" stopIfTrue="1" operator="lessThan">
      <formula>-0.03</formula>
    </cfRule>
  </conditionalFormatting>
  <conditionalFormatting sqref="AR22:AS22">
    <cfRule type="cellIs" dxfId="3847" priority="876" operator="greaterThan">
      <formula>0.03</formula>
    </cfRule>
    <cfRule type="cellIs" dxfId="3846" priority="877" stopIfTrue="1" operator="lessThan">
      <formula>-0.03</formula>
    </cfRule>
  </conditionalFormatting>
  <conditionalFormatting sqref="AR18:AT18">
    <cfRule type="cellIs" dxfId="3845" priority="874" operator="greaterThan">
      <formula>0.03</formula>
    </cfRule>
    <cfRule type="cellIs" dxfId="3844" priority="875" stopIfTrue="1" operator="lessThan">
      <formula>-0.03</formula>
    </cfRule>
  </conditionalFormatting>
  <conditionalFormatting sqref="AR27:AS27">
    <cfRule type="cellIs" dxfId="3843" priority="872" operator="greaterThan">
      <formula>0.03</formula>
    </cfRule>
    <cfRule type="cellIs" dxfId="3842" priority="873" stopIfTrue="1" operator="lessThan">
      <formula>-0.03</formula>
    </cfRule>
  </conditionalFormatting>
  <conditionalFormatting sqref="AR23:AT23">
    <cfRule type="cellIs" dxfId="3841" priority="870" operator="greaterThan">
      <formula>0.03</formula>
    </cfRule>
    <cfRule type="cellIs" dxfId="3840" priority="871" stopIfTrue="1" operator="lessThan">
      <formula>-0.03</formula>
    </cfRule>
  </conditionalFormatting>
  <conditionalFormatting sqref="AR32:AS32">
    <cfRule type="cellIs" dxfId="3839" priority="868" operator="greaterThan">
      <formula>0.03</formula>
    </cfRule>
    <cfRule type="cellIs" dxfId="3838" priority="869" stopIfTrue="1" operator="lessThan">
      <formula>-0.03</formula>
    </cfRule>
  </conditionalFormatting>
  <conditionalFormatting sqref="AR28:AT28">
    <cfRule type="cellIs" dxfId="3837" priority="866" operator="greaterThan">
      <formula>0.03</formula>
    </cfRule>
    <cfRule type="cellIs" dxfId="3836" priority="867" stopIfTrue="1" operator="lessThan">
      <formula>-0.03</formula>
    </cfRule>
  </conditionalFormatting>
  <conditionalFormatting sqref="AR37:AS37">
    <cfRule type="cellIs" dxfId="3835" priority="864" operator="greaterThan">
      <formula>0.03</formula>
    </cfRule>
    <cfRule type="cellIs" dxfId="3834" priority="865" stopIfTrue="1" operator="lessThan">
      <formula>-0.03</formula>
    </cfRule>
  </conditionalFormatting>
  <conditionalFormatting sqref="AR33:AT33">
    <cfRule type="cellIs" dxfId="3833" priority="862" operator="greaterThan">
      <formula>0.03</formula>
    </cfRule>
    <cfRule type="cellIs" dxfId="3832" priority="863" stopIfTrue="1" operator="lessThan">
      <formula>-0.03</formula>
    </cfRule>
  </conditionalFormatting>
  <conditionalFormatting sqref="AR42:AS42">
    <cfRule type="cellIs" dxfId="3831" priority="860" operator="greaterThan">
      <formula>0.03</formula>
    </cfRule>
    <cfRule type="cellIs" dxfId="3830" priority="861" stopIfTrue="1" operator="lessThan">
      <formula>-0.03</formula>
    </cfRule>
  </conditionalFormatting>
  <conditionalFormatting sqref="AR38:AT38">
    <cfRule type="cellIs" dxfId="3829" priority="858" operator="greaterThan">
      <formula>0.03</formula>
    </cfRule>
    <cfRule type="cellIs" dxfId="3828" priority="859" stopIfTrue="1" operator="lessThan">
      <formula>-0.03</formula>
    </cfRule>
  </conditionalFormatting>
  <conditionalFormatting sqref="AR47:AS47">
    <cfRule type="cellIs" dxfId="3827" priority="856" operator="greaterThan">
      <formula>0.03</formula>
    </cfRule>
    <cfRule type="cellIs" dxfId="3826" priority="857" stopIfTrue="1" operator="lessThan">
      <formula>-0.03</formula>
    </cfRule>
  </conditionalFormatting>
  <conditionalFormatting sqref="AR43:AT43">
    <cfRule type="cellIs" dxfId="3825" priority="854" operator="greaterThan">
      <formula>0.03</formula>
    </cfRule>
    <cfRule type="cellIs" dxfId="3824" priority="855" stopIfTrue="1" operator="lessThan">
      <formula>-0.03</formula>
    </cfRule>
  </conditionalFormatting>
  <conditionalFormatting sqref="AR52:AS52">
    <cfRule type="cellIs" dxfId="3823" priority="852" operator="greaterThan">
      <formula>0.03</formula>
    </cfRule>
    <cfRule type="cellIs" dxfId="3822" priority="853" stopIfTrue="1" operator="lessThan">
      <formula>-0.03</formula>
    </cfRule>
  </conditionalFormatting>
  <conditionalFormatting sqref="AR48:AT48">
    <cfRule type="cellIs" dxfId="3821" priority="850" operator="greaterThan">
      <formula>0.03</formula>
    </cfRule>
    <cfRule type="cellIs" dxfId="3820" priority="851" stopIfTrue="1" operator="lessThan">
      <formula>-0.03</formula>
    </cfRule>
  </conditionalFormatting>
  <conditionalFormatting sqref="AR57:AS57">
    <cfRule type="cellIs" dxfId="3819" priority="848" operator="greaterThan">
      <formula>0.03</formula>
    </cfRule>
    <cfRule type="cellIs" dxfId="3818" priority="849" stopIfTrue="1" operator="lessThan">
      <formula>-0.03</formula>
    </cfRule>
  </conditionalFormatting>
  <conditionalFormatting sqref="AR53:AT53">
    <cfRule type="cellIs" dxfId="3817" priority="846" operator="greaterThan">
      <formula>0.03</formula>
    </cfRule>
    <cfRule type="cellIs" dxfId="3816" priority="847" stopIfTrue="1" operator="lessThan">
      <formula>-0.03</formula>
    </cfRule>
  </conditionalFormatting>
  <conditionalFormatting sqref="AR62:AS62">
    <cfRule type="cellIs" dxfId="3815" priority="844" operator="greaterThan">
      <formula>0.03</formula>
    </cfRule>
    <cfRule type="cellIs" dxfId="3814" priority="845" stopIfTrue="1" operator="lessThan">
      <formula>-0.03</formula>
    </cfRule>
  </conditionalFormatting>
  <conditionalFormatting sqref="AR58:AT58">
    <cfRule type="cellIs" dxfId="3813" priority="842" operator="greaterThan">
      <formula>0.03</formula>
    </cfRule>
    <cfRule type="cellIs" dxfId="3812" priority="843" stopIfTrue="1" operator="lessThan">
      <formula>-0.03</formula>
    </cfRule>
  </conditionalFormatting>
  <conditionalFormatting sqref="AR67:AS67">
    <cfRule type="cellIs" dxfId="3811" priority="840" operator="greaterThan">
      <formula>0.03</formula>
    </cfRule>
    <cfRule type="cellIs" dxfId="3810" priority="841" stopIfTrue="1" operator="lessThan">
      <formula>-0.03</formula>
    </cfRule>
  </conditionalFormatting>
  <conditionalFormatting sqref="AR63:AT63">
    <cfRule type="cellIs" dxfId="3809" priority="838" operator="greaterThan">
      <formula>0.03</formula>
    </cfRule>
    <cfRule type="cellIs" dxfId="3808" priority="839" stopIfTrue="1" operator="lessThan">
      <formula>-0.03</formula>
    </cfRule>
  </conditionalFormatting>
  <conditionalFormatting sqref="AR72:AS72">
    <cfRule type="cellIs" dxfId="3807" priority="836" operator="greaterThan">
      <formula>0.03</formula>
    </cfRule>
    <cfRule type="cellIs" dxfId="3806" priority="837" stopIfTrue="1" operator="lessThan">
      <formula>-0.03</formula>
    </cfRule>
  </conditionalFormatting>
  <conditionalFormatting sqref="AR68:AT68">
    <cfRule type="cellIs" dxfId="3805" priority="834" operator="greaterThan">
      <formula>0.03</formula>
    </cfRule>
    <cfRule type="cellIs" dxfId="3804" priority="835" stopIfTrue="1" operator="lessThan">
      <formula>-0.03</formula>
    </cfRule>
  </conditionalFormatting>
  <conditionalFormatting sqref="AR77:AS77">
    <cfRule type="cellIs" dxfId="3803" priority="832" operator="greaterThan">
      <formula>0.03</formula>
    </cfRule>
    <cfRule type="cellIs" dxfId="3802" priority="833" stopIfTrue="1" operator="lessThan">
      <formula>-0.03</formula>
    </cfRule>
  </conditionalFormatting>
  <conditionalFormatting sqref="AR73:AT73">
    <cfRule type="cellIs" dxfId="3801" priority="830" operator="greaterThan">
      <formula>0.03</formula>
    </cfRule>
    <cfRule type="cellIs" dxfId="3800" priority="831" stopIfTrue="1" operator="lessThan">
      <formula>-0.03</formula>
    </cfRule>
  </conditionalFormatting>
  <conditionalFormatting sqref="AR82:AS82">
    <cfRule type="cellIs" dxfId="3799" priority="828" operator="greaterThan">
      <formula>0.03</formula>
    </cfRule>
    <cfRule type="cellIs" dxfId="3798" priority="829" stopIfTrue="1" operator="lessThan">
      <formula>-0.03</formula>
    </cfRule>
  </conditionalFormatting>
  <conditionalFormatting sqref="AR78:AT78">
    <cfRule type="cellIs" dxfId="3797" priority="826" operator="greaterThan">
      <formula>0.03</formula>
    </cfRule>
    <cfRule type="cellIs" dxfId="3796" priority="827" stopIfTrue="1" operator="lessThan">
      <formula>-0.03</formula>
    </cfRule>
  </conditionalFormatting>
  <conditionalFormatting sqref="AR87:AS87">
    <cfRule type="cellIs" dxfId="3795" priority="824" operator="greaterThan">
      <formula>0.03</formula>
    </cfRule>
    <cfRule type="cellIs" dxfId="3794" priority="825" stopIfTrue="1" operator="lessThan">
      <formula>-0.03</formula>
    </cfRule>
  </conditionalFormatting>
  <conditionalFormatting sqref="AR83:AT83">
    <cfRule type="cellIs" dxfId="3793" priority="822" operator="greaterThan">
      <formula>0.03</formula>
    </cfRule>
    <cfRule type="cellIs" dxfId="3792" priority="823" stopIfTrue="1" operator="lessThan">
      <formula>-0.03</formula>
    </cfRule>
  </conditionalFormatting>
  <conditionalFormatting sqref="AR92:AS92">
    <cfRule type="cellIs" dxfId="3791" priority="820" operator="greaterThan">
      <formula>0.03</formula>
    </cfRule>
    <cfRule type="cellIs" dxfId="3790" priority="821" stopIfTrue="1" operator="lessThan">
      <formula>-0.03</formula>
    </cfRule>
  </conditionalFormatting>
  <conditionalFormatting sqref="AR88:AT88">
    <cfRule type="cellIs" dxfId="3789" priority="818" operator="greaterThan">
      <formula>0.03</formula>
    </cfRule>
    <cfRule type="cellIs" dxfId="3788" priority="819" stopIfTrue="1" operator="lessThan">
      <formula>-0.03</formula>
    </cfRule>
  </conditionalFormatting>
  <conditionalFormatting sqref="AR97:AS97">
    <cfRule type="cellIs" dxfId="3787" priority="816" operator="greaterThan">
      <formula>0.03</formula>
    </cfRule>
    <cfRule type="cellIs" dxfId="3786" priority="817" stopIfTrue="1" operator="lessThan">
      <formula>-0.03</formula>
    </cfRule>
  </conditionalFormatting>
  <conditionalFormatting sqref="AR93:AT93">
    <cfRule type="cellIs" dxfId="3785" priority="814" operator="greaterThan">
      <formula>0.03</formula>
    </cfRule>
    <cfRule type="cellIs" dxfId="3784" priority="815" stopIfTrue="1" operator="lessThan">
      <formula>-0.03</formula>
    </cfRule>
  </conditionalFormatting>
  <conditionalFormatting sqref="AR102:AS102">
    <cfRule type="cellIs" dxfId="3783" priority="812" operator="greaterThan">
      <formula>0.03</formula>
    </cfRule>
    <cfRule type="cellIs" dxfId="3782" priority="813" stopIfTrue="1" operator="lessThan">
      <formula>-0.03</formula>
    </cfRule>
  </conditionalFormatting>
  <conditionalFormatting sqref="AR98:AT98">
    <cfRule type="cellIs" dxfId="3781" priority="810" operator="greaterThan">
      <formula>0.03</formula>
    </cfRule>
    <cfRule type="cellIs" dxfId="3780" priority="811" stopIfTrue="1" operator="lessThan">
      <formula>-0.03</formula>
    </cfRule>
  </conditionalFormatting>
  <conditionalFormatting sqref="AR107:AS107">
    <cfRule type="cellIs" dxfId="3779" priority="808" operator="greaterThan">
      <formula>0.03</formula>
    </cfRule>
    <cfRule type="cellIs" dxfId="3778" priority="809" stopIfTrue="1" operator="lessThan">
      <formula>-0.03</formula>
    </cfRule>
  </conditionalFormatting>
  <conditionalFormatting sqref="AR103:AT103">
    <cfRule type="cellIs" dxfId="3777" priority="806" operator="greaterThan">
      <formula>0.03</formula>
    </cfRule>
    <cfRule type="cellIs" dxfId="3776" priority="807" stopIfTrue="1" operator="lessThan">
      <formula>-0.03</formula>
    </cfRule>
  </conditionalFormatting>
  <conditionalFormatting sqref="AR112:AS112">
    <cfRule type="cellIs" dxfId="3775" priority="804" operator="greaterThan">
      <formula>0.03</formula>
    </cfRule>
    <cfRule type="cellIs" dxfId="3774" priority="805" stopIfTrue="1" operator="lessThan">
      <formula>-0.03</formula>
    </cfRule>
  </conditionalFormatting>
  <conditionalFormatting sqref="AR108:AT108">
    <cfRule type="cellIs" dxfId="3773" priority="802" operator="greaterThan">
      <formula>0.03</formula>
    </cfRule>
    <cfRule type="cellIs" dxfId="3772" priority="803" stopIfTrue="1" operator="lessThan">
      <formula>-0.03</formula>
    </cfRule>
  </conditionalFormatting>
  <conditionalFormatting sqref="AR117:AS117">
    <cfRule type="cellIs" dxfId="3771" priority="800" operator="greaterThan">
      <formula>0.03</formula>
    </cfRule>
    <cfRule type="cellIs" dxfId="3770" priority="801" stopIfTrue="1" operator="lessThan">
      <formula>-0.03</formula>
    </cfRule>
  </conditionalFormatting>
  <conditionalFormatting sqref="AR113:AT113">
    <cfRule type="cellIs" dxfId="3769" priority="798" operator="greaterThan">
      <formula>0.03</formula>
    </cfRule>
    <cfRule type="cellIs" dxfId="3768" priority="799" stopIfTrue="1" operator="lessThan">
      <formula>-0.03</formula>
    </cfRule>
  </conditionalFormatting>
  <conditionalFormatting sqref="AR122:AS122">
    <cfRule type="cellIs" dxfId="3767" priority="796" operator="greaterThan">
      <formula>0.03</formula>
    </cfRule>
    <cfRule type="cellIs" dxfId="3766" priority="797" stopIfTrue="1" operator="lessThan">
      <formula>-0.03</formula>
    </cfRule>
  </conditionalFormatting>
  <conditionalFormatting sqref="AR118:AT118">
    <cfRule type="cellIs" dxfId="3765" priority="794" operator="greaterThan">
      <formula>0.03</formula>
    </cfRule>
    <cfRule type="cellIs" dxfId="3764" priority="795" stopIfTrue="1" operator="lessThan">
      <formula>-0.03</formula>
    </cfRule>
  </conditionalFormatting>
  <conditionalFormatting sqref="AR127:AS127">
    <cfRule type="cellIs" dxfId="3763" priority="792" operator="greaterThan">
      <formula>0.03</formula>
    </cfRule>
    <cfRule type="cellIs" dxfId="3762" priority="793" stopIfTrue="1" operator="lessThan">
      <formula>-0.03</formula>
    </cfRule>
  </conditionalFormatting>
  <conditionalFormatting sqref="AR123:AT123">
    <cfRule type="cellIs" dxfId="3761" priority="790" operator="greaterThan">
      <formula>0.03</formula>
    </cfRule>
    <cfRule type="cellIs" dxfId="3760" priority="791" stopIfTrue="1" operator="lessThan">
      <formula>-0.03</formula>
    </cfRule>
  </conditionalFormatting>
  <conditionalFormatting sqref="AR132:AS132">
    <cfRule type="cellIs" dxfId="3759" priority="788" operator="greaterThan">
      <formula>0.03</formula>
    </cfRule>
    <cfRule type="cellIs" dxfId="3758" priority="789" stopIfTrue="1" operator="lessThan">
      <formula>-0.03</formula>
    </cfRule>
  </conditionalFormatting>
  <conditionalFormatting sqref="AR128:AT128">
    <cfRule type="cellIs" dxfId="3757" priority="786" operator="greaterThan">
      <formula>0.03</formula>
    </cfRule>
    <cfRule type="cellIs" dxfId="3756" priority="787" stopIfTrue="1" operator="lessThan">
      <formula>-0.03</formula>
    </cfRule>
  </conditionalFormatting>
  <conditionalFormatting sqref="AO133:AQ133">
    <cfRule type="cellIs" dxfId="3755" priority="784" operator="greaterThan">
      <formula>0.03</formula>
    </cfRule>
    <cfRule type="cellIs" dxfId="3754" priority="785" stopIfTrue="1" operator="lessThan">
      <formula>-0.03</formula>
    </cfRule>
  </conditionalFormatting>
  <conditionalFormatting sqref="AO137:AQ137">
    <cfRule type="cellIs" dxfId="3753" priority="778" operator="greaterThan">
      <formula>0.03</formula>
    </cfRule>
    <cfRule type="cellIs" dxfId="3752" priority="779" stopIfTrue="1" operator="lessThan">
      <formula>-0.03</formula>
    </cfRule>
  </conditionalFormatting>
  <conditionalFormatting sqref="AI137:AK137 AI133:AK135">
    <cfRule type="cellIs" dxfId="3751" priority="776" operator="greaterThan">
      <formula>0.03</formula>
    </cfRule>
    <cfRule type="cellIs" dxfId="3750" priority="777" stopIfTrue="1" operator="lessThan">
      <formula>-0.03</formula>
    </cfRule>
  </conditionalFormatting>
  <conditionalFormatting sqref="AU137:AV137">
    <cfRule type="cellIs" dxfId="3749" priority="780" operator="greaterThan">
      <formula>0.03</formula>
    </cfRule>
    <cfRule type="cellIs" dxfId="3748" priority="781" stopIfTrue="1" operator="lessThan">
      <formula>-0.03</formula>
    </cfRule>
  </conditionalFormatting>
  <conditionalFormatting sqref="AO138:AQ138 AO135:AQ136">
    <cfRule type="cellIs" dxfId="3747" priority="782" operator="greaterThan">
      <formula>0.03</formula>
    </cfRule>
    <cfRule type="cellIs" dxfId="3746" priority="783" stopIfTrue="1" operator="lessThan">
      <formula>-0.03</formula>
    </cfRule>
  </conditionalFormatting>
  <conditionalFormatting sqref="AI136:AK136">
    <cfRule type="cellIs" dxfId="3745" priority="774" operator="greaterThan">
      <formula>0.03</formula>
    </cfRule>
    <cfRule type="cellIs" dxfId="3744" priority="775" stopIfTrue="1" operator="lessThan">
      <formula>-0.03</formula>
    </cfRule>
  </conditionalFormatting>
  <conditionalFormatting sqref="AU133:AW133">
    <cfRule type="cellIs" dxfId="3743" priority="772" operator="greaterThan">
      <formula>0.03</formula>
    </cfRule>
    <cfRule type="cellIs" dxfId="3742" priority="773" stopIfTrue="1" operator="lessThan">
      <formula>-0.03</formula>
    </cfRule>
  </conditionalFormatting>
  <conditionalFormatting sqref="AO143:AQ143 AO140:AQ141">
    <cfRule type="cellIs" dxfId="3741" priority="770" operator="greaterThan">
      <formula>0.03</formula>
    </cfRule>
    <cfRule type="cellIs" dxfId="3740" priority="771" stopIfTrue="1" operator="lessThan">
      <formula>-0.03</formula>
    </cfRule>
  </conditionalFormatting>
  <conditionalFormatting sqref="AU142:AV142">
    <cfRule type="cellIs" dxfId="3739" priority="768" operator="greaterThan">
      <formula>0.03</formula>
    </cfRule>
    <cfRule type="cellIs" dxfId="3738" priority="769" stopIfTrue="1" operator="lessThan">
      <formula>-0.03</formula>
    </cfRule>
  </conditionalFormatting>
  <conditionalFormatting sqref="AO142:AQ142">
    <cfRule type="cellIs" dxfId="3737" priority="766" operator="greaterThan">
      <formula>0.03</formula>
    </cfRule>
    <cfRule type="cellIs" dxfId="3736" priority="767" stopIfTrue="1" operator="lessThan">
      <formula>-0.03</formula>
    </cfRule>
  </conditionalFormatting>
  <conditionalFormatting sqref="AI142:AK142 AI138:AK140">
    <cfRule type="cellIs" dxfId="3735" priority="764" operator="greaterThan">
      <formula>0.03</formula>
    </cfRule>
    <cfRule type="cellIs" dxfId="3734" priority="765" stopIfTrue="1" operator="lessThan">
      <formula>-0.03</formula>
    </cfRule>
  </conditionalFormatting>
  <conditionalFormatting sqref="AI141:AK141">
    <cfRule type="cellIs" dxfId="3733" priority="762" operator="greaterThan">
      <formula>0.03</formula>
    </cfRule>
    <cfRule type="cellIs" dxfId="3732" priority="763" stopIfTrue="1" operator="lessThan">
      <formula>-0.03</formula>
    </cfRule>
  </conditionalFormatting>
  <conditionalFormatting sqref="AU138:AW138">
    <cfRule type="cellIs" dxfId="3731" priority="760" operator="greaterThan">
      <formula>0.03</formula>
    </cfRule>
    <cfRule type="cellIs" dxfId="3730" priority="761" stopIfTrue="1" operator="lessThan">
      <formula>-0.03</formula>
    </cfRule>
  </conditionalFormatting>
  <conditionalFormatting sqref="AO148:AQ148 AO145:AQ146">
    <cfRule type="cellIs" dxfId="3729" priority="758" operator="greaterThan">
      <formula>0.03</formula>
    </cfRule>
    <cfRule type="cellIs" dxfId="3728" priority="759" stopIfTrue="1" operator="lessThan">
      <formula>-0.03</formula>
    </cfRule>
  </conditionalFormatting>
  <conditionalFormatting sqref="AU147:AV147">
    <cfRule type="cellIs" dxfId="3727" priority="756" operator="greaterThan">
      <formula>0.03</formula>
    </cfRule>
    <cfRule type="cellIs" dxfId="3726" priority="757" stopIfTrue="1" operator="lessThan">
      <formula>-0.03</formula>
    </cfRule>
  </conditionalFormatting>
  <conditionalFormatting sqref="AO147:AQ147">
    <cfRule type="cellIs" dxfId="3725" priority="754" operator="greaterThan">
      <formula>0.03</formula>
    </cfRule>
    <cfRule type="cellIs" dxfId="3724" priority="755" stopIfTrue="1" operator="lessThan">
      <formula>-0.03</formula>
    </cfRule>
  </conditionalFormatting>
  <conditionalFormatting sqref="AI147:AK147 AI143:AK145">
    <cfRule type="cellIs" dxfId="3723" priority="752" operator="greaterThan">
      <formula>0.03</formula>
    </cfRule>
    <cfRule type="cellIs" dxfId="3722" priority="753" stopIfTrue="1" operator="lessThan">
      <formula>-0.03</formula>
    </cfRule>
  </conditionalFormatting>
  <conditionalFormatting sqref="AI146:AK146">
    <cfRule type="cellIs" dxfId="3721" priority="750" operator="greaterThan">
      <formula>0.03</formula>
    </cfRule>
    <cfRule type="cellIs" dxfId="3720" priority="751" stopIfTrue="1" operator="lessThan">
      <formula>-0.03</formula>
    </cfRule>
  </conditionalFormatting>
  <conditionalFormatting sqref="AU143:AW143">
    <cfRule type="cellIs" dxfId="3719" priority="748" operator="greaterThan">
      <formula>0.03</formula>
    </cfRule>
    <cfRule type="cellIs" dxfId="3718" priority="749" stopIfTrue="1" operator="lessThan">
      <formula>-0.03</formula>
    </cfRule>
  </conditionalFormatting>
  <conditionalFormatting sqref="AO150:AQ152">
    <cfRule type="cellIs" dxfId="3717" priority="746" operator="greaterThan">
      <formula>0.03</formula>
    </cfRule>
    <cfRule type="cellIs" dxfId="3716" priority="747" stopIfTrue="1" operator="lessThan">
      <formula>-0.03</formula>
    </cfRule>
  </conditionalFormatting>
  <conditionalFormatting sqref="AU152:AV152">
    <cfRule type="cellIs" dxfId="3715" priority="744" operator="greaterThan">
      <formula>0.03</formula>
    </cfRule>
    <cfRule type="cellIs" dxfId="3714" priority="745" stopIfTrue="1" operator="lessThan">
      <formula>-0.03</formula>
    </cfRule>
  </conditionalFormatting>
  <conditionalFormatting sqref="AI152:AK152 AI148:AK150">
    <cfRule type="cellIs" dxfId="3713" priority="742" operator="greaterThan">
      <formula>0.03</formula>
    </cfRule>
    <cfRule type="cellIs" dxfId="3712" priority="743" stopIfTrue="1" operator="lessThan">
      <formula>-0.03</formula>
    </cfRule>
  </conditionalFormatting>
  <conditionalFormatting sqref="AI151:AK151">
    <cfRule type="cellIs" dxfId="3711" priority="740" operator="greaterThan">
      <formula>0.03</formula>
    </cfRule>
    <cfRule type="cellIs" dxfId="3710" priority="741" stopIfTrue="1" operator="lessThan">
      <formula>-0.03</formula>
    </cfRule>
  </conditionalFormatting>
  <conditionalFormatting sqref="AU148:AW148">
    <cfRule type="cellIs" dxfId="3709" priority="738" operator="greaterThan">
      <formula>0.03</formula>
    </cfRule>
    <cfRule type="cellIs" dxfId="3708" priority="739" stopIfTrue="1" operator="lessThan">
      <formula>-0.03</formula>
    </cfRule>
  </conditionalFormatting>
  <conditionalFormatting sqref="AF137:AH137 AF133:AH135">
    <cfRule type="cellIs" dxfId="3707" priority="736" operator="greaterThan">
      <formula>0.03</formula>
    </cfRule>
    <cfRule type="cellIs" dxfId="3706" priority="737" stopIfTrue="1" operator="lessThan">
      <formula>-0.03</formula>
    </cfRule>
  </conditionalFormatting>
  <conditionalFormatting sqref="AF136:AH136">
    <cfRule type="cellIs" dxfId="3705" priority="734" operator="greaterThan">
      <formula>0.03</formula>
    </cfRule>
    <cfRule type="cellIs" dxfId="3704" priority="735" stopIfTrue="1" operator="lessThan">
      <formula>-0.03</formula>
    </cfRule>
  </conditionalFormatting>
  <conditionalFormatting sqref="AF142:AH142 AF138:AH140">
    <cfRule type="cellIs" dxfId="3703" priority="732" operator="greaterThan">
      <formula>0.03</formula>
    </cfRule>
    <cfRule type="cellIs" dxfId="3702" priority="733" stopIfTrue="1" operator="lessThan">
      <formula>-0.03</formula>
    </cfRule>
  </conditionalFormatting>
  <conditionalFormatting sqref="AF141:AH141">
    <cfRule type="cellIs" dxfId="3701" priority="730" operator="greaterThan">
      <formula>0.03</formula>
    </cfRule>
    <cfRule type="cellIs" dxfId="3700" priority="731" stopIfTrue="1" operator="lessThan">
      <formula>-0.03</formula>
    </cfRule>
  </conditionalFormatting>
  <conditionalFormatting sqref="AF147:AH147 AF143:AH145">
    <cfRule type="cellIs" dxfId="3699" priority="728" operator="greaterThan">
      <formula>0.03</formula>
    </cfRule>
    <cfRule type="cellIs" dxfId="3698" priority="729" stopIfTrue="1" operator="lessThan">
      <formula>-0.03</formula>
    </cfRule>
  </conditionalFormatting>
  <conditionalFormatting sqref="AF146:AH146">
    <cfRule type="cellIs" dxfId="3697" priority="726" operator="greaterThan">
      <formula>0.03</formula>
    </cfRule>
    <cfRule type="cellIs" dxfId="3696" priority="727" stopIfTrue="1" operator="lessThan">
      <formula>-0.03</formula>
    </cfRule>
  </conditionalFormatting>
  <conditionalFormatting sqref="AF152:AH152 AF148:AH150">
    <cfRule type="cellIs" dxfId="3695" priority="724" operator="greaterThan">
      <formula>0.03</formula>
    </cfRule>
    <cfRule type="cellIs" dxfId="3694" priority="725" stopIfTrue="1" operator="lessThan">
      <formula>-0.03</formula>
    </cfRule>
  </conditionalFormatting>
  <conditionalFormatting sqref="AF151:AH151">
    <cfRule type="cellIs" dxfId="3693" priority="722" operator="greaterThan">
      <formula>0.03</formula>
    </cfRule>
    <cfRule type="cellIs" dxfId="3692" priority="723" stopIfTrue="1" operator="lessThan">
      <formula>-0.03</formula>
    </cfRule>
  </conditionalFormatting>
  <conditionalFormatting sqref="AL133:AN133">
    <cfRule type="cellIs" dxfId="3691" priority="720" operator="greaterThan">
      <formula>0.03</formula>
    </cfRule>
    <cfRule type="cellIs" dxfId="3690" priority="721" stopIfTrue="1" operator="lessThan">
      <formula>-0.03</formula>
    </cfRule>
  </conditionalFormatting>
  <conditionalFormatting sqref="AL138:AN138 AL135:AN136">
    <cfRule type="cellIs" dxfId="3689" priority="718" operator="greaterThan">
      <formula>0.03</formula>
    </cfRule>
    <cfRule type="cellIs" dxfId="3688" priority="719" stopIfTrue="1" operator="lessThan">
      <formula>-0.03</formula>
    </cfRule>
  </conditionalFormatting>
  <conditionalFormatting sqref="AL137:AN137">
    <cfRule type="cellIs" dxfId="3687" priority="716" operator="greaterThan">
      <formula>0.03</formula>
    </cfRule>
    <cfRule type="cellIs" dxfId="3686" priority="717" stopIfTrue="1" operator="lessThan">
      <formula>-0.03</formula>
    </cfRule>
  </conditionalFormatting>
  <conditionalFormatting sqref="AL143:AN143 AL140:AN141">
    <cfRule type="cellIs" dxfId="3685" priority="714" operator="greaterThan">
      <formula>0.03</formula>
    </cfRule>
    <cfRule type="cellIs" dxfId="3684" priority="715" stopIfTrue="1" operator="lessThan">
      <formula>-0.03</formula>
    </cfRule>
  </conditionalFormatting>
  <conditionalFormatting sqref="AL142:AN142">
    <cfRule type="cellIs" dxfId="3683" priority="712" operator="greaterThan">
      <formula>0.03</formula>
    </cfRule>
    <cfRule type="cellIs" dxfId="3682" priority="713" stopIfTrue="1" operator="lessThan">
      <formula>-0.03</formula>
    </cfRule>
  </conditionalFormatting>
  <conditionalFormatting sqref="AL148:AN148 AL145:AN146">
    <cfRule type="cellIs" dxfId="3681" priority="710" operator="greaterThan">
      <formula>0.03</formula>
    </cfRule>
    <cfRule type="cellIs" dxfId="3680" priority="711" stopIfTrue="1" operator="lessThan">
      <formula>-0.03</formula>
    </cfRule>
  </conditionalFormatting>
  <conditionalFormatting sqref="AL147:AN147">
    <cfRule type="cellIs" dxfId="3679" priority="708" operator="greaterThan">
      <formula>0.03</formula>
    </cfRule>
    <cfRule type="cellIs" dxfId="3678" priority="709" stopIfTrue="1" operator="lessThan">
      <formula>-0.03</formula>
    </cfRule>
  </conditionalFormatting>
  <conditionalFormatting sqref="AL150:AN152">
    <cfRule type="cellIs" dxfId="3677" priority="706" operator="greaterThan">
      <formula>0.03</formula>
    </cfRule>
    <cfRule type="cellIs" dxfId="3676" priority="707" stopIfTrue="1" operator="lessThan">
      <formula>-0.03</formula>
    </cfRule>
  </conditionalFormatting>
  <conditionalFormatting sqref="AR137:AS137">
    <cfRule type="cellIs" dxfId="3675" priority="704" operator="greaterThan">
      <formula>0.03</formula>
    </cfRule>
    <cfRule type="cellIs" dxfId="3674" priority="705" stopIfTrue="1" operator="lessThan">
      <formula>-0.03</formula>
    </cfRule>
  </conditionalFormatting>
  <conditionalFormatting sqref="AR133:AT133">
    <cfRule type="cellIs" dxfId="3673" priority="702" operator="greaterThan">
      <formula>0.03</formula>
    </cfRule>
    <cfRule type="cellIs" dxfId="3672" priority="703" stopIfTrue="1" operator="lessThan">
      <formula>-0.03</formula>
    </cfRule>
  </conditionalFormatting>
  <conditionalFormatting sqref="AR142:AS142">
    <cfRule type="cellIs" dxfId="3671" priority="700" operator="greaterThan">
      <formula>0.03</formula>
    </cfRule>
    <cfRule type="cellIs" dxfId="3670" priority="701" stopIfTrue="1" operator="lessThan">
      <formula>-0.03</formula>
    </cfRule>
  </conditionalFormatting>
  <conditionalFormatting sqref="AR138:AT138">
    <cfRule type="cellIs" dxfId="3669" priority="698" operator="greaterThan">
      <formula>0.03</formula>
    </cfRule>
    <cfRule type="cellIs" dxfId="3668" priority="699" stopIfTrue="1" operator="lessThan">
      <formula>-0.03</formula>
    </cfRule>
  </conditionalFormatting>
  <conditionalFormatting sqref="AR147:AS147">
    <cfRule type="cellIs" dxfId="3667" priority="696" operator="greaterThan">
      <formula>0.03</formula>
    </cfRule>
    <cfRule type="cellIs" dxfId="3666" priority="697" stopIfTrue="1" operator="lessThan">
      <formula>-0.03</formula>
    </cfRule>
  </conditionalFormatting>
  <conditionalFormatting sqref="AR143:AT143">
    <cfRule type="cellIs" dxfId="3665" priority="694" operator="greaterThan">
      <formula>0.03</formula>
    </cfRule>
    <cfRule type="cellIs" dxfId="3664" priority="695" stopIfTrue="1" operator="lessThan">
      <formula>-0.03</formula>
    </cfRule>
  </conditionalFormatting>
  <conditionalFormatting sqref="AR152:AS152">
    <cfRule type="cellIs" dxfId="3663" priority="692" operator="greaterThan">
      <formula>0.03</formula>
    </cfRule>
    <cfRule type="cellIs" dxfId="3662" priority="693" stopIfTrue="1" operator="lessThan">
      <formula>-0.03</formula>
    </cfRule>
  </conditionalFormatting>
  <conditionalFormatting sqref="AR148:AT148">
    <cfRule type="cellIs" dxfId="3661" priority="690" operator="greaterThan">
      <formula>0.03</formula>
    </cfRule>
    <cfRule type="cellIs" dxfId="3660" priority="691" stopIfTrue="1" operator="lessThan">
      <formula>-0.03</formula>
    </cfRule>
  </conditionalFormatting>
  <conditionalFormatting sqref="AO19:AQ19">
    <cfRule type="cellIs" dxfId="3659" priority="570" operator="greaterThan">
      <formula>0.03</formula>
    </cfRule>
    <cfRule type="cellIs" dxfId="3658" priority="571" stopIfTrue="1" operator="lessThan">
      <formula>-0.03</formula>
    </cfRule>
  </conditionalFormatting>
  <conditionalFormatting sqref="AF160:AH160">
    <cfRule type="cellIs" dxfId="3657" priority="688" operator="greaterThan">
      <formula>0.03</formula>
    </cfRule>
    <cfRule type="cellIs" dxfId="3656" priority="689" stopIfTrue="1" operator="lessThan">
      <formula>-0.03</formula>
    </cfRule>
  </conditionalFormatting>
  <conditionalFormatting sqref="AI160:AK160">
    <cfRule type="cellIs" dxfId="3655" priority="686" operator="greaterThan">
      <formula>0.03</formula>
    </cfRule>
    <cfRule type="cellIs" dxfId="3654" priority="687" stopIfTrue="1" operator="lessThan">
      <formula>-0.03</formula>
    </cfRule>
  </conditionalFormatting>
  <conditionalFormatting sqref="AL160:AN160">
    <cfRule type="cellIs" dxfId="3653" priority="684" operator="greaterThan">
      <formula>0.03</formula>
    </cfRule>
    <cfRule type="cellIs" dxfId="3652" priority="685" stopIfTrue="1" operator="lessThan">
      <formula>-0.03</formula>
    </cfRule>
  </conditionalFormatting>
  <conditionalFormatting sqref="AO160:AQ160">
    <cfRule type="cellIs" dxfId="3651" priority="682" operator="greaterThan">
      <formula>0.03</formula>
    </cfRule>
    <cfRule type="cellIs" dxfId="3650" priority="683" stopIfTrue="1" operator="lessThan">
      <formula>-0.03</formula>
    </cfRule>
  </conditionalFormatting>
  <conditionalFormatting sqref="AR160:AT160">
    <cfRule type="cellIs" dxfId="3649" priority="680" operator="greaterThan">
      <formula>0.03</formula>
    </cfRule>
    <cfRule type="cellIs" dxfId="3648" priority="681" stopIfTrue="1" operator="lessThan">
      <formula>-0.03</formula>
    </cfRule>
  </conditionalFormatting>
  <conditionalFormatting sqref="AO4:AQ4">
    <cfRule type="cellIs" dxfId="3647" priority="558" operator="greaterThan">
      <formula>0.03</formula>
    </cfRule>
    <cfRule type="cellIs" dxfId="3646" priority="559" stopIfTrue="1" operator="lessThan">
      <formula>-0.03</formula>
    </cfRule>
  </conditionalFormatting>
  <conditionalFormatting sqref="AU160:AW160">
    <cfRule type="cellIs" dxfId="3645" priority="678" operator="greaterThan">
      <formula>0.03</formula>
    </cfRule>
    <cfRule type="cellIs" dxfId="3644" priority="679" stopIfTrue="1" operator="lessThan">
      <formula>-0.03</formula>
    </cfRule>
  </conditionalFormatting>
  <conditionalFormatting sqref="AL29:AN29">
    <cfRule type="cellIs" dxfId="3643" priority="580" operator="greaterThan">
      <formula>0.03</formula>
    </cfRule>
    <cfRule type="cellIs" dxfId="3642" priority="581" stopIfTrue="1" operator="lessThan">
      <formula>-0.03</formula>
    </cfRule>
  </conditionalFormatting>
  <conditionalFormatting sqref="AO59:AQ59">
    <cfRule type="cellIs" dxfId="3641" priority="602" operator="greaterThan">
      <formula>0.03</formula>
    </cfRule>
    <cfRule type="cellIs" dxfId="3640" priority="603" stopIfTrue="1" operator="lessThan">
      <formula>-0.03</formula>
    </cfRule>
  </conditionalFormatting>
  <conditionalFormatting sqref="AO49:AQ49">
    <cfRule type="cellIs" dxfId="3639" priority="594" operator="greaterThan">
      <formula>0.03</formula>
    </cfRule>
    <cfRule type="cellIs" dxfId="3638" priority="595" stopIfTrue="1" operator="lessThan">
      <formula>-0.03</formula>
    </cfRule>
  </conditionalFormatting>
  <conditionalFormatting sqref="AO39:AQ39">
    <cfRule type="cellIs" dxfId="3637" priority="586" operator="greaterThan">
      <formula>0.03</formula>
    </cfRule>
    <cfRule type="cellIs" dxfId="3636" priority="587" stopIfTrue="1" operator="lessThan">
      <formula>-0.03</formula>
    </cfRule>
  </conditionalFormatting>
  <conditionalFormatting sqref="AL49:AN49">
    <cfRule type="cellIs" dxfId="3635" priority="596" operator="greaterThan">
      <formula>0.03</formula>
    </cfRule>
    <cfRule type="cellIs" dxfId="3634" priority="597" stopIfTrue="1" operator="lessThan">
      <formula>-0.03</formula>
    </cfRule>
  </conditionalFormatting>
  <conditionalFormatting sqref="AL134:AN134">
    <cfRule type="cellIs" dxfId="3633" priority="676" operator="greaterThan">
      <formula>0.03</formula>
    </cfRule>
    <cfRule type="cellIs" dxfId="3632" priority="677" stopIfTrue="1" operator="lessThan">
      <formula>-0.03</formula>
    </cfRule>
  </conditionalFormatting>
  <conditionalFormatting sqref="AO134:AQ134">
    <cfRule type="cellIs" dxfId="3631" priority="674" operator="greaterThan">
      <formula>0.03</formula>
    </cfRule>
    <cfRule type="cellIs" dxfId="3630" priority="675" stopIfTrue="1" operator="lessThan">
      <formula>-0.03</formula>
    </cfRule>
  </conditionalFormatting>
  <conditionalFormatting sqref="AL24:AN24">
    <cfRule type="cellIs" dxfId="3629" priority="576" operator="greaterThan">
      <formula>0.03</formula>
    </cfRule>
    <cfRule type="cellIs" dxfId="3628" priority="577" stopIfTrue="1" operator="lessThan">
      <formula>-0.03</formula>
    </cfRule>
  </conditionalFormatting>
  <conditionalFormatting sqref="AO24:AQ24">
    <cfRule type="cellIs" dxfId="3627" priority="574" operator="greaterThan">
      <formula>0.03</formula>
    </cfRule>
    <cfRule type="cellIs" dxfId="3626" priority="575" stopIfTrue="1" operator="lessThan">
      <formula>-0.03</formula>
    </cfRule>
  </conditionalFormatting>
  <conditionalFormatting sqref="AL14:AN14">
    <cfRule type="cellIs" dxfId="3625" priority="568" operator="greaterThan">
      <formula>0.03</formula>
    </cfRule>
    <cfRule type="cellIs" dxfId="3624" priority="569" stopIfTrue="1" operator="lessThan">
      <formula>-0.03</formula>
    </cfRule>
  </conditionalFormatting>
  <conditionalFormatting sqref="AO14:AQ14">
    <cfRule type="cellIs" dxfId="3623" priority="566" operator="greaterThan">
      <formula>0.03</formula>
    </cfRule>
    <cfRule type="cellIs" dxfId="3622" priority="567" stopIfTrue="1" operator="lessThan">
      <formula>-0.03</formula>
    </cfRule>
  </conditionalFormatting>
  <conditionalFormatting sqref="AL149:AN149">
    <cfRule type="cellIs" dxfId="3621" priority="672" operator="greaterThan">
      <formula>0.03</formula>
    </cfRule>
    <cfRule type="cellIs" dxfId="3620" priority="673" stopIfTrue="1" operator="lessThan">
      <formula>-0.03</formula>
    </cfRule>
  </conditionalFormatting>
  <conditionalFormatting sqref="AO149:AQ149">
    <cfRule type="cellIs" dxfId="3619" priority="670" operator="greaterThan">
      <formula>0.03</formula>
    </cfRule>
    <cfRule type="cellIs" dxfId="3618" priority="671" stopIfTrue="1" operator="lessThan">
      <formula>-0.03</formula>
    </cfRule>
  </conditionalFormatting>
  <conditionalFormatting sqref="AL144:AN144">
    <cfRule type="cellIs" dxfId="3617" priority="668" operator="greaterThan">
      <formula>0.03</formula>
    </cfRule>
    <cfRule type="cellIs" dxfId="3616" priority="669" stopIfTrue="1" operator="lessThan">
      <formula>-0.03</formula>
    </cfRule>
  </conditionalFormatting>
  <conditionalFormatting sqref="AO144:AQ144">
    <cfRule type="cellIs" dxfId="3615" priority="666" operator="greaterThan">
      <formula>0.03</formula>
    </cfRule>
    <cfRule type="cellIs" dxfId="3614" priority="667" stopIfTrue="1" operator="lessThan">
      <formula>-0.03</formula>
    </cfRule>
  </conditionalFormatting>
  <conditionalFormatting sqref="AL139:AN139">
    <cfRule type="cellIs" dxfId="3613" priority="664" operator="greaterThan">
      <formula>0.03</formula>
    </cfRule>
    <cfRule type="cellIs" dxfId="3612" priority="665" stopIfTrue="1" operator="lessThan">
      <formula>-0.03</formula>
    </cfRule>
  </conditionalFormatting>
  <conditionalFormatting sqref="AO139:AQ139">
    <cfRule type="cellIs" dxfId="3611" priority="662" operator="greaterThan">
      <formula>0.03</formula>
    </cfRule>
    <cfRule type="cellIs" dxfId="3610" priority="663" stopIfTrue="1" operator="lessThan">
      <formula>-0.03</formula>
    </cfRule>
  </conditionalFormatting>
  <conditionalFormatting sqref="AL129:AN129">
    <cfRule type="cellIs" dxfId="3609" priority="660" operator="greaterThan">
      <formula>0.03</formula>
    </cfRule>
    <cfRule type="cellIs" dxfId="3608" priority="661" stopIfTrue="1" operator="lessThan">
      <formula>-0.03</formula>
    </cfRule>
  </conditionalFormatting>
  <conditionalFormatting sqref="AO129:AQ129">
    <cfRule type="cellIs" dxfId="3607" priority="658" operator="greaterThan">
      <formula>0.03</formula>
    </cfRule>
    <cfRule type="cellIs" dxfId="3606" priority="659" stopIfTrue="1" operator="lessThan">
      <formula>-0.03</formula>
    </cfRule>
  </conditionalFormatting>
  <conditionalFormatting sqref="AL124:AN124">
    <cfRule type="cellIs" dxfId="3605" priority="656" operator="greaterThan">
      <formula>0.03</formula>
    </cfRule>
    <cfRule type="cellIs" dxfId="3604" priority="657" stopIfTrue="1" operator="lessThan">
      <formula>-0.03</formula>
    </cfRule>
  </conditionalFormatting>
  <conditionalFormatting sqref="AO124:AQ124">
    <cfRule type="cellIs" dxfId="3603" priority="654" operator="greaterThan">
      <formula>0.03</formula>
    </cfRule>
    <cfRule type="cellIs" dxfId="3602" priority="655" stopIfTrue="1" operator="lessThan">
      <formula>-0.03</formula>
    </cfRule>
  </conditionalFormatting>
  <conditionalFormatting sqref="AL119:AN119">
    <cfRule type="cellIs" dxfId="3601" priority="652" operator="greaterThan">
      <formula>0.03</formula>
    </cfRule>
    <cfRule type="cellIs" dxfId="3600" priority="653" stopIfTrue="1" operator="lessThan">
      <formula>-0.03</formula>
    </cfRule>
  </conditionalFormatting>
  <conditionalFormatting sqref="AO119:AQ119">
    <cfRule type="cellIs" dxfId="3599" priority="650" operator="greaterThan">
      <formula>0.03</formula>
    </cfRule>
    <cfRule type="cellIs" dxfId="3598" priority="651" stopIfTrue="1" operator="lessThan">
      <formula>-0.03</formula>
    </cfRule>
  </conditionalFormatting>
  <conditionalFormatting sqref="AL114:AN114">
    <cfRule type="cellIs" dxfId="3597" priority="648" operator="greaterThan">
      <formula>0.03</formula>
    </cfRule>
    <cfRule type="cellIs" dxfId="3596" priority="649" stopIfTrue="1" operator="lessThan">
      <formula>-0.03</formula>
    </cfRule>
  </conditionalFormatting>
  <conditionalFormatting sqref="AO114:AQ114">
    <cfRule type="cellIs" dxfId="3595" priority="646" operator="greaterThan">
      <formula>0.03</formula>
    </cfRule>
    <cfRule type="cellIs" dxfId="3594" priority="647" stopIfTrue="1" operator="lessThan">
      <formula>-0.03</formula>
    </cfRule>
  </conditionalFormatting>
  <conditionalFormatting sqref="AL109:AN109">
    <cfRule type="cellIs" dxfId="3593" priority="644" operator="greaterThan">
      <formula>0.03</formula>
    </cfRule>
    <cfRule type="cellIs" dxfId="3592" priority="645" stopIfTrue="1" operator="lessThan">
      <formula>-0.03</formula>
    </cfRule>
  </conditionalFormatting>
  <conditionalFormatting sqref="AO109:AQ109">
    <cfRule type="cellIs" dxfId="3591" priority="642" operator="greaterThan">
      <formula>0.03</formula>
    </cfRule>
    <cfRule type="cellIs" dxfId="3590" priority="643" stopIfTrue="1" operator="lessThan">
      <formula>-0.03</formula>
    </cfRule>
  </conditionalFormatting>
  <conditionalFormatting sqref="AL104:AN104">
    <cfRule type="cellIs" dxfId="3589" priority="640" operator="greaterThan">
      <formula>0.03</formula>
    </cfRule>
    <cfRule type="cellIs" dxfId="3588" priority="641" stopIfTrue="1" operator="lessThan">
      <formula>-0.03</formula>
    </cfRule>
  </conditionalFormatting>
  <conditionalFormatting sqref="AO104:AQ104">
    <cfRule type="cellIs" dxfId="3587" priority="638" operator="greaterThan">
      <formula>0.03</formula>
    </cfRule>
    <cfRule type="cellIs" dxfId="3586" priority="639" stopIfTrue="1" operator="lessThan">
      <formula>-0.03</formula>
    </cfRule>
  </conditionalFormatting>
  <conditionalFormatting sqref="AL99:AN99">
    <cfRule type="cellIs" dxfId="3585" priority="636" operator="greaterThan">
      <formula>0.03</formula>
    </cfRule>
    <cfRule type="cellIs" dxfId="3584" priority="637" stopIfTrue="1" operator="lessThan">
      <formula>-0.03</formula>
    </cfRule>
  </conditionalFormatting>
  <conditionalFormatting sqref="AO99:AQ99">
    <cfRule type="cellIs" dxfId="3583" priority="634" operator="greaterThan">
      <formula>0.03</formula>
    </cfRule>
    <cfRule type="cellIs" dxfId="3582" priority="635" stopIfTrue="1" operator="lessThan">
      <formula>-0.03</formula>
    </cfRule>
  </conditionalFormatting>
  <conditionalFormatting sqref="AL94:AN94">
    <cfRule type="cellIs" dxfId="3581" priority="632" operator="greaterThan">
      <formula>0.03</formula>
    </cfRule>
    <cfRule type="cellIs" dxfId="3580" priority="633" stopIfTrue="1" operator="lessThan">
      <formula>-0.03</formula>
    </cfRule>
  </conditionalFormatting>
  <conditionalFormatting sqref="AO94:AQ94">
    <cfRule type="cellIs" dxfId="3579" priority="630" operator="greaterThan">
      <formula>0.03</formula>
    </cfRule>
    <cfRule type="cellIs" dxfId="3578" priority="631" stopIfTrue="1" operator="lessThan">
      <formula>-0.03</formula>
    </cfRule>
  </conditionalFormatting>
  <conditionalFormatting sqref="AL89:AN89">
    <cfRule type="cellIs" dxfId="3577" priority="628" operator="greaterThan">
      <formula>0.03</formula>
    </cfRule>
    <cfRule type="cellIs" dxfId="3576" priority="629" stopIfTrue="1" operator="lessThan">
      <formula>-0.03</formula>
    </cfRule>
  </conditionalFormatting>
  <conditionalFormatting sqref="AO89:AQ89">
    <cfRule type="cellIs" dxfId="3575" priority="626" operator="greaterThan">
      <formula>0.03</formula>
    </cfRule>
    <cfRule type="cellIs" dxfId="3574" priority="627" stopIfTrue="1" operator="lessThan">
      <formula>-0.03</formula>
    </cfRule>
  </conditionalFormatting>
  <conditionalFormatting sqref="AL84:AN84">
    <cfRule type="cellIs" dxfId="3573" priority="624" operator="greaterThan">
      <formula>0.03</formula>
    </cfRule>
    <cfRule type="cellIs" dxfId="3572" priority="625" stopIfTrue="1" operator="lessThan">
      <formula>-0.03</formula>
    </cfRule>
  </conditionalFormatting>
  <conditionalFormatting sqref="AO84:AQ84">
    <cfRule type="cellIs" dxfId="3571" priority="622" operator="greaterThan">
      <formula>0.03</formula>
    </cfRule>
    <cfRule type="cellIs" dxfId="3570" priority="623" stopIfTrue="1" operator="lessThan">
      <formula>-0.03</formula>
    </cfRule>
  </conditionalFormatting>
  <conditionalFormatting sqref="AL79:AN79">
    <cfRule type="cellIs" dxfId="3569" priority="620" operator="greaterThan">
      <formula>0.03</formula>
    </cfRule>
    <cfRule type="cellIs" dxfId="3568" priority="621" stopIfTrue="1" operator="lessThan">
      <formula>-0.03</formula>
    </cfRule>
  </conditionalFormatting>
  <conditionalFormatting sqref="AO79:AQ79">
    <cfRule type="cellIs" dxfId="3567" priority="618" operator="greaterThan">
      <formula>0.03</formula>
    </cfRule>
    <cfRule type="cellIs" dxfId="3566" priority="619" stopIfTrue="1" operator="lessThan">
      <formula>-0.03</formula>
    </cfRule>
  </conditionalFormatting>
  <conditionalFormatting sqref="AL74:AN74">
    <cfRule type="cellIs" dxfId="3565" priority="616" operator="greaterThan">
      <formula>0.03</formula>
    </cfRule>
    <cfRule type="cellIs" dxfId="3564" priority="617" stopIfTrue="1" operator="lessThan">
      <formula>-0.03</formula>
    </cfRule>
  </conditionalFormatting>
  <conditionalFormatting sqref="AO74:AQ74">
    <cfRule type="cellIs" dxfId="3563" priority="614" operator="greaterThan">
      <formula>0.03</formula>
    </cfRule>
    <cfRule type="cellIs" dxfId="3562" priority="615" stopIfTrue="1" operator="lessThan">
      <formula>-0.03</formula>
    </cfRule>
  </conditionalFormatting>
  <conditionalFormatting sqref="AL69:AN69">
    <cfRule type="cellIs" dxfId="3561" priority="612" operator="greaterThan">
      <formula>0.03</formula>
    </cfRule>
    <cfRule type="cellIs" dxfId="3560" priority="613" stopIfTrue="1" operator="lessThan">
      <formula>-0.03</formula>
    </cfRule>
  </conditionalFormatting>
  <conditionalFormatting sqref="AO69:AQ69">
    <cfRule type="cellIs" dxfId="3559" priority="610" operator="greaterThan">
      <formula>0.03</formula>
    </cfRule>
    <cfRule type="cellIs" dxfId="3558" priority="611" stopIfTrue="1" operator="lessThan">
      <formula>-0.03</formula>
    </cfRule>
  </conditionalFormatting>
  <conditionalFormatting sqref="AL64:AN64">
    <cfRule type="cellIs" dxfId="3557" priority="608" operator="greaterThan">
      <formula>0.03</formula>
    </cfRule>
    <cfRule type="cellIs" dxfId="3556" priority="609" stopIfTrue="1" operator="lessThan">
      <formula>-0.03</formula>
    </cfRule>
  </conditionalFormatting>
  <conditionalFormatting sqref="AO64:AQ64">
    <cfRule type="cellIs" dxfId="3555" priority="606" operator="greaterThan">
      <formula>0.03</formula>
    </cfRule>
    <cfRule type="cellIs" dxfId="3554" priority="607" stopIfTrue="1" operator="lessThan">
      <formula>-0.03</formula>
    </cfRule>
  </conditionalFormatting>
  <conditionalFormatting sqref="AL59:AN59">
    <cfRule type="cellIs" dxfId="3553" priority="604" operator="greaterThan">
      <formula>0.03</formula>
    </cfRule>
    <cfRule type="cellIs" dxfId="3552" priority="605" stopIfTrue="1" operator="lessThan">
      <formula>-0.03</formula>
    </cfRule>
  </conditionalFormatting>
  <conditionalFormatting sqref="AL54:AN54">
    <cfRule type="cellIs" dxfId="3551" priority="600" operator="greaterThan">
      <formula>0.03</formula>
    </cfRule>
    <cfRule type="cellIs" dxfId="3550" priority="601" stopIfTrue="1" operator="lessThan">
      <formula>-0.03</formula>
    </cfRule>
  </conditionalFormatting>
  <conditionalFormatting sqref="AO54:AQ54">
    <cfRule type="cellIs" dxfId="3549" priority="598" operator="greaterThan">
      <formula>0.03</formula>
    </cfRule>
    <cfRule type="cellIs" dxfId="3548" priority="599" stopIfTrue="1" operator="lessThan">
      <formula>-0.03</formula>
    </cfRule>
  </conditionalFormatting>
  <conditionalFormatting sqref="AL44:AN44">
    <cfRule type="cellIs" dxfId="3547" priority="592" operator="greaterThan">
      <formula>0.03</formula>
    </cfRule>
    <cfRule type="cellIs" dxfId="3546" priority="593" stopIfTrue="1" operator="lessThan">
      <formula>-0.03</formula>
    </cfRule>
  </conditionalFormatting>
  <conditionalFormatting sqref="AO44:AQ44">
    <cfRule type="cellIs" dxfId="3545" priority="590" operator="greaterThan">
      <formula>0.03</formula>
    </cfRule>
    <cfRule type="cellIs" dxfId="3544" priority="591" stopIfTrue="1" operator="lessThan">
      <formula>-0.03</formula>
    </cfRule>
  </conditionalFormatting>
  <conditionalFormatting sqref="AL39:AN39">
    <cfRule type="cellIs" dxfId="3543" priority="588" operator="greaterThan">
      <formula>0.03</formula>
    </cfRule>
    <cfRule type="cellIs" dxfId="3542" priority="589" stopIfTrue="1" operator="lessThan">
      <formula>-0.03</formula>
    </cfRule>
  </conditionalFormatting>
  <conditionalFormatting sqref="AL34:AN34">
    <cfRule type="cellIs" dxfId="3541" priority="584" operator="greaterThan">
      <formula>0.03</formula>
    </cfRule>
    <cfRule type="cellIs" dxfId="3540" priority="585" stopIfTrue="1" operator="lessThan">
      <formula>-0.03</formula>
    </cfRule>
  </conditionalFormatting>
  <conditionalFormatting sqref="AO34:AQ34">
    <cfRule type="cellIs" dxfId="3539" priority="582" operator="greaterThan">
      <formula>0.03</formula>
    </cfRule>
    <cfRule type="cellIs" dxfId="3538" priority="583" stopIfTrue="1" operator="lessThan">
      <formula>-0.03</formula>
    </cfRule>
  </conditionalFormatting>
  <conditionalFormatting sqref="AO29:AQ29">
    <cfRule type="cellIs" dxfId="3537" priority="578" operator="greaterThan">
      <formula>0.03</formula>
    </cfRule>
    <cfRule type="cellIs" dxfId="3536" priority="579" stopIfTrue="1" operator="lessThan">
      <formula>-0.03</formula>
    </cfRule>
  </conditionalFormatting>
  <conditionalFormatting sqref="AL19:AN19">
    <cfRule type="cellIs" dxfId="3535" priority="572" operator="greaterThan">
      <formula>0.03</formula>
    </cfRule>
    <cfRule type="cellIs" dxfId="3534" priority="573" stopIfTrue="1" operator="lessThan">
      <formula>-0.03</formula>
    </cfRule>
  </conditionalFormatting>
  <conditionalFormatting sqref="AL9:AN9">
    <cfRule type="cellIs" dxfId="3533" priority="564" operator="greaterThan">
      <formula>0.03</formula>
    </cfRule>
    <cfRule type="cellIs" dxfId="3532" priority="565" stopIfTrue="1" operator="lessThan">
      <formula>-0.03</formula>
    </cfRule>
  </conditionalFormatting>
  <conditionalFormatting sqref="AO9:AQ9">
    <cfRule type="cellIs" dxfId="3531" priority="562" operator="greaterThan">
      <formula>0.03</formula>
    </cfRule>
    <cfRule type="cellIs" dxfId="3530" priority="563" stopIfTrue="1" operator="lessThan">
      <formula>-0.03</formula>
    </cfRule>
  </conditionalFormatting>
  <conditionalFormatting sqref="AL4:AN4">
    <cfRule type="cellIs" dxfId="3529" priority="560" operator="greaterThan">
      <formula>0.03</formula>
    </cfRule>
    <cfRule type="cellIs" dxfId="3528" priority="561" stopIfTrue="1" operator="lessThan">
      <formula>-0.03</formula>
    </cfRule>
  </conditionalFormatting>
  <conditionalFormatting sqref="AF3:AW167 AF174:AW1048576 AF168:AF173 AJ168:AW173">
    <cfRule type="cellIs" dxfId="3527" priority="555" operator="greaterThan">
      <formula>0</formula>
    </cfRule>
    <cfRule type="cellIs" dxfId="3526" priority="556" operator="lessThan">
      <formula>0</formula>
    </cfRule>
    <cfRule type="cellIs" dxfId="3525" priority="557" operator="lessThan">
      <formula>0</formula>
    </cfRule>
  </conditionalFormatting>
  <conditionalFormatting sqref="AI8">
    <cfRule type="cellIs" dxfId="3524" priority="553" operator="greaterThan">
      <formula>0.03</formula>
    </cfRule>
    <cfRule type="cellIs" dxfId="3523" priority="554" stopIfTrue="1" operator="lessThan">
      <formula>-0.03</formula>
    </cfRule>
  </conditionalFormatting>
  <conditionalFormatting sqref="AI13">
    <cfRule type="cellIs" dxfId="3522" priority="551" operator="greaterThan">
      <formula>0.03</formula>
    </cfRule>
    <cfRule type="cellIs" dxfId="3521" priority="552" stopIfTrue="1" operator="lessThan">
      <formula>-0.03</formula>
    </cfRule>
  </conditionalFormatting>
  <conditionalFormatting sqref="AI13">
    <cfRule type="cellIs" dxfId="3520" priority="549" operator="greaterThan">
      <formula>0.03</formula>
    </cfRule>
    <cfRule type="cellIs" dxfId="3519" priority="550" stopIfTrue="1" operator="lessThan">
      <formula>-0.03</formula>
    </cfRule>
  </conditionalFormatting>
  <conditionalFormatting sqref="AI18">
    <cfRule type="cellIs" dxfId="3518" priority="547" operator="greaterThan">
      <formula>0.03</formula>
    </cfRule>
    <cfRule type="cellIs" dxfId="3517" priority="548" stopIfTrue="1" operator="lessThan">
      <formula>-0.03</formula>
    </cfRule>
  </conditionalFormatting>
  <conditionalFormatting sqref="AI18">
    <cfRule type="cellIs" dxfId="3516" priority="545" operator="greaterThan">
      <formula>0.03</formula>
    </cfRule>
    <cfRule type="cellIs" dxfId="3515" priority="546" stopIfTrue="1" operator="lessThan">
      <formula>-0.03</formula>
    </cfRule>
  </conditionalFormatting>
  <conditionalFormatting sqref="AI23">
    <cfRule type="cellIs" dxfId="3514" priority="543" operator="greaterThan">
      <formula>0.03</formula>
    </cfRule>
    <cfRule type="cellIs" dxfId="3513" priority="544" stopIfTrue="1" operator="lessThan">
      <formula>-0.03</formula>
    </cfRule>
  </conditionalFormatting>
  <conditionalFormatting sqref="AI23">
    <cfRule type="cellIs" dxfId="3512" priority="541" operator="greaterThan">
      <formula>0.03</formula>
    </cfRule>
    <cfRule type="cellIs" dxfId="3511" priority="542" stopIfTrue="1" operator="lessThan">
      <formula>-0.03</formula>
    </cfRule>
  </conditionalFormatting>
  <conditionalFormatting sqref="AI28">
    <cfRule type="cellIs" dxfId="3510" priority="539" operator="greaterThan">
      <formula>0.03</formula>
    </cfRule>
    <cfRule type="cellIs" dxfId="3509" priority="540" stopIfTrue="1" operator="lessThan">
      <formula>-0.03</formula>
    </cfRule>
  </conditionalFormatting>
  <conditionalFormatting sqref="AI28">
    <cfRule type="cellIs" dxfId="3508" priority="537" operator="greaterThan">
      <formula>0.03</formula>
    </cfRule>
    <cfRule type="cellIs" dxfId="3507" priority="538" stopIfTrue="1" operator="lessThan">
      <formula>-0.03</formula>
    </cfRule>
  </conditionalFormatting>
  <conditionalFormatting sqref="AI33">
    <cfRule type="cellIs" dxfId="3506" priority="535" operator="greaterThan">
      <formula>0.03</formula>
    </cfRule>
    <cfRule type="cellIs" dxfId="3505" priority="536" stopIfTrue="1" operator="lessThan">
      <formula>-0.03</formula>
    </cfRule>
  </conditionalFormatting>
  <conditionalFormatting sqref="AI33">
    <cfRule type="cellIs" dxfId="3504" priority="533" operator="greaterThan">
      <formula>0.03</formula>
    </cfRule>
    <cfRule type="cellIs" dxfId="3503" priority="534" stopIfTrue="1" operator="lessThan">
      <formula>-0.03</formula>
    </cfRule>
  </conditionalFormatting>
  <conditionalFormatting sqref="AI38">
    <cfRule type="cellIs" dxfId="3502" priority="531" operator="greaterThan">
      <formula>0.03</formula>
    </cfRule>
    <cfRule type="cellIs" dxfId="3501" priority="532" stopIfTrue="1" operator="lessThan">
      <formula>-0.03</formula>
    </cfRule>
  </conditionalFormatting>
  <conditionalFormatting sqref="AI38">
    <cfRule type="cellIs" dxfId="3500" priority="529" operator="greaterThan">
      <formula>0.03</formula>
    </cfRule>
    <cfRule type="cellIs" dxfId="3499" priority="530" stopIfTrue="1" operator="lessThan">
      <formula>-0.03</formula>
    </cfRule>
  </conditionalFormatting>
  <conditionalFormatting sqref="AI43">
    <cfRule type="cellIs" dxfId="3498" priority="527" operator="greaterThan">
      <formula>0.03</formula>
    </cfRule>
    <cfRule type="cellIs" dxfId="3497" priority="528" stopIfTrue="1" operator="lessThan">
      <formula>-0.03</formula>
    </cfRule>
  </conditionalFormatting>
  <conditionalFormatting sqref="AI43">
    <cfRule type="cellIs" dxfId="3496" priority="525" operator="greaterThan">
      <formula>0.03</formula>
    </cfRule>
    <cfRule type="cellIs" dxfId="3495" priority="526" stopIfTrue="1" operator="lessThan">
      <formula>-0.03</formula>
    </cfRule>
  </conditionalFormatting>
  <conditionalFormatting sqref="AI48">
    <cfRule type="cellIs" dxfId="3494" priority="523" operator="greaterThan">
      <formula>0.03</formula>
    </cfRule>
    <cfRule type="cellIs" dxfId="3493" priority="524" stopIfTrue="1" operator="lessThan">
      <formula>-0.03</formula>
    </cfRule>
  </conditionalFormatting>
  <conditionalFormatting sqref="AI48">
    <cfRule type="cellIs" dxfId="3492" priority="521" operator="greaterThan">
      <formula>0.03</formula>
    </cfRule>
    <cfRule type="cellIs" dxfId="3491" priority="522" stopIfTrue="1" operator="lessThan">
      <formula>-0.03</formula>
    </cfRule>
  </conditionalFormatting>
  <conditionalFormatting sqref="AI53">
    <cfRule type="cellIs" dxfId="3490" priority="519" operator="greaterThan">
      <formula>0.03</formula>
    </cfRule>
    <cfRule type="cellIs" dxfId="3489" priority="520" stopIfTrue="1" operator="lessThan">
      <formula>-0.03</formula>
    </cfRule>
  </conditionalFormatting>
  <conditionalFormatting sqref="AI53">
    <cfRule type="cellIs" dxfId="3488" priority="517" operator="greaterThan">
      <formula>0.03</formula>
    </cfRule>
    <cfRule type="cellIs" dxfId="3487" priority="518" stopIfTrue="1" operator="lessThan">
      <formula>-0.03</formula>
    </cfRule>
  </conditionalFormatting>
  <conditionalFormatting sqref="AI58">
    <cfRule type="cellIs" dxfId="3486" priority="515" operator="greaterThan">
      <formula>0.03</formula>
    </cfRule>
    <cfRule type="cellIs" dxfId="3485" priority="516" stopIfTrue="1" operator="lessThan">
      <formula>-0.03</formula>
    </cfRule>
  </conditionalFormatting>
  <conditionalFormatting sqref="AI58">
    <cfRule type="cellIs" dxfId="3484" priority="513" operator="greaterThan">
      <formula>0.03</formula>
    </cfRule>
    <cfRule type="cellIs" dxfId="3483" priority="514" stopIfTrue="1" operator="lessThan">
      <formula>-0.03</formula>
    </cfRule>
  </conditionalFormatting>
  <conditionalFormatting sqref="AI63">
    <cfRule type="cellIs" dxfId="3482" priority="511" operator="greaterThan">
      <formula>0.03</formula>
    </cfRule>
    <cfRule type="cellIs" dxfId="3481" priority="512" stopIfTrue="1" operator="lessThan">
      <formula>-0.03</formula>
    </cfRule>
  </conditionalFormatting>
  <conditionalFormatting sqref="AI63">
    <cfRule type="cellIs" dxfId="3480" priority="509" operator="greaterThan">
      <formula>0.03</formula>
    </cfRule>
    <cfRule type="cellIs" dxfId="3479" priority="510" stopIfTrue="1" operator="lessThan">
      <formula>-0.03</formula>
    </cfRule>
  </conditionalFormatting>
  <conditionalFormatting sqref="AI68">
    <cfRule type="cellIs" dxfId="3478" priority="507" operator="greaterThan">
      <formula>0.03</formula>
    </cfRule>
    <cfRule type="cellIs" dxfId="3477" priority="508" stopIfTrue="1" operator="lessThan">
      <formula>-0.03</formula>
    </cfRule>
  </conditionalFormatting>
  <conditionalFormatting sqref="AI68">
    <cfRule type="cellIs" dxfId="3476" priority="505" operator="greaterThan">
      <formula>0.03</formula>
    </cfRule>
    <cfRule type="cellIs" dxfId="3475" priority="506" stopIfTrue="1" operator="lessThan">
      <formula>-0.03</formula>
    </cfRule>
  </conditionalFormatting>
  <conditionalFormatting sqref="AI73">
    <cfRule type="cellIs" dxfId="3474" priority="503" operator="greaterThan">
      <formula>0.03</formula>
    </cfRule>
    <cfRule type="cellIs" dxfId="3473" priority="504" stopIfTrue="1" operator="lessThan">
      <formula>-0.03</formula>
    </cfRule>
  </conditionalFormatting>
  <conditionalFormatting sqref="AI73">
    <cfRule type="cellIs" dxfId="3472" priority="501" operator="greaterThan">
      <formula>0.03</formula>
    </cfRule>
    <cfRule type="cellIs" dxfId="3471" priority="502" stopIfTrue="1" operator="lessThan">
      <formula>-0.03</formula>
    </cfRule>
  </conditionalFormatting>
  <conditionalFormatting sqref="AI78">
    <cfRule type="cellIs" dxfId="3470" priority="499" operator="greaterThan">
      <formula>0.03</formula>
    </cfRule>
    <cfRule type="cellIs" dxfId="3469" priority="500" stopIfTrue="1" operator="lessThan">
      <formula>-0.03</formula>
    </cfRule>
  </conditionalFormatting>
  <conditionalFormatting sqref="AI78">
    <cfRule type="cellIs" dxfId="3468" priority="497" operator="greaterThan">
      <formula>0.03</formula>
    </cfRule>
    <cfRule type="cellIs" dxfId="3467" priority="498" stopIfTrue="1" operator="lessThan">
      <formula>-0.03</formula>
    </cfRule>
  </conditionalFormatting>
  <conditionalFormatting sqref="AI83">
    <cfRule type="cellIs" dxfId="3466" priority="495" operator="greaterThan">
      <formula>0.03</formula>
    </cfRule>
    <cfRule type="cellIs" dxfId="3465" priority="496" stopIfTrue="1" operator="lessThan">
      <formula>-0.03</formula>
    </cfRule>
  </conditionalFormatting>
  <conditionalFormatting sqref="AI83">
    <cfRule type="cellIs" dxfId="3464" priority="493" operator="greaterThan">
      <formula>0.03</formula>
    </cfRule>
    <cfRule type="cellIs" dxfId="3463" priority="494" stopIfTrue="1" operator="lessThan">
      <formula>-0.03</formula>
    </cfRule>
  </conditionalFormatting>
  <conditionalFormatting sqref="AI88">
    <cfRule type="cellIs" dxfId="3462" priority="491" operator="greaterThan">
      <formula>0.03</formula>
    </cfRule>
    <cfRule type="cellIs" dxfId="3461" priority="492" stopIfTrue="1" operator="lessThan">
      <formula>-0.03</formula>
    </cfRule>
  </conditionalFormatting>
  <conditionalFormatting sqref="AI88">
    <cfRule type="cellIs" dxfId="3460" priority="489" operator="greaterThan">
      <formula>0.03</formula>
    </cfRule>
    <cfRule type="cellIs" dxfId="3459" priority="490" stopIfTrue="1" operator="lessThan">
      <formula>-0.03</formula>
    </cfRule>
  </conditionalFormatting>
  <conditionalFormatting sqref="AI93">
    <cfRule type="cellIs" dxfId="3458" priority="487" operator="greaterThan">
      <formula>0.03</formula>
    </cfRule>
    <cfRule type="cellIs" dxfId="3457" priority="488" stopIfTrue="1" operator="lessThan">
      <formula>-0.03</formula>
    </cfRule>
  </conditionalFormatting>
  <conditionalFormatting sqref="AI93">
    <cfRule type="cellIs" dxfId="3456" priority="485" operator="greaterThan">
      <formula>0.03</formula>
    </cfRule>
    <cfRule type="cellIs" dxfId="3455" priority="486" stopIfTrue="1" operator="lessThan">
      <formula>-0.03</formula>
    </cfRule>
  </conditionalFormatting>
  <conditionalFormatting sqref="AI98">
    <cfRule type="cellIs" dxfId="3454" priority="483" operator="greaterThan">
      <formula>0.03</formula>
    </cfRule>
    <cfRule type="cellIs" dxfId="3453" priority="484" stopIfTrue="1" operator="lessThan">
      <formula>-0.03</formula>
    </cfRule>
  </conditionalFormatting>
  <conditionalFormatting sqref="AI98">
    <cfRule type="cellIs" dxfId="3452" priority="481" operator="greaterThan">
      <formula>0.03</formula>
    </cfRule>
    <cfRule type="cellIs" dxfId="3451" priority="482" stopIfTrue="1" operator="lessThan">
      <formula>-0.03</formula>
    </cfRule>
  </conditionalFormatting>
  <conditionalFormatting sqref="AI103">
    <cfRule type="cellIs" dxfId="3450" priority="479" operator="greaterThan">
      <formula>0.03</formula>
    </cfRule>
    <cfRule type="cellIs" dxfId="3449" priority="480" stopIfTrue="1" operator="lessThan">
      <formula>-0.03</formula>
    </cfRule>
  </conditionalFormatting>
  <conditionalFormatting sqref="AI103">
    <cfRule type="cellIs" dxfId="3448" priority="477" operator="greaterThan">
      <formula>0.03</formula>
    </cfRule>
    <cfRule type="cellIs" dxfId="3447" priority="478" stopIfTrue="1" operator="lessThan">
      <formula>-0.03</formula>
    </cfRule>
  </conditionalFormatting>
  <conditionalFormatting sqref="AI108">
    <cfRule type="cellIs" dxfId="3446" priority="475" operator="greaterThan">
      <formula>0.03</formula>
    </cfRule>
    <cfRule type="cellIs" dxfId="3445" priority="476" stopIfTrue="1" operator="lessThan">
      <formula>-0.03</formula>
    </cfRule>
  </conditionalFormatting>
  <conditionalFormatting sqref="AI108">
    <cfRule type="cellIs" dxfId="3444" priority="473" operator="greaterThan">
      <formula>0.03</formula>
    </cfRule>
    <cfRule type="cellIs" dxfId="3443" priority="474" stopIfTrue="1" operator="lessThan">
      <formula>-0.03</formula>
    </cfRule>
  </conditionalFormatting>
  <conditionalFormatting sqref="AI113">
    <cfRule type="cellIs" dxfId="3442" priority="471" operator="greaterThan">
      <formula>0.03</formula>
    </cfRule>
    <cfRule type="cellIs" dxfId="3441" priority="472" stopIfTrue="1" operator="lessThan">
      <formula>-0.03</formula>
    </cfRule>
  </conditionalFormatting>
  <conditionalFormatting sqref="AI113">
    <cfRule type="cellIs" dxfId="3440" priority="469" operator="greaterThan">
      <formula>0.03</formula>
    </cfRule>
    <cfRule type="cellIs" dxfId="3439" priority="470" stopIfTrue="1" operator="lessThan">
      <formula>-0.03</formula>
    </cfRule>
  </conditionalFormatting>
  <conditionalFormatting sqref="AI118">
    <cfRule type="cellIs" dxfId="3438" priority="467" operator="greaterThan">
      <formula>0.03</formula>
    </cfRule>
    <cfRule type="cellIs" dxfId="3437" priority="468" stopIfTrue="1" operator="lessThan">
      <formula>-0.03</formula>
    </cfRule>
  </conditionalFormatting>
  <conditionalFormatting sqref="AI118">
    <cfRule type="cellIs" dxfId="3436" priority="465" operator="greaterThan">
      <formula>0.03</formula>
    </cfRule>
    <cfRule type="cellIs" dxfId="3435" priority="466" stopIfTrue="1" operator="lessThan">
      <formula>-0.03</formula>
    </cfRule>
  </conditionalFormatting>
  <conditionalFormatting sqref="AI123">
    <cfRule type="cellIs" dxfId="3434" priority="463" operator="greaterThan">
      <formula>0.03</formula>
    </cfRule>
    <cfRule type="cellIs" dxfId="3433" priority="464" stopIfTrue="1" operator="lessThan">
      <formula>-0.03</formula>
    </cfRule>
  </conditionalFormatting>
  <conditionalFormatting sqref="AI123">
    <cfRule type="cellIs" dxfId="3432" priority="461" operator="greaterThan">
      <formula>0.03</formula>
    </cfRule>
    <cfRule type="cellIs" dxfId="3431" priority="462" stopIfTrue="1" operator="lessThan">
      <formula>-0.03</formula>
    </cfRule>
  </conditionalFormatting>
  <conditionalFormatting sqref="AI128">
    <cfRule type="cellIs" dxfId="3430" priority="459" operator="greaterThan">
      <formula>0.03</formula>
    </cfRule>
    <cfRule type="cellIs" dxfId="3429" priority="460" stopIfTrue="1" operator="lessThan">
      <formula>-0.03</formula>
    </cfRule>
  </conditionalFormatting>
  <conditionalFormatting sqref="AI128">
    <cfRule type="cellIs" dxfId="3428" priority="457" operator="greaterThan">
      <formula>0.03</formula>
    </cfRule>
    <cfRule type="cellIs" dxfId="3427" priority="458" stopIfTrue="1" operator="lessThan">
      <formula>-0.03</formula>
    </cfRule>
  </conditionalFormatting>
  <conditionalFormatting sqref="AO9">
    <cfRule type="cellIs" dxfId="3426" priority="455" operator="greaterThan">
      <formula>0.03</formula>
    </cfRule>
    <cfRule type="cellIs" dxfId="3425" priority="456" stopIfTrue="1" operator="lessThan">
      <formula>-0.03</formula>
    </cfRule>
  </conditionalFormatting>
  <conditionalFormatting sqref="AO14">
    <cfRule type="cellIs" dxfId="3424" priority="453" operator="greaterThan">
      <formula>0.03</formula>
    </cfRule>
    <cfRule type="cellIs" dxfId="3423" priority="454" stopIfTrue="1" operator="lessThan">
      <formula>-0.03</formula>
    </cfRule>
  </conditionalFormatting>
  <conditionalFormatting sqref="AO19">
    <cfRule type="cellIs" dxfId="3422" priority="451" operator="greaterThan">
      <formula>0.03</formula>
    </cfRule>
    <cfRule type="cellIs" dxfId="3421" priority="452" stopIfTrue="1" operator="lessThan">
      <formula>-0.03</formula>
    </cfRule>
  </conditionalFormatting>
  <conditionalFormatting sqref="AO24">
    <cfRule type="cellIs" dxfId="3420" priority="449" operator="greaterThan">
      <formula>0.03</formula>
    </cfRule>
    <cfRule type="cellIs" dxfId="3419" priority="450" stopIfTrue="1" operator="lessThan">
      <formula>-0.03</formula>
    </cfRule>
  </conditionalFormatting>
  <conditionalFormatting sqref="AO29">
    <cfRule type="cellIs" dxfId="3418" priority="447" operator="greaterThan">
      <formula>0.03</formula>
    </cfRule>
    <cfRule type="cellIs" dxfId="3417" priority="448" stopIfTrue="1" operator="lessThan">
      <formula>-0.03</formula>
    </cfRule>
  </conditionalFormatting>
  <conditionalFormatting sqref="AO34">
    <cfRule type="cellIs" dxfId="3416" priority="445" operator="greaterThan">
      <formula>0.03</formula>
    </cfRule>
    <cfRule type="cellIs" dxfId="3415" priority="446" stopIfTrue="1" operator="lessThan">
      <formula>-0.03</formula>
    </cfRule>
  </conditionalFormatting>
  <conditionalFormatting sqref="AO39">
    <cfRule type="cellIs" dxfId="3414" priority="443" operator="greaterThan">
      <formula>0.03</formula>
    </cfRule>
    <cfRule type="cellIs" dxfId="3413" priority="444" stopIfTrue="1" operator="lessThan">
      <formula>-0.03</formula>
    </cfRule>
  </conditionalFormatting>
  <conditionalFormatting sqref="AO44">
    <cfRule type="cellIs" dxfId="3412" priority="441" operator="greaterThan">
      <formula>0.03</formula>
    </cfRule>
    <cfRule type="cellIs" dxfId="3411" priority="442" stopIfTrue="1" operator="lessThan">
      <formula>-0.03</formula>
    </cfRule>
  </conditionalFormatting>
  <conditionalFormatting sqref="AO49">
    <cfRule type="cellIs" dxfId="3410" priority="439" operator="greaterThan">
      <formula>0.03</formula>
    </cfRule>
    <cfRule type="cellIs" dxfId="3409" priority="440" stopIfTrue="1" operator="lessThan">
      <formula>-0.03</formula>
    </cfRule>
  </conditionalFormatting>
  <conditionalFormatting sqref="AO54">
    <cfRule type="cellIs" dxfId="3408" priority="437" operator="greaterThan">
      <formula>0.03</formula>
    </cfRule>
    <cfRule type="cellIs" dxfId="3407" priority="438" stopIfTrue="1" operator="lessThan">
      <formula>-0.03</formula>
    </cfRule>
  </conditionalFormatting>
  <conditionalFormatting sqref="AO59">
    <cfRule type="cellIs" dxfId="3406" priority="435" operator="greaterThan">
      <formula>0.03</formula>
    </cfRule>
    <cfRule type="cellIs" dxfId="3405" priority="436" stopIfTrue="1" operator="lessThan">
      <formula>-0.03</formula>
    </cfRule>
  </conditionalFormatting>
  <conditionalFormatting sqref="AO64">
    <cfRule type="cellIs" dxfId="3404" priority="433" operator="greaterThan">
      <formula>0.03</formula>
    </cfRule>
    <cfRule type="cellIs" dxfId="3403" priority="434" stopIfTrue="1" operator="lessThan">
      <formula>-0.03</formula>
    </cfRule>
  </conditionalFormatting>
  <conditionalFormatting sqref="AO69">
    <cfRule type="cellIs" dxfId="3402" priority="431" operator="greaterThan">
      <formula>0.03</formula>
    </cfRule>
    <cfRule type="cellIs" dxfId="3401" priority="432" stopIfTrue="1" operator="lessThan">
      <formula>-0.03</formula>
    </cfRule>
  </conditionalFormatting>
  <conditionalFormatting sqref="AO74">
    <cfRule type="cellIs" dxfId="3400" priority="429" operator="greaterThan">
      <formula>0.03</formula>
    </cfRule>
    <cfRule type="cellIs" dxfId="3399" priority="430" stopIfTrue="1" operator="lessThan">
      <formula>-0.03</formula>
    </cfRule>
  </conditionalFormatting>
  <conditionalFormatting sqref="AO79">
    <cfRule type="cellIs" dxfId="3398" priority="427" operator="greaterThan">
      <formula>0.03</formula>
    </cfRule>
    <cfRule type="cellIs" dxfId="3397" priority="428" stopIfTrue="1" operator="lessThan">
      <formula>-0.03</formula>
    </cfRule>
  </conditionalFormatting>
  <conditionalFormatting sqref="AO84">
    <cfRule type="cellIs" dxfId="3396" priority="425" operator="greaterThan">
      <formula>0.03</formula>
    </cfRule>
    <cfRule type="cellIs" dxfId="3395" priority="426" stopIfTrue="1" operator="lessThan">
      <formula>-0.03</formula>
    </cfRule>
  </conditionalFormatting>
  <conditionalFormatting sqref="AO89">
    <cfRule type="cellIs" dxfId="3394" priority="423" operator="greaterThan">
      <formula>0.03</formula>
    </cfRule>
    <cfRule type="cellIs" dxfId="3393" priority="424" stopIfTrue="1" operator="lessThan">
      <formula>-0.03</formula>
    </cfRule>
  </conditionalFormatting>
  <conditionalFormatting sqref="AO94">
    <cfRule type="cellIs" dxfId="3392" priority="421" operator="greaterThan">
      <formula>0.03</formula>
    </cfRule>
    <cfRule type="cellIs" dxfId="3391" priority="422" stopIfTrue="1" operator="lessThan">
      <formula>-0.03</formula>
    </cfRule>
  </conditionalFormatting>
  <conditionalFormatting sqref="AO99">
    <cfRule type="cellIs" dxfId="3390" priority="419" operator="greaterThan">
      <formula>0.03</formula>
    </cfRule>
    <cfRule type="cellIs" dxfId="3389" priority="420" stopIfTrue="1" operator="lessThan">
      <formula>-0.03</formula>
    </cfRule>
  </conditionalFormatting>
  <conditionalFormatting sqref="AO104">
    <cfRule type="cellIs" dxfId="3388" priority="417" operator="greaterThan">
      <formula>0.03</formula>
    </cfRule>
    <cfRule type="cellIs" dxfId="3387" priority="418" stopIfTrue="1" operator="lessThan">
      <formula>-0.03</formula>
    </cfRule>
  </conditionalFormatting>
  <conditionalFormatting sqref="AO109">
    <cfRule type="cellIs" dxfId="3386" priority="415" operator="greaterThan">
      <formula>0.03</formula>
    </cfRule>
    <cfRule type="cellIs" dxfId="3385" priority="416" stopIfTrue="1" operator="lessThan">
      <formula>-0.03</formula>
    </cfRule>
  </conditionalFormatting>
  <conditionalFormatting sqref="AO114">
    <cfRule type="cellIs" dxfId="3384" priority="413" operator="greaterThan">
      <formula>0.03</formula>
    </cfRule>
    <cfRule type="cellIs" dxfId="3383" priority="414" stopIfTrue="1" operator="lessThan">
      <formula>-0.03</formula>
    </cfRule>
  </conditionalFormatting>
  <conditionalFormatting sqref="AO119">
    <cfRule type="cellIs" dxfId="3382" priority="411" operator="greaterThan">
      <formula>0.03</formula>
    </cfRule>
    <cfRule type="cellIs" dxfId="3381" priority="412" stopIfTrue="1" operator="lessThan">
      <formula>-0.03</formula>
    </cfRule>
  </conditionalFormatting>
  <conditionalFormatting sqref="AO124">
    <cfRule type="cellIs" dxfId="3380" priority="409" operator="greaterThan">
      <formula>0.03</formula>
    </cfRule>
    <cfRule type="cellIs" dxfId="3379" priority="410" stopIfTrue="1" operator="lessThan">
      <formula>-0.03</formula>
    </cfRule>
  </conditionalFormatting>
  <conditionalFormatting sqref="AO129">
    <cfRule type="cellIs" dxfId="3378" priority="407" operator="greaterThan">
      <formula>0.03</formula>
    </cfRule>
    <cfRule type="cellIs" dxfId="3377" priority="408" stopIfTrue="1" operator="lessThan">
      <formula>-0.03</formula>
    </cfRule>
  </conditionalFormatting>
  <conditionalFormatting sqref="AU8">
    <cfRule type="cellIs" dxfId="3376" priority="405" operator="greaterThan">
      <formula>0.03</formula>
    </cfRule>
    <cfRule type="cellIs" dxfId="3375" priority="406" stopIfTrue="1" operator="lessThan">
      <formula>-0.03</formula>
    </cfRule>
  </conditionalFormatting>
  <conditionalFormatting sqref="AU13">
    <cfRule type="cellIs" dxfId="3374" priority="403" operator="greaterThan">
      <formula>0.03</formula>
    </cfRule>
    <cfRule type="cellIs" dxfId="3373" priority="404" stopIfTrue="1" operator="lessThan">
      <formula>-0.03</formula>
    </cfRule>
  </conditionalFormatting>
  <conditionalFormatting sqref="AU18">
    <cfRule type="cellIs" dxfId="3372" priority="401" operator="greaterThan">
      <formula>0.03</formula>
    </cfRule>
    <cfRule type="cellIs" dxfId="3371" priority="402" stopIfTrue="1" operator="lessThan">
      <formula>-0.03</formula>
    </cfRule>
  </conditionalFormatting>
  <conditionalFormatting sqref="AU23">
    <cfRule type="cellIs" dxfId="3370" priority="399" operator="greaterThan">
      <formula>0.03</formula>
    </cfRule>
    <cfRule type="cellIs" dxfId="3369" priority="400" stopIfTrue="1" operator="lessThan">
      <formula>-0.03</formula>
    </cfRule>
  </conditionalFormatting>
  <conditionalFormatting sqref="AU28">
    <cfRule type="cellIs" dxfId="3368" priority="397" operator="greaterThan">
      <formula>0.03</formula>
    </cfRule>
    <cfRule type="cellIs" dxfId="3367" priority="398" stopIfTrue="1" operator="lessThan">
      <formula>-0.03</formula>
    </cfRule>
  </conditionalFormatting>
  <conditionalFormatting sqref="AU33">
    <cfRule type="cellIs" dxfId="3366" priority="395" operator="greaterThan">
      <formula>0.03</formula>
    </cfRule>
    <cfRule type="cellIs" dxfId="3365" priority="396" stopIfTrue="1" operator="lessThan">
      <formula>-0.03</formula>
    </cfRule>
  </conditionalFormatting>
  <conditionalFormatting sqref="AU38">
    <cfRule type="cellIs" dxfId="3364" priority="393" operator="greaterThan">
      <formula>0.03</formula>
    </cfRule>
    <cfRule type="cellIs" dxfId="3363" priority="394" stopIfTrue="1" operator="lessThan">
      <formula>-0.03</formula>
    </cfRule>
  </conditionalFormatting>
  <conditionalFormatting sqref="AU43">
    <cfRule type="cellIs" dxfId="3362" priority="391" operator="greaterThan">
      <formula>0.03</formula>
    </cfRule>
    <cfRule type="cellIs" dxfId="3361" priority="392" stopIfTrue="1" operator="lessThan">
      <formula>-0.03</formula>
    </cfRule>
  </conditionalFormatting>
  <conditionalFormatting sqref="AU48">
    <cfRule type="cellIs" dxfId="3360" priority="389" operator="greaterThan">
      <formula>0.03</formula>
    </cfRule>
    <cfRule type="cellIs" dxfId="3359" priority="390" stopIfTrue="1" operator="lessThan">
      <formula>-0.03</formula>
    </cfRule>
  </conditionalFormatting>
  <conditionalFormatting sqref="AU53">
    <cfRule type="cellIs" dxfId="3358" priority="387" operator="greaterThan">
      <formula>0.03</formula>
    </cfRule>
    <cfRule type="cellIs" dxfId="3357" priority="388" stopIfTrue="1" operator="lessThan">
      <formula>-0.03</formula>
    </cfRule>
  </conditionalFormatting>
  <conditionalFormatting sqref="AU58">
    <cfRule type="cellIs" dxfId="3356" priority="385" operator="greaterThan">
      <formula>0.03</formula>
    </cfRule>
    <cfRule type="cellIs" dxfId="3355" priority="386" stopIfTrue="1" operator="lessThan">
      <formula>-0.03</formula>
    </cfRule>
  </conditionalFormatting>
  <conditionalFormatting sqref="AU63">
    <cfRule type="cellIs" dxfId="3354" priority="383" operator="greaterThan">
      <formula>0.03</formula>
    </cfRule>
    <cfRule type="cellIs" dxfId="3353" priority="384" stopIfTrue="1" operator="lessThan">
      <formula>-0.03</formula>
    </cfRule>
  </conditionalFormatting>
  <conditionalFormatting sqref="AU68">
    <cfRule type="cellIs" dxfId="3352" priority="381" operator="greaterThan">
      <formula>0.03</formula>
    </cfRule>
    <cfRule type="cellIs" dxfId="3351" priority="382" stopIfTrue="1" operator="lessThan">
      <formula>-0.03</formula>
    </cfRule>
  </conditionalFormatting>
  <conditionalFormatting sqref="AU73">
    <cfRule type="cellIs" dxfId="3350" priority="379" operator="greaterThan">
      <formula>0.03</formula>
    </cfRule>
    <cfRule type="cellIs" dxfId="3349" priority="380" stopIfTrue="1" operator="lessThan">
      <formula>-0.03</formula>
    </cfRule>
  </conditionalFormatting>
  <conditionalFormatting sqref="AU78">
    <cfRule type="cellIs" dxfId="3348" priority="377" operator="greaterThan">
      <formula>0.03</formula>
    </cfRule>
    <cfRule type="cellIs" dxfId="3347" priority="378" stopIfTrue="1" operator="lessThan">
      <formula>-0.03</formula>
    </cfRule>
  </conditionalFormatting>
  <conditionalFormatting sqref="AU83">
    <cfRule type="cellIs" dxfId="3346" priority="375" operator="greaterThan">
      <formula>0.03</formula>
    </cfRule>
    <cfRule type="cellIs" dxfId="3345" priority="376" stopIfTrue="1" operator="lessThan">
      <formula>-0.03</formula>
    </cfRule>
  </conditionalFormatting>
  <conditionalFormatting sqref="AU88">
    <cfRule type="cellIs" dxfId="3344" priority="373" operator="greaterThan">
      <formula>0.03</formula>
    </cfRule>
    <cfRule type="cellIs" dxfId="3343" priority="374" stopIfTrue="1" operator="lessThan">
      <formula>-0.03</formula>
    </cfRule>
  </conditionalFormatting>
  <conditionalFormatting sqref="AU93">
    <cfRule type="cellIs" dxfId="3342" priority="371" operator="greaterThan">
      <formula>0.03</formula>
    </cfRule>
    <cfRule type="cellIs" dxfId="3341" priority="372" stopIfTrue="1" operator="lessThan">
      <formula>-0.03</formula>
    </cfRule>
  </conditionalFormatting>
  <conditionalFormatting sqref="AU98">
    <cfRule type="cellIs" dxfId="3340" priority="369" operator="greaterThan">
      <formula>0.03</formula>
    </cfRule>
    <cfRule type="cellIs" dxfId="3339" priority="370" stopIfTrue="1" operator="lessThan">
      <formula>-0.03</formula>
    </cfRule>
  </conditionalFormatting>
  <conditionalFormatting sqref="AU103">
    <cfRule type="cellIs" dxfId="3338" priority="367" operator="greaterThan">
      <formula>0.03</formula>
    </cfRule>
    <cfRule type="cellIs" dxfId="3337" priority="368" stopIfTrue="1" operator="lessThan">
      <formula>-0.03</formula>
    </cfRule>
  </conditionalFormatting>
  <conditionalFormatting sqref="AU108">
    <cfRule type="cellIs" dxfId="3336" priority="365" operator="greaterThan">
      <formula>0.03</formula>
    </cfRule>
    <cfRule type="cellIs" dxfId="3335" priority="366" stopIfTrue="1" operator="lessThan">
      <formula>-0.03</formula>
    </cfRule>
  </conditionalFormatting>
  <conditionalFormatting sqref="AU113">
    <cfRule type="cellIs" dxfId="3334" priority="363" operator="greaterThan">
      <formula>0.03</formula>
    </cfRule>
    <cfRule type="cellIs" dxfId="3333" priority="364" stopIfTrue="1" operator="lessThan">
      <formula>-0.03</formula>
    </cfRule>
  </conditionalFormatting>
  <conditionalFormatting sqref="AU118">
    <cfRule type="cellIs" dxfId="3332" priority="361" operator="greaterThan">
      <formula>0.03</formula>
    </cfRule>
    <cfRule type="cellIs" dxfId="3331" priority="362" stopIfTrue="1" operator="lessThan">
      <formula>-0.03</formula>
    </cfRule>
  </conditionalFormatting>
  <conditionalFormatting sqref="AU123">
    <cfRule type="cellIs" dxfId="3330" priority="359" operator="greaterThan">
      <formula>0.03</formula>
    </cfRule>
    <cfRule type="cellIs" dxfId="3329" priority="360" stopIfTrue="1" operator="lessThan">
      <formula>-0.03</formula>
    </cfRule>
  </conditionalFormatting>
  <conditionalFormatting sqref="AU128">
    <cfRule type="cellIs" dxfId="3328" priority="357" operator="greaterThan">
      <formula>0.03</formula>
    </cfRule>
    <cfRule type="cellIs" dxfId="3327" priority="358" stopIfTrue="1" operator="lessThan">
      <formula>-0.03</formula>
    </cfRule>
  </conditionalFormatting>
  <conditionalFormatting sqref="AG73">
    <cfRule type="cellIs" dxfId="3326" priority="355" operator="equal">
      <formula>0</formula>
    </cfRule>
    <cfRule type="cellIs" dxfId="3325" priority="356" operator="equal">
      <formula>0</formula>
    </cfRule>
  </conditionalFormatting>
  <conditionalFormatting sqref="AP9">
    <cfRule type="cellIs" dxfId="3324" priority="353" operator="greaterThan">
      <formula>0.03</formula>
    </cfRule>
    <cfRule type="cellIs" dxfId="3323" priority="354" stopIfTrue="1" operator="lessThan">
      <formula>-0.03</formula>
    </cfRule>
  </conditionalFormatting>
  <conditionalFormatting sqref="AP14">
    <cfRule type="cellIs" dxfId="3322" priority="351" operator="greaterThan">
      <formula>0.03</formula>
    </cfRule>
    <cfRule type="cellIs" dxfId="3321" priority="352" stopIfTrue="1" operator="lessThan">
      <formula>-0.03</formula>
    </cfRule>
  </conditionalFormatting>
  <conditionalFormatting sqref="AP19">
    <cfRule type="cellIs" dxfId="3320" priority="349" operator="greaterThan">
      <formula>0.03</formula>
    </cfRule>
    <cfRule type="cellIs" dxfId="3319" priority="350" stopIfTrue="1" operator="lessThan">
      <formula>-0.03</formula>
    </cfRule>
  </conditionalFormatting>
  <conditionalFormatting sqref="AP24">
    <cfRule type="cellIs" dxfId="3318" priority="347" operator="greaterThan">
      <formula>0.03</formula>
    </cfRule>
    <cfRule type="cellIs" dxfId="3317" priority="348" stopIfTrue="1" operator="lessThan">
      <formula>-0.03</formula>
    </cfRule>
  </conditionalFormatting>
  <conditionalFormatting sqref="AP29">
    <cfRule type="cellIs" dxfId="3316" priority="345" operator="greaterThan">
      <formula>0.03</formula>
    </cfRule>
    <cfRule type="cellIs" dxfId="3315" priority="346" stopIfTrue="1" operator="lessThan">
      <formula>-0.03</formula>
    </cfRule>
  </conditionalFormatting>
  <conditionalFormatting sqref="AP34">
    <cfRule type="cellIs" dxfId="3314" priority="343" operator="greaterThan">
      <formula>0.03</formula>
    </cfRule>
    <cfRule type="cellIs" dxfId="3313" priority="344" stopIfTrue="1" operator="lessThan">
      <formula>-0.03</formula>
    </cfRule>
  </conditionalFormatting>
  <conditionalFormatting sqref="AP39">
    <cfRule type="cellIs" dxfId="3312" priority="341" operator="greaterThan">
      <formula>0.03</formula>
    </cfRule>
    <cfRule type="cellIs" dxfId="3311" priority="342" stopIfTrue="1" operator="lessThan">
      <formula>-0.03</formula>
    </cfRule>
  </conditionalFormatting>
  <conditionalFormatting sqref="AP44">
    <cfRule type="cellIs" dxfId="3310" priority="339" operator="greaterThan">
      <formula>0.03</formula>
    </cfRule>
    <cfRule type="cellIs" dxfId="3309" priority="340" stopIfTrue="1" operator="lessThan">
      <formula>-0.03</formula>
    </cfRule>
  </conditionalFormatting>
  <conditionalFormatting sqref="AP49">
    <cfRule type="cellIs" dxfId="3308" priority="337" operator="greaterThan">
      <formula>0.03</formula>
    </cfRule>
    <cfRule type="cellIs" dxfId="3307" priority="338" stopIfTrue="1" operator="lessThan">
      <formula>-0.03</formula>
    </cfRule>
  </conditionalFormatting>
  <conditionalFormatting sqref="AP54">
    <cfRule type="cellIs" dxfId="3306" priority="335" operator="greaterThan">
      <formula>0.03</formula>
    </cfRule>
    <cfRule type="cellIs" dxfId="3305" priority="336" stopIfTrue="1" operator="lessThan">
      <formula>-0.03</formula>
    </cfRule>
  </conditionalFormatting>
  <conditionalFormatting sqref="AP59">
    <cfRule type="cellIs" dxfId="3304" priority="333" operator="greaterThan">
      <formula>0.03</formula>
    </cfRule>
    <cfRule type="cellIs" dxfId="3303" priority="334" stopIfTrue="1" operator="lessThan">
      <formula>-0.03</formula>
    </cfRule>
  </conditionalFormatting>
  <conditionalFormatting sqref="AP64">
    <cfRule type="cellIs" dxfId="3302" priority="331" operator="greaterThan">
      <formula>0.03</formula>
    </cfRule>
    <cfRule type="cellIs" dxfId="3301" priority="332" stopIfTrue="1" operator="lessThan">
      <formula>-0.03</formula>
    </cfRule>
  </conditionalFormatting>
  <conditionalFormatting sqref="AP69">
    <cfRule type="cellIs" dxfId="3300" priority="329" operator="greaterThan">
      <formula>0.03</formula>
    </cfRule>
    <cfRule type="cellIs" dxfId="3299" priority="330" stopIfTrue="1" operator="lessThan">
      <formula>-0.03</formula>
    </cfRule>
  </conditionalFormatting>
  <conditionalFormatting sqref="AP74">
    <cfRule type="cellIs" dxfId="3298" priority="327" operator="greaterThan">
      <formula>0.03</formula>
    </cfRule>
    <cfRule type="cellIs" dxfId="3297" priority="328" stopIfTrue="1" operator="lessThan">
      <formula>-0.03</formula>
    </cfRule>
  </conditionalFormatting>
  <conditionalFormatting sqref="AP79">
    <cfRule type="cellIs" dxfId="3296" priority="325" operator="greaterThan">
      <formula>0.03</formula>
    </cfRule>
    <cfRule type="cellIs" dxfId="3295" priority="326" stopIfTrue="1" operator="lessThan">
      <formula>-0.03</formula>
    </cfRule>
  </conditionalFormatting>
  <conditionalFormatting sqref="AP84">
    <cfRule type="cellIs" dxfId="3294" priority="323" operator="greaterThan">
      <formula>0.03</formula>
    </cfRule>
    <cfRule type="cellIs" dxfId="3293" priority="324" stopIfTrue="1" operator="lessThan">
      <formula>-0.03</formula>
    </cfRule>
  </conditionalFormatting>
  <conditionalFormatting sqref="AP89">
    <cfRule type="cellIs" dxfId="3292" priority="321" operator="greaterThan">
      <formula>0.03</formula>
    </cfRule>
    <cfRule type="cellIs" dxfId="3291" priority="322" stopIfTrue="1" operator="lessThan">
      <formula>-0.03</formula>
    </cfRule>
  </conditionalFormatting>
  <conditionalFormatting sqref="AP94">
    <cfRule type="cellIs" dxfId="3290" priority="319" operator="greaterThan">
      <formula>0.03</formula>
    </cfRule>
    <cfRule type="cellIs" dxfId="3289" priority="320" stopIfTrue="1" operator="lessThan">
      <formula>-0.03</formula>
    </cfRule>
  </conditionalFormatting>
  <conditionalFormatting sqref="AP99">
    <cfRule type="cellIs" dxfId="3288" priority="317" operator="greaterThan">
      <formula>0.03</formula>
    </cfRule>
    <cfRule type="cellIs" dxfId="3287" priority="318" stopIfTrue="1" operator="lessThan">
      <formula>-0.03</formula>
    </cfRule>
  </conditionalFormatting>
  <conditionalFormatting sqref="AP104">
    <cfRule type="cellIs" dxfId="3286" priority="315" operator="greaterThan">
      <formula>0.03</formula>
    </cfRule>
    <cfRule type="cellIs" dxfId="3285" priority="316" stopIfTrue="1" operator="lessThan">
      <formula>-0.03</formula>
    </cfRule>
  </conditionalFormatting>
  <conditionalFormatting sqref="AP109">
    <cfRule type="cellIs" dxfId="3284" priority="313" operator="greaterThan">
      <formula>0.03</formula>
    </cfRule>
    <cfRule type="cellIs" dxfId="3283" priority="314" stopIfTrue="1" operator="lessThan">
      <formula>-0.03</formula>
    </cfRule>
  </conditionalFormatting>
  <conditionalFormatting sqref="AP114">
    <cfRule type="cellIs" dxfId="3282" priority="311" operator="greaterThan">
      <formula>0.03</formula>
    </cfRule>
    <cfRule type="cellIs" dxfId="3281" priority="312" stopIfTrue="1" operator="lessThan">
      <formula>-0.03</formula>
    </cfRule>
  </conditionalFormatting>
  <conditionalFormatting sqref="AP119">
    <cfRule type="cellIs" dxfId="3280" priority="309" operator="greaterThan">
      <formula>0.03</formula>
    </cfRule>
    <cfRule type="cellIs" dxfId="3279" priority="310" stopIfTrue="1" operator="lessThan">
      <formula>-0.03</formula>
    </cfRule>
  </conditionalFormatting>
  <conditionalFormatting sqref="AP124">
    <cfRule type="cellIs" dxfId="3278" priority="307" operator="greaterThan">
      <formula>0.03</formula>
    </cfRule>
    <cfRule type="cellIs" dxfId="3277" priority="308" stopIfTrue="1" operator="lessThan">
      <formula>-0.03</formula>
    </cfRule>
  </conditionalFormatting>
  <conditionalFormatting sqref="AP129">
    <cfRule type="cellIs" dxfId="3276" priority="305" operator="greaterThan">
      <formula>0.03</formula>
    </cfRule>
    <cfRule type="cellIs" dxfId="3275" priority="306" stopIfTrue="1" operator="lessThan">
      <formula>-0.03</formula>
    </cfRule>
  </conditionalFormatting>
  <conditionalFormatting sqref="AI8:AK8">
    <cfRule type="cellIs" dxfId="3274" priority="303" operator="greaterThan">
      <formula>0.03</formula>
    </cfRule>
    <cfRule type="cellIs" dxfId="3273" priority="304" stopIfTrue="1" operator="lessThan">
      <formula>-0.03</formula>
    </cfRule>
  </conditionalFormatting>
  <conditionalFormatting sqref="AF8:AH8">
    <cfRule type="cellIs" dxfId="3272" priority="301" operator="greaterThan">
      <formula>0.03</formula>
    </cfRule>
    <cfRule type="cellIs" dxfId="3271" priority="302" stopIfTrue="1" operator="lessThan">
      <formula>-0.03</formula>
    </cfRule>
  </conditionalFormatting>
  <conditionalFormatting sqref="AI13:AK13">
    <cfRule type="cellIs" dxfId="3270" priority="299" operator="greaterThan">
      <formula>0.03</formula>
    </cfRule>
    <cfRule type="cellIs" dxfId="3269" priority="300" stopIfTrue="1" operator="lessThan">
      <formula>-0.03</formula>
    </cfRule>
  </conditionalFormatting>
  <conditionalFormatting sqref="AF13:AH13">
    <cfRule type="cellIs" dxfId="3268" priority="297" operator="greaterThan">
      <formula>0.03</formula>
    </cfRule>
    <cfRule type="cellIs" dxfId="3267" priority="298" stopIfTrue="1" operator="lessThan">
      <formula>-0.03</formula>
    </cfRule>
  </conditionalFormatting>
  <conditionalFormatting sqref="AI18:AK18">
    <cfRule type="cellIs" dxfId="3266" priority="295" operator="greaterThan">
      <formula>0.03</formula>
    </cfRule>
    <cfRule type="cellIs" dxfId="3265" priority="296" stopIfTrue="1" operator="lessThan">
      <formula>-0.03</formula>
    </cfRule>
  </conditionalFormatting>
  <conditionalFormatting sqref="AF18:AH18">
    <cfRule type="cellIs" dxfId="3264" priority="293" operator="greaterThan">
      <formula>0.03</formula>
    </cfRule>
    <cfRule type="cellIs" dxfId="3263" priority="294" stopIfTrue="1" operator="lessThan">
      <formula>-0.03</formula>
    </cfRule>
  </conditionalFormatting>
  <conditionalFormatting sqref="AI23:AK23">
    <cfRule type="cellIs" dxfId="3262" priority="291" operator="greaterThan">
      <formula>0.03</formula>
    </cfRule>
    <cfRule type="cellIs" dxfId="3261" priority="292" stopIfTrue="1" operator="lessThan">
      <formula>-0.03</formula>
    </cfRule>
  </conditionalFormatting>
  <conditionalFormatting sqref="AF23:AH23">
    <cfRule type="cellIs" dxfId="3260" priority="289" operator="greaterThan">
      <formula>0.03</formula>
    </cfRule>
    <cfRule type="cellIs" dxfId="3259" priority="290" stopIfTrue="1" operator="lessThan">
      <formula>-0.03</formula>
    </cfRule>
  </conditionalFormatting>
  <conditionalFormatting sqref="AI28:AK28">
    <cfRule type="cellIs" dxfId="3258" priority="287" operator="greaterThan">
      <formula>0.03</formula>
    </cfRule>
    <cfRule type="cellIs" dxfId="3257" priority="288" stopIfTrue="1" operator="lessThan">
      <formula>-0.03</formula>
    </cfRule>
  </conditionalFormatting>
  <conditionalFormatting sqref="AF28:AH28">
    <cfRule type="cellIs" dxfId="3256" priority="285" operator="greaterThan">
      <formula>0.03</formula>
    </cfRule>
    <cfRule type="cellIs" dxfId="3255" priority="286" stopIfTrue="1" operator="lessThan">
      <formula>-0.03</formula>
    </cfRule>
  </conditionalFormatting>
  <conditionalFormatting sqref="AI33:AK33">
    <cfRule type="cellIs" dxfId="3254" priority="283" operator="greaterThan">
      <formula>0.03</formula>
    </cfRule>
    <cfRule type="cellIs" dxfId="3253" priority="284" stopIfTrue="1" operator="lessThan">
      <formula>-0.03</formula>
    </cfRule>
  </conditionalFormatting>
  <conditionalFormatting sqref="AF33:AH33">
    <cfRule type="cellIs" dxfId="3252" priority="281" operator="greaterThan">
      <formula>0.03</formula>
    </cfRule>
    <cfRule type="cellIs" dxfId="3251" priority="282" stopIfTrue="1" operator="lessThan">
      <formula>-0.03</formula>
    </cfRule>
  </conditionalFormatting>
  <conditionalFormatting sqref="AI38:AK38">
    <cfRule type="cellIs" dxfId="3250" priority="279" operator="greaterThan">
      <formula>0.03</formula>
    </cfRule>
    <cfRule type="cellIs" dxfId="3249" priority="280" stopIfTrue="1" operator="lessThan">
      <formula>-0.03</formula>
    </cfRule>
  </conditionalFormatting>
  <conditionalFormatting sqref="AF38:AH38">
    <cfRule type="cellIs" dxfId="3248" priority="277" operator="greaterThan">
      <formula>0.03</formula>
    </cfRule>
    <cfRule type="cellIs" dxfId="3247" priority="278" stopIfTrue="1" operator="lessThan">
      <formula>-0.03</formula>
    </cfRule>
  </conditionalFormatting>
  <conditionalFormatting sqref="AI43:AK43">
    <cfRule type="cellIs" dxfId="3246" priority="275" operator="greaterThan">
      <formula>0.03</formula>
    </cfRule>
    <cfRule type="cellIs" dxfId="3245" priority="276" stopIfTrue="1" operator="lessThan">
      <formula>-0.03</formula>
    </cfRule>
  </conditionalFormatting>
  <conditionalFormatting sqref="AF43:AH43">
    <cfRule type="cellIs" dxfId="3244" priority="273" operator="greaterThan">
      <formula>0.03</formula>
    </cfRule>
    <cfRule type="cellIs" dxfId="3243" priority="274" stopIfTrue="1" operator="lessThan">
      <formula>-0.03</formula>
    </cfRule>
  </conditionalFormatting>
  <conditionalFormatting sqref="AI48:AK48">
    <cfRule type="cellIs" dxfId="3242" priority="271" operator="greaterThan">
      <formula>0.03</formula>
    </cfRule>
    <cfRule type="cellIs" dxfId="3241" priority="272" stopIfTrue="1" operator="lessThan">
      <formula>-0.03</formula>
    </cfRule>
  </conditionalFormatting>
  <conditionalFormatting sqref="AF48:AH48">
    <cfRule type="cellIs" dxfId="3240" priority="269" operator="greaterThan">
      <formula>0.03</formula>
    </cfRule>
    <cfRule type="cellIs" dxfId="3239" priority="270" stopIfTrue="1" operator="lessThan">
      <formula>-0.03</formula>
    </cfRule>
  </conditionalFormatting>
  <conditionalFormatting sqref="AI53:AK53">
    <cfRule type="cellIs" dxfId="3238" priority="267" operator="greaterThan">
      <formula>0.03</formula>
    </cfRule>
    <cfRule type="cellIs" dxfId="3237" priority="268" stopIfTrue="1" operator="lessThan">
      <formula>-0.03</formula>
    </cfRule>
  </conditionalFormatting>
  <conditionalFormatting sqref="AF53:AH53">
    <cfRule type="cellIs" dxfId="3236" priority="265" operator="greaterThan">
      <formula>0.03</formula>
    </cfRule>
    <cfRule type="cellIs" dxfId="3235" priority="266" stopIfTrue="1" operator="lessThan">
      <formula>-0.03</formula>
    </cfRule>
  </conditionalFormatting>
  <conditionalFormatting sqref="AI58:AK58">
    <cfRule type="cellIs" dxfId="3234" priority="263" operator="greaterThan">
      <formula>0.03</formula>
    </cfRule>
    <cfRule type="cellIs" dxfId="3233" priority="264" stopIfTrue="1" operator="lessThan">
      <formula>-0.03</formula>
    </cfRule>
  </conditionalFormatting>
  <conditionalFormatting sqref="AF58:AH58">
    <cfRule type="cellIs" dxfId="3232" priority="261" operator="greaterThan">
      <formula>0.03</formula>
    </cfRule>
    <cfRule type="cellIs" dxfId="3231" priority="262" stopIfTrue="1" operator="lessThan">
      <formula>-0.03</formula>
    </cfRule>
  </conditionalFormatting>
  <conditionalFormatting sqref="AI63:AK63">
    <cfRule type="cellIs" dxfId="3230" priority="259" operator="greaterThan">
      <formula>0.03</formula>
    </cfRule>
    <cfRule type="cellIs" dxfId="3229" priority="260" stopIfTrue="1" operator="lessThan">
      <formula>-0.03</formula>
    </cfRule>
  </conditionalFormatting>
  <conditionalFormatting sqref="AF63:AH63">
    <cfRule type="cellIs" dxfId="3228" priority="257" operator="greaterThan">
      <formula>0.03</formula>
    </cfRule>
    <cfRule type="cellIs" dxfId="3227" priority="258" stopIfTrue="1" operator="lessThan">
      <formula>-0.03</formula>
    </cfRule>
  </conditionalFormatting>
  <conditionalFormatting sqref="AI68:AK68">
    <cfRule type="cellIs" dxfId="3226" priority="255" operator="greaterThan">
      <formula>0.03</formula>
    </cfRule>
    <cfRule type="cellIs" dxfId="3225" priority="256" stopIfTrue="1" operator="lessThan">
      <formula>-0.03</formula>
    </cfRule>
  </conditionalFormatting>
  <conditionalFormatting sqref="AF68:AH68">
    <cfRule type="cellIs" dxfId="3224" priority="253" operator="greaterThan">
      <formula>0.03</formula>
    </cfRule>
    <cfRule type="cellIs" dxfId="3223" priority="254" stopIfTrue="1" operator="lessThan">
      <formula>-0.03</formula>
    </cfRule>
  </conditionalFormatting>
  <conditionalFormatting sqref="AI73:AK73">
    <cfRule type="cellIs" dxfId="3222" priority="251" operator="greaterThan">
      <formula>0.03</formula>
    </cfRule>
    <cfRule type="cellIs" dxfId="3221" priority="252" stopIfTrue="1" operator="lessThan">
      <formula>-0.03</formula>
    </cfRule>
  </conditionalFormatting>
  <conditionalFormatting sqref="AF73:AH73">
    <cfRule type="cellIs" dxfId="3220" priority="249" operator="greaterThan">
      <formula>0.03</formula>
    </cfRule>
    <cfRule type="cellIs" dxfId="3219" priority="250" stopIfTrue="1" operator="lessThan">
      <formula>-0.03</formula>
    </cfRule>
  </conditionalFormatting>
  <conditionalFormatting sqref="AI78:AK78">
    <cfRule type="cellIs" dxfId="3218" priority="247" operator="greaterThan">
      <formula>0.03</formula>
    </cfRule>
    <cfRule type="cellIs" dxfId="3217" priority="248" stopIfTrue="1" operator="lessThan">
      <formula>-0.03</formula>
    </cfRule>
  </conditionalFormatting>
  <conditionalFormatting sqref="AF78:AH78">
    <cfRule type="cellIs" dxfId="3216" priority="245" operator="greaterThan">
      <formula>0.03</formula>
    </cfRule>
    <cfRule type="cellIs" dxfId="3215" priority="246" stopIfTrue="1" operator="lessThan">
      <formula>-0.03</formula>
    </cfRule>
  </conditionalFormatting>
  <conditionalFormatting sqref="AI83:AK83">
    <cfRule type="cellIs" dxfId="3214" priority="243" operator="greaterThan">
      <formula>0.03</formula>
    </cfRule>
    <cfRule type="cellIs" dxfId="3213" priority="244" stopIfTrue="1" operator="lessThan">
      <formula>-0.03</formula>
    </cfRule>
  </conditionalFormatting>
  <conditionalFormatting sqref="AF83:AH83">
    <cfRule type="cellIs" dxfId="3212" priority="241" operator="greaterThan">
      <formula>0.03</formula>
    </cfRule>
    <cfRule type="cellIs" dxfId="3211" priority="242" stopIfTrue="1" operator="lessThan">
      <formula>-0.03</formula>
    </cfRule>
  </conditionalFormatting>
  <conditionalFormatting sqref="AI88:AK88">
    <cfRule type="cellIs" dxfId="3210" priority="239" operator="greaterThan">
      <formula>0.03</formula>
    </cfRule>
    <cfRule type="cellIs" dxfId="3209" priority="240" stopIfTrue="1" operator="lessThan">
      <formula>-0.03</formula>
    </cfRule>
  </conditionalFormatting>
  <conditionalFormatting sqref="AF88:AH88">
    <cfRule type="cellIs" dxfId="3208" priority="237" operator="greaterThan">
      <formula>0.03</formula>
    </cfRule>
    <cfRule type="cellIs" dxfId="3207" priority="238" stopIfTrue="1" operator="lessThan">
      <formula>-0.03</formula>
    </cfRule>
  </conditionalFormatting>
  <conditionalFormatting sqref="AI93:AK93">
    <cfRule type="cellIs" dxfId="3206" priority="235" operator="greaterThan">
      <formula>0.03</formula>
    </cfRule>
    <cfRule type="cellIs" dxfId="3205" priority="236" stopIfTrue="1" operator="lessThan">
      <formula>-0.03</formula>
    </cfRule>
  </conditionalFormatting>
  <conditionalFormatting sqref="AF93:AH93">
    <cfRule type="cellIs" dxfId="3204" priority="233" operator="greaterThan">
      <formula>0.03</formula>
    </cfRule>
    <cfRule type="cellIs" dxfId="3203" priority="234" stopIfTrue="1" operator="lessThan">
      <formula>-0.03</formula>
    </cfRule>
  </conditionalFormatting>
  <conditionalFormatting sqref="AI98:AK98">
    <cfRule type="cellIs" dxfId="3202" priority="231" operator="greaterThan">
      <formula>0.03</formula>
    </cfRule>
    <cfRule type="cellIs" dxfId="3201" priority="232" stopIfTrue="1" operator="lessThan">
      <formula>-0.03</formula>
    </cfRule>
  </conditionalFormatting>
  <conditionalFormatting sqref="AF98:AH98">
    <cfRule type="cellIs" dxfId="3200" priority="229" operator="greaterThan">
      <formula>0.03</formula>
    </cfRule>
    <cfRule type="cellIs" dxfId="3199" priority="230" stopIfTrue="1" operator="lessThan">
      <formula>-0.03</formula>
    </cfRule>
  </conditionalFormatting>
  <conditionalFormatting sqref="AI103:AK103">
    <cfRule type="cellIs" dxfId="3198" priority="227" operator="greaterThan">
      <formula>0.03</formula>
    </cfRule>
    <cfRule type="cellIs" dxfId="3197" priority="228" stopIfTrue="1" operator="lessThan">
      <formula>-0.03</formula>
    </cfRule>
  </conditionalFormatting>
  <conditionalFormatting sqref="AF103:AH103">
    <cfRule type="cellIs" dxfId="3196" priority="225" operator="greaterThan">
      <formula>0.03</formula>
    </cfRule>
    <cfRule type="cellIs" dxfId="3195" priority="226" stopIfTrue="1" operator="lessThan">
      <formula>-0.03</formula>
    </cfRule>
  </conditionalFormatting>
  <conditionalFormatting sqref="AI108:AK108">
    <cfRule type="cellIs" dxfId="3194" priority="223" operator="greaterThan">
      <formula>0.03</formula>
    </cfRule>
    <cfRule type="cellIs" dxfId="3193" priority="224" stopIfTrue="1" operator="lessThan">
      <formula>-0.03</formula>
    </cfRule>
  </conditionalFormatting>
  <conditionalFormatting sqref="AF108:AH108">
    <cfRule type="cellIs" dxfId="3192" priority="221" operator="greaterThan">
      <formula>0.03</formula>
    </cfRule>
    <cfRule type="cellIs" dxfId="3191" priority="222" stopIfTrue="1" operator="lessThan">
      <formula>-0.03</formula>
    </cfRule>
  </conditionalFormatting>
  <conditionalFormatting sqref="AI113:AK113">
    <cfRule type="cellIs" dxfId="3190" priority="219" operator="greaterThan">
      <formula>0.03</formula>
    </cfRule>
    <cfRule type="cellIs" dxfId="3189" priority="220" stopIfTrue="1" operator="lessThan">
      <formula>-0.03</formula>
    </cfRule>
  </conditionalFormatting>
  <conditionalFormatting sqref="AF113:AH113">
    <cfRule type="cellIs" dxfId="3188" priority="217" operator="greaterThan">
      <formula>0.03</formula>
    </cfRule>
    <cfRule type="cellIs" dxfId="3187" priority="218" stopIfTrue="1" operator="lessThan">
      <formula>-0.03</formula>
    </cfRule>
  </conditionalFormatting>
  <conditionalFormatting sqref="AI118:AK118">
    <cfRule type="cellIs" dxfId="3186" priority="215" operator="greaterThan">
      <formula>0.03</formula>
    </cfRule>
    <cfRule type="cellIs" dxfId="3185" priority="216" stopIfTrue="1" operator="lessThan">
      <formula>-0.03</formula>
    </cfRule>
  </conditionalFormatting>
  <conditionalFormatting sqref="AF118:AH118">
    <cfRule type="cellIs" dxfId="3184" priority="213" operator="greaterThan">
      <formula>0.03</formula>
    </cfRule>
    <cfRule type="cellIs" dxfId="3183" priority="214" stopIfTrue="1" operator="lessThan">
      <formula>-0.03</formula>
    </cfRule>
  </conditionalFormatting>
  <conditionalFormatting sqref="AI123:AK123">
    <cfRule type="cellIs" dxfId="3182" priority="211" operator="greaterThan">
      <formula>0.03</formula>
    </cfRule>
    <cfRule type="cellIs" dxfId="3181" priority="212" stopIfTrue="1" operator="lessThan">
      <formula>-0.03</formula>
    </cfRule>
  </conditionalFormatting>
  <conditionalFormatting sqref="AF123:AH123">
    <cfRule type="cellIs" dxfId="3180" priority="209" operator="greaterThan">
      <formula>0.03</formula>
    </cfRule>
    <cfRule type="cellIs" dxfId="3179" priority="210" stopIfTrue="1" operator="lessThan">
      <formula>-0.03</formula>
    </cfRule>
  </conditionalFormatting>
  <conditionalFormatting sqref="AI128:AK128">
    <cfRule type="cellIs" dxfId="3178" priority="207" operator="greaterThan">
      <formula>0.03</formula>
    </cfRule>
    <cfRule type="cellIs" dxfId="3177" priority="208" stopIfTrue="1" operator="lessThan">
      <formula>-0.03</formula>
    </cfRule>
  </conditionalFormatting>
  <conditionalFormatting sqref="AF128:AH128">
    <cfRule type="cellIs" dxfId="3176" priority="205" operator="greaterThan">
      <formula>0.03</formula>
    </cfRule>
    <cfRule type="cellIs" dxfId="3175" priority="206" stopIfTrue="1" operator="lessThan">
      <formula>-0.03</formula>
    </cfRule>
  </conditionalFormatting>
  <conditionalFormatting sqref="AO9:AQ9">
    <cfRule type="cellIs" dxfId="3174" priority="201" operator="greaterThan">
      <formula>0.03</formula>
    </cfRule>
    <cfRule type="cellIs" dxfId="3173" priority="202" stopIfTrue="1" operator="lessThan">
      <formula>-0.03</formula>
    </cfRule>
  </conditionalFormatting>
  <conditionalFormatting sqref="AL9:AN9">
    <cfRule type="cellIs" dxfId="3172" priority="203" operator="greaterThan">
      <formula>0.03</formula>
    </cfRule>
    <cfRule type="cellIs" dxfId="3171" priority="204" stopIfTrue="1" operator="lessThan">
      <formula>-0.03</formula>
    </cfRule>
  </conditionalFormatting>
  <conditionalFormatting sqref="AO14:AQ14">
    <cfRule type="cellIs" dxfId="3170" priority="197" operator="greaterThan">
      <formula>0.03</formula>
    </cfRule>
    <cfRule type="cellIs" dxfId="3169" priority="198" stopIfTrue="1" operator="lessThan">
      <formula>-0.03</formula>
    </cfRule>
  </conditionalFormatting>
  <conditionalFormatting sqref="AL14:AN14">
    <cfRule type="cellIs" dxfId="3168" priority="199" operator="greaterThan">
      <formula>0.03</formula>
    </cfRule>
    <cfRule type="cellIs" dxfId="3167" priority="200" stopIfTrue="1" operator="lessThan">
      <formula>-0.03</formula>
    </cfRule>
  </conditionalFormatting>
  <conditionalFormatting sqref="AO19:AQ19">
    <cfRule type="cellIs" dxfId="3166" priority="193" operator="greaterThan">
      <formula>0.03</formula>
    </cfRule>
    <cfRule type="cellIs" dxfId="3165" priority="194" stopIfTrue="1" operator="lessThan">
      <formula>-0.03</formula>
    </cfRule>
  </conditionalFormatting>
  <conditionalFormatting sqref="AL19:AN19">
    <cfRule type="cellIs" dxfId="3164" priority="195" operator="greaterThan">
      <formula>0.03</formula>
    </cfRule>
    <cfRule type="cellIs" dxfId="3163" priority="196" stopIfTrue="1" operator="lessThan">
      <formula>-0.03</formula>
    </cfRule>
  </conditionalFormatting>
  <conditionalFormatting sqref="AO24:AQ24">
    <cfRule type="cellIs" dxfId="3162" priority="189" operator="greaterThan">
      <formula>0.03</formula>
    </cfRule>
    <cfRule type="cellIs" dxfId="3161" priority="190" stopIfTrue="1" operator="lessThan">
      <formula>-0.03</formula>
    </cfRule>
  </conditionalFormatting>
  <conditionalFormatting sqref="AL24:AN24">
    <cfRule type="cellIs" dxfId="3160" priority="191" operator="greaterThan">
      <formula>0.03</formula>
    </cfRule>
    <cfRule type="cellIs" dxfId="3159" priority="192" stopIfTrue="1" operator="lessThan">
      <formula>-0.03</formula>
    </cfRule>
  </conditionalFormatting>
  <conditionalFormatting sqref="AO29:AQ29">
    <cfRule type="cellIs" dxfId="3158" priority="185" operator="greaterThan">
      <formula>0.03</formula>
    </cfRule>
    <cfRule type="cellIs" dxfId="3157" priority="186" stopIfTrue="1" operator="lessThan">
      <formula>-0.03</formula>
    </cfRule>
  </conditionalFormatting>
  <conditionalFormatting sqref="AL29:AN29">
    <cfRule type="cellIs" dxfId="3156" priority="187" operator="greaterThan">
      <formula>0.03</formula>
    </cfRule>
    <cfRule type="cellIs" dxfId="3155" priority="188" stopIfTrue="1" operator="lessThan">
      <formula>-0.03</formula>
    </cfRule>
  </conditionalFormatting>
  <conditionalFormatting sqref="AO34:AQ34">
    <cfRule type="cellIs" dxfId="3154" priority="181" operator="greaterThan">
      <formula>0.03</formula>
    </cfRule>
    <cfRule type="cellIs" dxfId="3153" priority="182" stopIfTrue="1" operator="lessThan">
      <formula>-0.03</formula>
    </cfRule>
  </conditionalFormatting>
  <conditionalFormatting sqref="AL34:AN34">
    <cfRule type="cellIs" dxfId="3152" priority="183" operator="greaterThan">
      <formula>0.03</formula>
    </cfRule>
    <cfRule type="cellIs" dxfId="3151" priority="184" stopIfTrue="1" operator="lessThan">
      <formula>-0.03</formula>
    </cfRule>
  </conditionalFormatting>
  <conditionalFormatting sqref="AO39:AQ39">
    <cfRule type="cellIs" dxfId="3150" priority="177" operator="greaterThan">
      <formula>0.03</formula>
    </cfRule>
    <cfRule type="cellIs" dxfId="3149" priority="178" stopIfTrue="1" operator="lessThan">
      <formula>-0.03</formula>
    </cfRule>
  </conditionalFormatting>
  <conditionalFormatting sqref="AL39:AN39">
    <cfRule type="cellIs" dxfId="3148" priority="179" operator="greaterThan">
      <formula>0.03</formula>
    </cfRule>
    <cfRule type="cellIs" dxfId="3147" priority="180" stopIfTrue="1" operator="lessThan">
      <formula>-0.03</formula>
    </cfRule>
  </conditionalFormatting>
  <conditionalFormatting sqref="AO44:AQ44">
    <cfRule type="cellIs" dxfId="3146" priority="173" operator="greaterThan">
      <formula>0.03</formula>
    </cfRule>
    <cfRule type="cellIs" dxfId="3145" priority="174" stopIfTrue="1" operator="lessThan">
      <formula>-0.03</formula>
    </cfRule>
  </conditionalFormatting>
  <conditionalFormatting sqref="AL44:AN44">
    <cfRule type="cellIs" dxfId="3144" priority="175" operator="greaterThan">
      <formula>0.03</formula>
    </cfRule>
    <cfRule type="cellIs" dxfId="3143" priority="176" stopIfTrue="1" operator="lessThan">
      <formula>-0.03</formula>
    </cfRule>
  </conditionalFormatting>
  <conditionalFormatting sqref="AO49:AQ49">
    <cfRule type="cellIs" dxfId="3142" priority="169" operator="greaterThan">
      <formula>0.03</formula>
    </cfRule>
    <cfRule type="cellIs" dxfId="3141" priority="170" stopIfTrue="1" operator="lessThan">
      <formula>-0.03</formula>
    </cfRule>
  </conditionalFormatting>
  <conditionalFormatting sqref="AL49:AN49">
    <cfRule type="cellIs" dxfId="3140" priority="171" operator="greaterThan">
      <formula>0.03</formula>
    </cfRule>
    <cfRule type="cellIs" dxfId="3139" priority="172" stopIfTrue="1" operator="lessThan">
      <formula>-0.03</formula>
    </cfRule>
  </conditionalFormatting>
  <conditionalFormatting sqref="AO54:AQ54">
    <cfRule type="cellIs" dxfId="3138" priority="165" operator="greaterThan">
      <formula>0.03</formula>
    </cfRule>
    <cfRule type="cellIs" dxfId="3137" priority="166" stopIfTrue="1" operator="lessThan">
      <formula>-0.03</formula>
    </cfRule>
  </conditionalFormatting>
  <conditionalFormatting sqref="AL54:AN54">
    <cfRule type="cellIs" dxfId="3136" priority="167" operator="greaterThan">
      <formula>0.03</formula>
    </cfRule>
    <cfRule type="cellIs" dxfId="3135" priority="168" stopIfTrue="1" operator="lessThan">
      <formula>-0.03</formula>
    </cfRule>
  </conditionalFormatting>
  <conditionalFormatting sqref="AO59:AQ59">
    <cfRule type="cellIs" dxfId="3134" priority="161" operator="greaterThan">
      <formula>0.03</formula>
    </cfRule>
    <cfRule type="cellIs" dxfId="3133" priority="162" stopIfTrue="1" operator="lessThan">
      <formula>-0.03</formula>
    </cfRule>
  </conditionalFormatting>
  <conditionalFormatting sqref="AL59:AN59">
    <cfRule type="cellIs" dxfId="3132" priority="163" operator="greaterThan">
      <formula>0.03</formula>
    </cfRule>
    <cfRule type="cellIs" dxfId="3131" priority="164" stopIfTrue="1" operator="lessThan">
      <formula>-0.03</formula>
    </cfRule>
  </conditionalFormatting>
  <conditionalFormatting sqref="AO64:AQ64">
    <cfRule type="cellIs" dxfId="3130" priority="157" operator="greaterThan">
      <formula>0.03</formula>
    </cfRule>
    <cfRule type="cellIs" dxfId="3129" priority="158" stopIfTrue="1" operator="lessThan">
      <formula>-0.03</formula>
    </cfRule>
  </conditionalFormatting>
  <conditionalFormatting sqref="AL64:AN64">
    <cfRule type="cellIs" dxfId="3128" priority="159" operator="greaterThan">
      <formula>0.03</formula>
    </cfRule>
    <cfRule type="cellIs" dxfId="3127" priority="160" stopIfTrue="1" operator="lessThan">
      <formula>-0.03</formula>
    </cfRule>
  </conditionalFormatting>
  <conditionalFormatting sqref="AO69:AQ69">
    <cfRule type="cellIs" dxfId="3126" priority="153" operator="greaterThan">
      <formula>0.03</formula>
    </cfRule>
    <cfRule type="cellIs" dxfId="3125" priority="154" stopIfTrue="1" operator="lessThan">
      <formula>-0.03</formula>
    </cfRule>
  </conditionalFormatting>
  <conditionalFormatting sqref="AL69:AN69">
    <cfRule type="cellIs" dxfId="3124" priority="155" operator="greaterThan">
      <formula>0.03</formula>
    </cfRule>
    <cfRule type="cellIs" dxfId="3123" priority="156" stopIfTrue="1" operator="lessThan">
      <formula>-0.03</formula>
    </cfRule>
  </conditionalFormatting>
  <conditionalFormatting sqref="AO74:AQ74">
    <cfRule type="cellIs" dxfId="3122" priority="149" operator="greaterThan">
      <formula>0.03</formula>
    </cfRule>
    <cfRule type="cellIs" dxfId="3121" priority="150" stopIfTrue="1" operator="lessThan">
      <formula>-0.03</formula>
    </cfRule>
  </conditionalFormatting>
  <conditionalFormatting sqref="AL74:AN74">
    <cfRule type="cellIs" dxfId="3120" priority="151" operator="greaterThan">
      <formula>0.03</formula>
    </cfRule>
    <cfRule type="cellIs" dxfId="3119" priority="152" stopIfTrue="1" operator="lessThan">
      <formula>-0.03</formula>
    </cfRule>
  </conditionalFormatting>
  <conditionalFormatting sqref="AO79:AQ79">
    <cfRule type="cellIs" dxfId="3118" priority="145" operator="greaterThan">
      <formula>0.03</formula>
    </cfRule>
    <cfRule type="cellIs" dxfId="3117" priority="146" stopIfTrue="1" operator="lessThan">
      <formula>-0.03</formula>
    </cfRule>
  </conditionalFormatting>
  <conditionalFormatting sqref="AL79:AN79">
    <cfRule type="cellIs" dxfId="3116" priority="147" operator="greaterThan">
      <formula>0.03</formula>
    </cfRule>
    <cfRule type="cellIs" dxfId="3115" priority="148" stopIfTrue="1" operator="lessThan">
      <formula>-0.03</formula>
    </cfRule>
  </conditionalFormatting>
  <conditionalFormatting sqref="AO84:AQ84">
    <cfRule type="cellIs" dxfId="3114" priority="141" operator="greaterThan">
      <formula>0.03</formula>
    </cfRule>
    <cfRule type="cellIs" dxfId="3113" priority="142" stopIfTrue="1" operator="lessThan">
      <formula>-0.03</formula>
    </cfRule>
  </conditionalFormatting>
  <conditionalFormatting sqref="AL84:AN84">
    <cfRule type="cellIs" dxfId="3112" priority="143" operator="greaterThan">
      <formula>0.03</formula>
    </cfRule>
    <cfRule type="cellIs" dxfId="3111" priority="144" stopIfTrue="1" operator="lessThan">
      <formula>-0.03</formula>
    </cfRule>
  </conditionalFormatting>
  <conditionalFormatting sqref="AO89:AQ89">
    <cfRule type="cellIs" dxfId="3110" priority="137" operator="greaterThan">
      <formula>0.03</formula>
    </cfRule>
    <cfRule type="cellIs" dxfId="3109" priority="138" stopIfTrue="1" operator="lessThan">
      <formula>-0.03</formula>
    </cfRule>
  </conditionalFormatting>
  <conditionalFormatting sqref="AL89:AN89">
    <cfRule type="cellIs" dxfId="3108" priority="139" operator="greaterThan">
      <formula>0.03</formula>
    </cfRule>
    <cfRule type="cellIs" dxfId="3107" priority="140" stopIfTrue="1" operator="lessThan">
      <formula>-0.03</formula>
    </cfRule>
  </conditionalFormatting>
  <conditionalFormatting sqref="AO94:AQ94">
    <cfRule type="cellIs" dxfId="3106" priority="133" operator="greaterThan">
      <formula>0.03</formula>
    </cfRule>
    <cfRule type="cellIs" dxfId="3105" priority="134" stopIfTrue="1" operator="lessThan">
      <formula>-0.03</formula>
    </cfRule>
  </conditionalFormatting>
  <conditionalFormatting sqref="AL94:AN94">
    <cfRule type="cellIs" dxfId="3104" priority="135" operator="greaterThan">
      <formula>0.03</formula>
    </cfRule>
    <cfRule type="cellIs" dxfId="3103" priority="136" stopIfTrue="1" operator="lessThan">
      <formula>-0.03</formula>
    </cfRule>
  </conditionalFormatting>
  <conditionalFormatting sqref="AO99:AQ99">
    <cfRule type="cellIs" dxfId="3102" priority="129" operator="greaterThan">
      <formula>0.03</formula>
    </cfRule>
    <cfRule type="cellIs" dxfId="3101" priority="130" stopIfTrue="1" operator="lessThan">
      <formula>-0.03</formula>
    </cfRule>
  </conditionalFormatting>
  <conditionalFormatting sqref="AL99:AN99">
    <cfRule type="cellIs" dxfId="3100" priority="131" operator="greaterThan">
      <formula>0.03</formula>
    </cfRule>
    <cfRule type="cellIs" dxfId="3099" priority="132" stopIfTrue="1" operator="lessThan">
      <formula>-0.03</formula>
    </cfRule>
  </conditionalFormatting>
  <conditionalFormatting sqref="AO104:AQ104">
    <cfRule type="cellIs" dxfId="3098" priority="125" operator="greaterThan">
      <formula>0.03</formula>
    </cfRule>
    <cfRule type="cellIs" dxfId="3097" priority="126" stopIfTrue="1" operator="lessThan">
      <formula>-0.03</formula>
    </cfRule>
  </conditionalFormatting>
  <conditionalFormatting sqref="AL104:AN104">
    <cfRule type="cellIs" dxfId="3096" priority="127" operator="greaterThan">
      <formula>0.03</formula>
    </cfRule>
    <cfRule type="cellIs" dxfId="3095" priority="128" stopIfTrue="1" operator="lessThan">
      <formula>-0.03</formula>
    </cfRule>
  </conditionalFormatting>
  <conditionalFormatting sqref="AO109:AQ109">
    <cfRule type="cellIs" dxfId="3094" priority="121" operator="greaterThan">
      <formula>0.03</formula>
    </cfRule>
    <cfRule type="cellIs" dxfId="3093" priority="122" stopIfTrue="1" operator="lessThan">
      <formula>-0.03</formula>
    </cfRule>
  </conditionalFormatting>
  <conditionalFormatting sqref="AL109:AN109">
    <cfRule type="cellIs" dxfId="3092" priority="123" operator="greaterThan">
      <formula>0.03</formula>
    </cfRule>
    <cfRule type="cellIs" dxfId="3091" priority="124" stopIfTrue="1" operator="lessThan">
      <formula>-0.03</formula>
    </cfRule>
  </conditionalFormatting>
  <conditionalFormatting sqref="AO114:AQ114">
    <cfRule type="cellIs" dxfId="3090" priority="117" operator="greaterThan">
      <formula>0.03</formula>
    </cfRule>
    <cfRule type="cellIs" dxfId="3089" priority="118" stopIfTrue="1" operator="lessThan">
      <formula>-0.03</formula>
    </cfRule>
  </conditionalFormatting>
  <conditionalFormatting sqref="AL114:AN114">
    <cfRule type="cellIs" dxfId="3088" priority="119" operator="greaterThan">
      <formula>0.03</formula>
    </cfRule>
    <cfRule type="cellIs" dxfId="3087" priority="120" stopIfTrue="1" operator="lessThan">
      <formula>-0.03</formula>
    </cfRule>
  </conditionalFormatting>
  <conditionalFormatting sqref="AO119:AQ119">
    <cfRule type="cellIs" dxfId="3086" priority="113" operator="greaterThan">
      <formula>0.03</formula>
    </cfRule>
    <cfRule type="cellIs" dxfId="3085" priority="114" stopIfTrue="1" operator="lessThan">
      <formula>-0.03</formula>
    </cfRule>
  </conditionalFormatting>
  <conditionalFormatting sqref="AL119:AN119">
    <cfRule type="cellIs" dxfId="3084" priority="115" operator="greaterThan">
      <formula>0.03</formula>
    </cfRule>
    <cfRule type="cellIs" dxfId="3083" priority="116" stopIfTrue="1" operator="lessThan">
      <formula>-0.03</formula>
    </cfRule>
  </conditionalFormatting>
  <conditionalFormatting sqref="AO124:AQ124">
    <cfRule type="cellIs" dxfId="3082" priority="109" operator="greaterThan">
      <formula>0.03</formula>
    </cfRule>
    <cfRule type="cellIs" dxfId="3081" priority="110" stopIfTrue="1" operator="lessThan">
      <formula>-0.03</formula>
    </cfRule>
  </conditionalFormatting>
  <conditionalFormatting sqref="AL124:AN124">
    <cfRule type="cellIs" dxfId="3080" priority="111" operator="greaterThan">
      <formula>0.03</formula>
    </cfRule>
    <cfRule type="cellIs" dxfId="3079" priority="112" stopIfTrue="1" operator="lessThan">
      <formula>-0.03</formula>
    </cfRule>
  </conditionalFormatting>
  <conditionalFormatting sqref="AO129:AQ129">
    <cfRule type="cellIs" dxfId="3078" priority="105" operator="greaterThan">
      <formula>0.03</formula>
    </cfRule>
    <cfRule type="cellIs" dxfId="3077" priority="106" stopIfTrue="1" operator="lessThan">
      <formula>-0.03</formula>
    </cfRule>
  </conditionalFormatting>
  <conditionalFormatting sqref="AL129:AN129">
    <cfRule type="cellIs" dxfId="3076" priority="107" operator="greaterThan">
      <formula>0.03</formula>
    </cfRule>
    <cfRule type="cellIs" dxfId="3075" priority="108" stopIfTrue="1" operator="lessThan">
      <formula>-0.03</formula>
    </cfRule>
  </conditionalFormatting>
  <conditionalFormatting sqref="AU8:AW8">
    <cfRule type="cellIs" dxfId="3074" priority="103" operator="greaterThan">
      <formula>0.03</formula>
    </cfRule>
    <cfRule type="cellIs" dxfId="3073" priority="104" stopIfTrue="1" operator="lessThan">
      <formula>-0.03</formula>
    </cfRule>
  </conditionalFormatting>
  <conditionalFormatting sqref="AR8:AT8">
    <cfRule type="cellIs" dxfId="3072" priority="101" operator="greaterThan">
      <formula>0.03</formula>
    </cfRule>
    <cfRule type="cellIs" dxfId="3071" priority="102" stopIfTrue="1" operator="lessThan">
      <formula>-0.03</formula>
    </cfRule>
  </conditionalFormatting>
  <conditionalFormatting sqref="AU13:AW13">
    <cfRule type="cellIs" dxfId="3070" priority="99" operator="greaterThan">
      <formula>0.03</formula>
    </cfRule>
    <cfRule type="cellIs" dxfId="3069" priority="100" stopIfTrue="1" operator="lessThan">
      <formula>-0.03</formula>
    </cfRule>
  </conditionalFormatting>
  <conditionalFormatting sqref="AR13:AT13">
    <cfRule type="cellIs" dxfId="3068" priority="97" operator="greaterThan">
      <formula>0.03</formula>
    </cfRule>
    <cfRule type="cellIs" dxfId="3067" priority="98" stopIfTrue="1" operator="lessThan">
      <formula>-0.03</formula>
    </cfRule>
  </conditionalFormatting>
  <conditionalFormatting sqref="AU18:AW18">
    <cfRule type="cellIs" dxfId="3066" priority="95" operator="greaterThan">
      <formula>0.03</formula>
    </cfRule>
    <cfRule type="cellIs" dxfId="3065" priority="96" stopIfTrue="1" operator="lessThan">
      <formula>-0.03</formula>
    </cfRule>
  </conditionalFormatting>
  <conditionalFormatting sqref="AR18:AT18">
    <cfRule type="cellIs" dxfId="3064" priority="93" operator="greaterThan">
      <formula>0.03</formula>
    </cfRule>
    <cfRule type="cellIs" dxfId="3063" priority="94" stopIfTrue="1" operator="lessThan">
      <formula>-0.03</formula>
    </cfRule>
  </conditionalFormatting>
  <conditionalFormatting sqref="AU23:AW23">
    <cfRule type="cellIs" dxfId="3062" priority="91" operator="greaterThan">
      <formula>0.03</formula>
    </cfRule>
    <cfRule type="cellIs" dxfId="3061" priority="92" stopIfTrue="1" operator="lessThan">
      <formula>-0.03</formula>
    </cfRule>
  </conditionalFormatting>
  <conditionalFormatting sqref="AR23:AT23">
    <cfRule type="cellIs" dxfId="3060" priority="89" operator="greaterThan">
      <formula>0.03</formula>
    </cfRule>
    <cfRule type="cellIs" dxfId="3059" priority="90" stopIfTrue="1" operator="lessThan">
      <formula>-0.03</formula>
    </cfRule>
  </conditionalFormatting>
  <conditionalFormatting sqref="AU28:AW28">
    <cfRule type="cellIs" dxfId="3058" priority="87" operator="greaterThan">
      <formula>0.03</formula>
    </cfRule>
    <cfRule type="cellIs" dxfId="3057" priority="88" stopIfTrue="1" operator="lessThan">
      <formula>-0.03</formula>
    </cfRule>
  </conditionalFormatting>
  <conditionalFormatting sqref="AR28:AT28">
    <cfRule type="cellIs" dxfId="3056" priority="85" operator="greaterThan">
      <formula>0.03</formula>
    </cfRule>
    <cfRule type="cellIs" dxfId="3055" priority="86" stopIfTrue="1" operator="lessThan">
      <formula>-0.03</formula>
    </cfRule>
  </conditionalFormatting>
  <conditionalFormatting sqref="AU33:AW33">
    <cfRule type="cellIs" dxfId="3054" priority="83" operator="greaterThan">
      <formula>0.03</formula>
    </cfRule>
    <cfRule type="cellIs" dxfId="3053" priority="84" stopIfTrue="1" operator="lessThan">
      <formula>-0.03</formula>
    </cfRule>
  </conditionalFormatting>
  <conditionalFormatting sqref="AR33:AT33">
    <cfRule type="cellIs" dxfId="3052" priority="81" operator="greaterThan">
      <formula>0.03</formula>
    </cfRule>
    <cfRule type="cellIs" dxfId="3051" priority="82" stopIfTrue="1" operator="lessThan">
      <formula>-0.03</formula>
    </cfRule>
  </conditionalFormatting>
  <conditionalFormatting sqref="AU38:AW38">
    <cfRule type="cellIs" dxfId="3050" priority="79" operator="greaterThan">
      <formula>0.03</formula>
    </cfRule>
    <cfRule type="cellIs" dxfId="3049" priority="80" stopIfTrue="1" operator="lessThan">
      <formula>-0.03</formula>
    </cfRule>
  </conditionalFormatting>
  <conditionalFormatting sqref="AR38:AT38">
    <cfRule type="cellIs" dxfId="3048" priority="77" operator="greaterThan">
      <formula>0.03</formula>
    </cfRule>
    <cfRule type="cellIs" dxfId="3047" priority="78" stopIfTrue="1" operator="lessThan">
      <formula>-0.03</formula>
    </cfRule>
  </conditionalFormatting>
  <conditionalFormatting sqref="AU43:AW43">
    <cfRule type="cellIs" dxfId="3046" priority="75" operator="greaterThan">
      <formula>0.03</formula>
    </cfRule>
    <cfRule type="cellIs" dxfId="3045" priority="76" stopIfTrue="1" operator="lessThan">
      <formula>-0.03</formula>
    </cfRule>
  </conditionalFormatting>
  <conditionalFormatting sqref="AR43:AT43">
    <cfRule type="cellIs" dxfId="3044" priority="73" operator="greaterThan">
      <formula>0.03</formula>
    </cfRule>
    <cfRule type="cellIs" dxfId="3043" priority="74" stopIfTrue="1" operator="lessThan">
      <formula>-0.03</formula>
    </cfRule>
  </conditionalFormatting>
  <conditionalFormatting sqref="AU48:AW48">
    <cfRule type="cellIs" dxfId="3042" priority="71" operator="greaterThan">
      <formula>0.03</formula>
    </cfRule>
    <cfRule type="cellIs" dxfId="3041" priority="72" stopIfTrue="1" operator="lessThan">
      <formula>-0.03</formula>
    </cfRule>
  </conditionalFormatting>
  <conditionalFormatting sqref="AR48:AT48">
    <cfRule type="cellIs" dxfId="3040" priority="69" operator="greaterThan">
      <formula>0.03</formula>
    </cfRule>
    <cfRule type="cellIs" dxfId="3039" priority="70" stopIfTrue="1" operator="lessThan">
      <formula>-0.03</formula>
    </cfRule>
  </conditionalFormatting>
  <conditionalFormatting sqref="AU53:AW53">
    <cfRule type="cellIs" dxfId="3038" priority="67" operator="greaterThan">
      <formula>0.03</formula>
    </cfRule>
    <cfRule type="cellIs" dxfId="3037" priority="68" stopIfTrue="1" operator="lessThan">
      <formula>-0.03</formula>
    </cfRule>
  </conditionalFormatting>
  <conditionalFormatting sqref="AR53:AT53">
    <cfRule type="cellIs" dxfId="3036" priority="65" operator="greaterThan">
      <formula>0.03</formula>
    </cfRule>
    <cfRule type="cellIs" dxfId="3035" priority="66" stopIfTrue="1" operator="lessThan">
      <formula>-0.03</formula>
    </cfRule>
  </conditionalFormatting>
  <conditionalFormatting sqref="AU58:AW58">
    <cfRule type="cellIs" dxfId="3034" priority="63" operator="greaterThan">
      <formula>0.03</formula>
    </cfRule>
    <cfRule type="cellIs" dxfId="3033" priority="64" stopIfTrue="1" operator="lessThan">
      <formula>-0.03</formula>
    </cfRule>
  </conditionalFormatting>
  <conditionalFormatting sqref="AR58:AT58">
    <cfRule type="cellIs" dxfId="3032" priority="61" operator="greaterThan">
      <formula>0.03</formula>
    </cfRule>
    <cfRule type="cellIs" dxfId="3031" priority="62" stopIfTrue="1" operator="lessThan">
      <formula>-0.03</formula>
    </cfRule>
  </conditionalFormatting>
  <conditionalFormatting sqref="AU63:AW63">
    <cfRule type="cellIs" dxfId="3030" priority="59" operator="greaterThan">
      <formula>0.03</formula>
    </cfRule>
    <cfRule type="cellIs" dxfId="3029" priority="60" stopIfTrue="1" operator="lessThan">
      <formula>-0.03</formula>
    </cfRule>
  </conditionalFormatting>
  <conditionalFormatting sqref="AR63:AT63">
    <cfRule type="cellIs" dxfId="3028" priority="57" operator="greaterThan">
      <formula>0.03</formula>
    </cfRule>
    <cfRule type="cellIs" dxfId="3027" priority="58" stopIfTrue="1" operator="lessThan">
      <formula>-0.03</formula>
    </cfRule>
  </conditionalFormatting>
  <conditionalFormatting sqref="AU68:AW68">
    <cfRule type="cellIs" dxfId="3026" priority="55" operator="greaterThan">
      <formula>0.03</formula>
    </cfRule>
    <cfRule type="cellIs" dxfId="3025" priority="56" stopIfTrue="1" operator="lessThan">
      <formula>-0.03</formula>
    </cfRule>
  </conditionalFormatting>
  <conditionalFormatting sqref="AR68:AT68">
    <cfRule type="cellIs" dxfId="3024" priority="53" operator="greaterThan">
      <formula>0.03</formula>
    </cfRule>
    <cfRule type="cellIs" dxfId="3023" priority="54" stopIfTrue="1" operator="lessThan">
      <formula>-0.03</formula>
    </cfRule>
  </conditionalFormatting>
  <conditionalFormatting sqref="AU78:AW78">
    <cfRule type="cellIs" dxfId="3022" priority="51" operator="greaterThan">
      <formula>0.03</formula>
    </cfRule>
    <cfRule type="cellIs" dxfId="3021" priority="52" stopIfTrue="1" operator="lessThan">
      <formula>-0.03</formula>
    </cfRule>
  </conditionalFormatting>
  <conditionalFormatting sqref="AR78:AT78">
    <cfRule type="cellIs" dxfId="3020" priority="49" operator="greaterThan">
      <formula>0.03</formula>
    </cfRule>
    <cfRule type="cellIs" dxfId="3019" priority="50" stopIfTrue="1" operator="lessThan">
      <formula>-0.03</formula>
    </cfRule>
  </conditionalFormatting>
  <conditionalFormatting sqref="AU83:AW83">
    <cfRule type="cellIs" dxfId="3018" priority="47" operator="greaterThan">
      <formula>0.03</formula>
    </cfRule>
    <cfRule type="cellIs" dxfId="3017" priority="48" stopIfTrue="1" operator="lessThan">
      <formula>-0.03</formula>
    </cfRule>
  </conditionalFormatting>
  <conditionalFormatting sqref="AR83:AT83">
    <cfRule type="cellIs" dxfId="3016" priority="45" operator="greaterThan">
      <formula>0.03</formula>
    </cfRule>
    <cfRule type="cellIs" dxfId="3015" priority="46" stopIfTrue="1" operator="lessThan">
      <formula>-0.03</formula>
    </cfRule>
  </conditionalFormatting>
  <conditionalFormatting sqref="AU88:AW88">
    <cfRule type="cellIs" dxfId="3014" priority="43" operator="greaterThan">
      <formula>0.03</formula>
    </cfRule>
    <cfRule type="cellIs" dxfId="3013" priority="44" stopIfTrue="1" operator="lessThan">
      <formula>-0.03</formula>
    </cfRule>
  </conditionalFormatting>
  <conditionalFormatting sqref="AR88:AT88">
    <cfRule type="cellIs" dxfId="3012" priority="41" operator="greaterThan">
      <formula>0.03</formula>
    </cfRule>
    <cfRule type="cellIs" dxfId="3011" priority="42" stopIfTrue="1" operator="lessThan">
      <formula>-0.03</formula>
    </cfRule>
  </conditionalFormatting>
  <conditionalFormatting sqref="AU93:AW93">
    <cfRule type="cellIs" dxfId="3010" priority="39" operator="greaterThan">
      <formula>0.03</formula>
    </cfRule>
    <cfRule type="cellIs" dxfId="3009" priority="40" stopIfTrue="1" operator="lessThan">
      <formula>-0.03</formula>
    </cfRule>
  </conditionalFormatting>
  <conditionalFormatting sqref="AR93:AT93">
    <cfRule type="cellIs" dxfId="3008" priority="37" operator="greaterThan">
      <formula>0.03</formula>
    </cfRule>
    <cfRule type="cellIs" dxfId="3007" priority="38" stopIfTrue="1" operator="lessThan">
      <formula>-0.03</formula>
    </cfRule>
  </conditionalFormatting>
  <conditionalFormatting sqref="AU98:AW98">
    <cfRule type="cellIs" dxfId="3006" priority="35" operator="greaterThan">
      <formula>0.03</formula>
    </cfRule>
    <cfRule type="cellIs" dxfId="3005" priority="36" stopIfTrue="1" operator="lessThan">
      <formula>-0.03</formula>
    </cfRule>
  </conditionalFormatting>
  <conditionalFormatting sqref="AR98:AT98">
    <cfRule type="cellIs" dxfId="3004" priority="33" operator="greaterThan">
      <formula>0.03</formula>
    </cfRule>
    <cfRule type="cellIs" dxfId="3003" priority="34" stopIfTrue="1" operator="lessThan">
      <formula>-0.03</formula>
    </cfRule>
  </conditionalFormatting>
  <conditionalFormatting sqref="AU103:AW103">
    <cfRule type="cellIs" dxfId="3002" priority="31" operator="greaterThan">
      <formula>0.03</formula>
    </cfRule>
    <cfRule type="cellIs" dxfId="3001" priority="32" stopIfTrue="1" operator="lessThan">
      <formula>-0.03</formula>
    </cfRule>
  </conditionalFormatting>
  <conditionalFormatting sqref="AR103:AT103">
    <cfRule type="cellIs" dxfId="3000" priority="29" operator="greaterThan">
      <formula>0.03</formula>
    </cfRule>
    <cfRule type="cellIs" dxfId="2999" priority="30" stopIfTrue="1" operator="lessThan">
      <formula>-0.03</formula>
    </cfRule>
  </conditionalFormatting>
  <conditionalFormatting sqref="AU108:AW108">
    <cfRule type="cellIs" dxfId="2998" priority="27" operator="greaterThan">
      <formula>0.03</formula>
    </cfRule>
    <cfRule type="cellIs" dxfId="2997" priority="28" stopIfTrue="1" operator="lessThan">
      <formula>-0.03</formula>
    </cfRule>
  </conditionalFormatting>
  <conditionalFormatting sqref="AR108:AT108">
    <cfRule type="cellIs" dxfId="2996" priority="25" operator="greaterThan">
      <formula>0.03</formula>
    </cfRule>
    <cfRule type="cellIs" dxfId="2995" priority="26" stopIfTrue="1" operator="lessThan">
      <formula>-0.03</formula>
    </cfRule>
  </conditionalFormatting>
  <conditionalFormatting sqref="AU113:AW113">
    <cfRule type="cellIs" dxfId="2994" priority="23" operator="greaterThan">
      <formula>0.03</formula>
    </cfRule>
    <cfRule type="cellIs" dxfId="2993" priority="24" stopIfTrue="1" operator="lessThan">
      <formula>-0.03</formula>
    </cfRule>
  </conditionalFormatting>
  <conditionalFormatting sqref="AR113:AT113">
    <cfRule type="cellIs" dxfId="2992" priority="21" operator="greaterThan">
      <formula>0.03</formula>
    </cfRule>
    <cfRule type="cellIs" dxfId="2991" priority="22" stopIfTrue="1" operator="lessThan">
      <formula>-0.03</formula>
    </cfRule>
  </conditionalFormatting>
  <conditionalFormatting sqref="AU118:AW118">
    <cfRule type="cellIs" dxfId="2990" priority="19" operator="greaterThan">
      <formula>0.03</formula>
    </cfRule>
    <cfRule type="cellIs" dxfId="2989" priority="20" stopIfTrue="1" operator="lessThan">
      <formula>-0.03</formula>
    </cfRule>
  </conditionalFormatting>
  <conditionalFormatting sqref="AR118:AT118">
    <cfRule type="cellIs" dxfId="2988" priority="17" operator="greaterThan">
      <formula>0.03</formula>
    </cfRule>
    <cfRule type="cellIs" dxfId="2987" priority="18" stopIfTrue="1" operator="lessThan">
      <formula>-0.03</formula>
    </cfRule>
  </conditionalFormatting>
  <conditionalFormatting sqref="AU123:AW123">
    <cfRule type="cellIs" dxfId="2986" priority="15" operator="greaterThan">
      <formula>0.03</formula>
    </cfRule>
    <cfRule type="cellIs" dxfId="2985" priority="16" stopIfTrue="1" operator="lessThan">
      <formula>-0.03</formula>
    </cfRule>
  </conditionalFormatting>
  <conditionalFormatting sqref="AR123:AT123">
    <cfRule type="cellIs" dxfId="2984" priority="13" operator="greaterThan">
      <formula>0.03</formula>
    </cfRule>
    <cfRule type="cellIs" dxfId="2983" priority="14" stopIfTrue="1" operator="lessThan">
      <formula>-0.03</formula>
    </cfRule>
  </conditionalFormatting>
  <conditionalFormatting sqref="AU128:AW128">
    <cfRule type="cellIs" dxfId="2982" priority="11" operator="greaterThan">
      <formula>0.03</formula>
    </cfRule>
    <cfRule type="cellIs" dxfId="2981" priority="12" stopIfTrue="1" operator="lessThan">
      <formula>-0.03</formula>
    </cfRule>
  </conditionalFormatting>
  <conditionalFormatting sqref="AR128:AT128">
    <cfRule type="cellIs" dxfId="2980" priority="9" operator="greaterThan">
      <formula>0.03</formula>
    </cfRule>
    <cfRule type="cellIs" dxfId="2979" priority="10" stopIfTrue="1" operator="lessThan">
      <formula>-0.03</formula>
    </cfRule>
  </conditionalFormatting>
  <conditionalFormatting sqref="V3:V7">
    <cfRule type="cellIs" dxfId="2978" priority="8" operator="equal">
      <formula>FALSE</formula>
    </cfRule>
  </conditionalFormatting>
  <conditionalFormatting sqref="V98:V112">
    <cfRule type="cellIs" dxfId="2977" priority="7" operator="equal">
      <formula>FALSE</formula>
    </cfRule>
  </conditionalFormatting>
  <conditionalFormatting sqref="J3:J22">
    <cfRule type="cellIs" dxfId="2976" priority="3" operator="equal">
      <formula>FALSE</formula>
    </cfRule>
  </conditionalFormatting>
  <conditionalFormatting sqref="J73:J77">
    <cfRule type="cellIs" dxfId="2975" priority="2" operator="equal">
      <formula>FALSE</formula>
    </cfRule>
  </conditionalFormatting>
  <conditionalFormatting sqref="J93:J112">
    <cfRule type="cellIs" dxfId="2974" priority="1" operator="equal">
      <formula>FALSE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A771-B85E-42C9-BC9C-54C46180D382}">
  <sheetPr>
    <tabColor rgb="FFFFFF00"/>
  </sheetPr>
  <dimension ref="F8:X15"/>
  <sheetViews>
    <sheetView topLeftCell="F1" workbookViewId="0">
      <selection activeCell="W19" sqref="W19"/>
    </sheetView>
  </sheetViews>
  <sheetFormatPr defaultRowHeight="14.25" x14ac:dyDescent="0.15"/>
  <sheetData>
    <row r="8" spans="6:24" ht="15" thickBot="1" x14ac:dyDescent="0.2"/>
    <row r="9" spans="6:24" ht="15.75" thickBot="1" x14ac:dyDescent="0.25">
      <c r="F9" s="58"/>
      <c r="G9" s="68" t="s">
        <v>62</v>
      </c>
      <c r="H9" s="69"/>
      <c r="I9" s="70"/>
      <c r="J9" s="68" t="s">
        <v>61</v>
      </c>
      <c r="K9" s="69"/>
      <c r="L9" s="70"/>
      <c r="M9" s="68" t="s">
        <v>59</v>
      </c>
      <c r="N9" s="69"/>
      <c r="O9" s="70"/>
      <c r="P9" s="68" t="s">
        <v>60</v>
      </c>
      <c r="Q9" s="69"/>
      <c r="R9" s="70"/>
      <c r="S9" s="68" t="s">
        <v>76</v>
      </c>
      <c r="T9" s="69"/>
      <c r="U9" s="70"/>
      <c r="V9" s="68" t="s">
        <v>76</v>
      </c>
      <c r="W9" s="69"/>
      <c r="X9" s="70"/>
    </row>
    <row r="10" spans="6:24" ht="15" x14ac:dyDescent="0.2">
      <c r="F10" s="58" t="s">
        <v>95</v>
      </c>
      <c r="G10" s="5" t="s">
        <v>56</v>
      </c>
      <c r="H10" s="6" t="s">
        <v>57</v>
      </c>
      <c r="I10" s="7" t="s">
        <v>58</v>
      </c>
      <c r="J10" s="5" t="s">
        <v>53</v>
      </c>
      <c r="K10" s="6" t="s">
        <v>54</v>
      </c>
      <c r="L10" s="7" t="s">
        <v>55</v>
      </c>
      <c r="M10" s="5" t="s">
        <v>56</v>
      </c>
      <c r="N10" s="6" t="s">
        <v>57</v>
      </c>
      <c r="O10" s="7" t="s">
        <v>58</v>
      </c>
      <c r="P10" s="5" t="s">
        <v>53</v>
      </c>
      <c r="Q10" s="6" t="s">
        <v>54</v>
      </c>
      <c r="R10" s="7" t="s">
        <v>55</v>
      </c>
      <c r="S10" s="5" t="s">
        <v>56</v>
      </c>
      <c r="T10" s="6" t="s">
        <v>57</v>
      </c>
      <c r="U10" s="7" t="s">
        <v>58</v>
      </c>
      <c r="V10" s="5" t="s">
        <v>53</v>
      </c>
      <c r="W10" s="6" t="s">
        <v>54</v>
      </c>
      <c r="X10" s="7" t="s">
        <v>55</v>
      </c>
    </row>
    <row r="11" spans="6:24" ht="15" x14ac:dyDescent="0.2">
      <c r="F11" s="2" t="s">
        <v>5</v>
      </c>
      <c r="G11" s="28">
        <v>1.091444023956667E-3</v>
      </c>
      <c r="H11" s="32">
        <v>6.1990336654707545E-4</v>
      </c>
      <c r="I11" s="32">
        <v>-7.1000095119503892E-3</v>
      </c>
      <c r="J11" s="28">
        <v>4.4093441396311495E-3</v>
      </c>
      <c r="K11" s="32">
        <v>3.562907115821079E-3</v>
      </c>
      <c r="L11" s="32">
        <v>-1.2120493448448344E-2</v>
      </c>
      <c r="M11" s="28">
        <v>1.2021416086463177E-3</v>
      </c>
      <c r="N11" s="32">
        <v>1.7950344210768965E-3</v>
      </c>
      <c r="O11" s="32">
        <v>-7.8628355482459611E-3</v>
      </c>
      <c r="P11" s="28">
        <v>4.5490193452658589E-3</v>
      </c>
      <c r="Q11" s="32">
        <v>2.4993456367006228E-3</v>
      </c>
      <c r="R11" s="32">
        <v>-1.2682229209048629E-2</v>
      </c>
      <c r="S11" s="28">
        <v>8.6519735542914256E-4</v>
      </c>
      <c r="T11" s="32">
        <v>3.4038037347703387E-3</v>
      </c>
      <c r="U11" s="33">
        <v>-4.9263276302490278E-3</v>
      </c>
      <c r="V11" s="28">
        <v>3.6001895620828839E-3</v>
      </c>
      <c r="W11" s="32">
        <v>-2.9057974132010445E-3</v>
      </c>
      <c r="X11" s="33">
        <v>4.3277564560140203E-3</v>
      </c>
    </row>
    <row r="12" spans="6:24" ht="15" x14ac:dyDescent="0.2">
      <c r="F12" s="2" t="s">
        <v>6</v>
      </c>
      <c r="G12" s="28">
        <v>-6.7458592122343619E-5</v>
      </c>
      <c r="H12" s="32">
        <v>-3.7170037299356917E-3</v>
      </c>
      <c r="I12" s="32">
        <v>-1.0191400309722293E-2</v>
      </c>
      <c r="J12" s="28">
        <v>-2.378946631487272E-3</v>
      </c>
      <c r="K12" s="32">
        <v>1.6311901718380206E-3</v>
      </c>
      <c r="L12" s="32">
        <v>-1.1235292391248736E-2</v>
      </c>
      <c r="M12" s="28">
        <v>-8.8907135454618924E-5</v>
      </c>
      <c r="N12" s="32">
        <v>-7.4695057527945918E-3</v>
      </c>
      <c r="O12" s="32">
        <v>-1.8369049036564611E-2</v>
      </c>
      <c r="P12" s="28">
        <v>-2.2372142198725797E-3</v>
      </c>
      <c r="Q12" s="32">
        <v>-1.3988620945767916E-4</v>
      </c>
      <c r="R12" s="32">
        <v>-1.6924496799081618E-2</v>
      </c>
      <c r="S12" s="28">
        <v>1.1402055663612409E-3</v>
      </c>
      <c r="T12" s="32">
        <v>-6.7499930752433768E-3</v>
      </c>
      <c r="U12" s="33">
        <v>-1.2237884152987377E-2</v>
      </c>
      <c r="V12" s="28">
        <v>3.30615776776369E-3</v>
      </c>
      <c r="W12" s="32">
        <v>-5.1822175722776587E-5</v>
      </c>
      <c r="X12" s="33">
        <v>-1.8724947529047464E-2</v>
      </c>
    </row>
    <row r="13" spans="6:24" ht="15" x14ac:dyDescent="0.2">
      <c r="F13" s="2" t="s">
        <v>7</v>
      </c>
      <c r="G13" s="28">
        <v>3.1859625405894487E-4</v>
      </c>
      <c r="H13" s="32">
        <v>-2.0112693689720018E-3</v>
      </c>
      <c r="I13" s="32">
        <v>-3.7337042175866753E-4</v>
      </c>
      <c r="J13" s="28">
        <v>-3.2991380887570365E-3</v>
      </c>
      <c r="K13" s="32">
        <v>1.9314048696074486E-3</v>
      </c>
      <c r="L13" s="32">
        <v>-1.0196569224405186E-2</v>
      </c>
      <c r="M13" s="28">
        <v>1.8485433343740088E-4</v>
      </c>
      <c r="N13" s="32">
        <v>-5.090373946000093E-3</v>
      </c>
      <c r="O13" s="32">
        <v>5.9333487650444405E-4</v>
      </c>
      <c r="P13" s="28">
        <v>-4.122248487069065E-3</v>
      </c>
      <c r="Q13" s="32">
        <v>1.8536527415943249E-3</v>
      </c>
      <c r="R13" s="32">
        <v>-9.4987964399719429E-3</v>
      </c>
      <c r="S13" s="28">
        <v>5.2106706629732415E-5</v>
      </c>
      <c r="T13" s="32">
        <v>-3.5249358754131745E-3</v>
      </c>
      <c r="U13" s="33">
        <v>5.1440583286262631E-4</v>
      </c>
      <c r="V13" s="28">
        <v>-1.5354211980478742E-3</v>
      </c>
      <c r="W13" s="32">
        <v>-5.1875313806270711E-3</v>
      </c>
      <c r="X13" s="33">
        <v>-2.1604871968145347E-3</v>
      </c>
    </row>
    <row r="14" spans="6:24" ht="15.75" thickBot="1" x14ac:dyDescent="0.25">
      <c r="F14" s="2" t="s">
        <v>18</v>
      </c>
      <c r="G14" s="28">
        <v>-3.2819995588045936E-5</v>
      </c>
      <c r="H14" s="32">
        <v>5.4086065868947375E-3</v>
      </c>
      <c r="I14" s="32">
        <v>2.2984431780577186E-3</v>
      </c>
      <c r="J14" s="28">
        <v>3.4626399877328851E-3</v>
      </c>
      <c r="K14" s="32">
        <v>8.6239422128962795E-3</v>
      </c>
      <c r="L14" s="32">
        <v>-6.1402490902222606E-3</v>
      </c>
      <c r="M14" s="28">
        <v>-1.8097730834629178E-4</v>
      </c>
      <c r="N14" s="32">
        <v>9.0781865857426647E-3</v>
      </c>
      <c r="O14" s="32">
        <v>1.6968247726333596E-3</v>
      </c>
      <c r="P14" s="28">
        <v>3.7521831256885907E-3</v>
      </c>
      <c r="Q14" s="32">
        <v>1.0639379791201914E-2</v>
      </c>
      <c r="R14" s="32">
        <v>-7.310548732768235E-3</v>
      </c>
      <c r="S14" s="28">
        <v>1.5694939973490418E-3</v>
      </c>
      <c r="T14" s="32">
        <v>5.3032299156925977E-3</v>
      </c>
      <c r="U14" s="33">
        <v>5.0404101260084766E-4</v>
      </c>
      <c r="V14" s="28">
        <v>4.3042956528998311E-3</v>
      </c>
      <c r="W14" s="32">
        <v>1.2231701276994744E-2</v>
      </c>
      <c r="X14" s="33">
        <v>-1.7927878086753141E-2</v>
      </c>
    </row>
    <row r="15" spans="6:24" ht="15.75" thickBot="1" x14ac:dyDescent="0.25">
      <c r="F15" s="59" t="s">
        <v>8</v>
      </c>
      <c r="G15" s="32">
        <v>3.2803003381079627E-4</v>
      </c>
      <c r="H15" s="32">
        <v>2.1414778580723196E-4</v>
      </c>
      <c r="I15" s="32">
        <v>-4.0727985226490567E-3</v>
      </c>
      <c r="J15" s="32">
        <v>8.0498238114906271E-4</v>
      </c>
      <c r="K15" s="32">
        <v>4.0710915074029241E-3</v>
      </c>
      <c r="L15" s="32">
        <v>-9.9049231595261956E-3</v>
      </c>
      <c r="M15" s="32">
        <v>2.8557277731292203E-4</v>
      </c>
      <c r="N15" s="32">
        <v>-1.1041738812669343E-4</v>
      </c>
      <c r="O15" s="32">
        <v>-6.4240156412797011E-3</v>
      </c>
      <c r="P15" s="32">
        <v>7.9261383620801891E-4</v>
      </c>
      <c r="Q15" s="32">
        <v>3.8370876732374938E-3</v>
      </c>
      <c r="R15" s="32">
        <v>-1.1744365885567317E-2</v>
      </c>
      <c r="S15" s="32">
        <v>9.637271864297932E-4</v>
      </c>
      <c r="T15" s="32">
        <v>-1.8310968835741904E-4</v>
      </c>
      <c r="U15" s="32">
        <v>-4.3398310389302901E-3</v>
      </c>
      <c r="V15" s="32">
        <v>2.6824205557894666E-3</v>
      </c>
      <c r="W15" s="32">
        <v>1.4355821740268319E-3</v>
      </c>
      <c r="X15" s="32">
        <v>-9.0521158819726628E-3</v>
      </c>
    </row>
  </sheetData>
  <mergeCells count="6">
    <mergeCell ref="V9:X9"/>
    <mergeCell ref="G9:I9"/>
    <mergeCell ref="J9:L9"/>
    <mergeCell ref="M9:O9"/>
    <mergeCell ref="P9:R9"/>
    <mergeCell ref="S9:U9"/>
  </mergeCells>
  <phoneticPr fontId="23" type="noConversion"/>
  <conditionalFormatting sqref="P11:R11 V11:X11">
    <cfRule type="cellIs" dxfId="2973" priority="33" operator="greaterThan">
      <formula>0.03</formula>
    </cfRule>
    <cfRule type="cellIs" dxfId="2972" priority="34" stopIfTrue="1" operator="lessThan">
      <formula>-0.03</formula>
    </cfRule>
  </conditionalFormatting>
  <conditionalFormatting sqref="P14:R14 V14:X14">
    <cfRule type="cellIs" dxfId="2971" priority="31" operator="greaterThan">
      <formula>0.03</formula>
    </cfRule>
    <cfRule type="cellIs" dxfId="2970" priority="32" stopIfTrue="1" operator="lessThan">
      <formula>-0.03</formula>
    </cfRule>
  </conditionalFormatting>
  <conditionalFormatting sqref="P12:R13 V12:X13">
    <cfRule type="cellIs" dxfId="2969" priority="35" operator="greaterThan">
      <formula>0.03</formula>
    </cfRule>
    <cfRule type="cellIs" dxfId="2968" priority="36" stopIfTrue="1" operator="lessThan">
      <formula>-0.03</formula>
    </cfRule>
  </conditionalFormatting>
  <conditionalFormatting sqref="J11:L11">
    <cfRule type="cellIs" dxfId="2967" priority="27" operator="greaterThan">
      <formula>0.03</formula>
    </cfRule>
    <cfRule type="cellIs" dxfId="2966" priority="28" stopIfTrue="1" operator="lessThan">
      <formula>-0.03</formula>
    </cfRule>
  </conditionalFormatting>
  <conditionalFormatting sqref="J14:L14">
    <cfRule type="cellIs" dxfId="2965" priority="25" operator="greaterThan">
      <formula>0.03</formula>
    </cfRule>
    <cfRule type="cellIs" dxfId="2964" priority="26" stopIfTrue="1" operator="lessThan">
      <formula>-0.03</formula>
    </cfRule>
  </conditionalFormatting>
  <conditionalFormatting sqref="J12:L13">
    <cfRule type="cellIs" dxfId="2963" priority="29" operator="greaterThan">
      <formula>0.03</formula>
    </cfRule>
    <cfRule type="cellIs" dxfId="2962" priority="30" stopIfTrue="1" operator="lessThan">
      <formula>-0.03</formula>
    </cfRule>
  </conditionalFormatting>
  <conditionalFormatting sqref="G11:I11">
    <cfRule type="cellIs" dxfId="2961" priority="21" operator="greaterThan">
      <formula>0.03</formula>
    </cfRule>
    <cfRule type="cellIs" dxfId="2960" priority="22" stopIfTrue="1" operator="lessThan">
      <formula>-0.03</formula>
    </cfRule>
  </conditionalFormatting>
  <conditionalFormatting sqref="G14:I14">
    <cfRule type="cellIs" dxfId="2959" priority="19" operator="greaterThan">
      <formula>0.03</formula>
    </cfRule>
    <cfRule type="cellIs" dxfId="2958" priority="20" stopIfTrue="1" operator="lessThan">
      <formula>-0.03</formula>
    </cfRule>
  </conditionalFormatting>
  <conditionalFormatting sqref="G12:I13">
    <cfRule type="cellIs" dxfId="2957" priority="23" operator="greaterThan">
      <formula>0.03</formula>
    </cfRule>
    <cfRule type="cellIs" dxfId="2956" priority="24" stopIfTrue="1" operator="lessThan">
      <formula>-0.03</formula>
    </cfRule>
  </conditionalFormatting>
  <conditionalFormatting sqref="M11:O11">
    <cfRule type="cellIs" dxfId="2955" priority="15" operator="greaterThan">
      <formula>0.03</formula>
    </cfRule>
    <cfRule type="cellIs" dxfId="2954" priority="16" stopIfTrue="1" operator="lessThan">
      <formula>-0.03</formula>
    </cfRule>
  </conditionalFormatting>
  <conditionalFormatting sqref="M14:O14">
    <cfRule type="cellIs" dxfId="2953" priority="13" operator="greaterThan">
      <formula>0.03</formula>
    </cfRule>
    <cfRule type="cellIs" dxfId="2952" priority="14" stopIfTrue="1" operator="lessThan">
      <formula>-0.03</formula>
    </cfRule>
  </conditionalFormatting>
  <conditionalFormatting sqref="M12:O13">
    <cfRule type="cellIs" dxfId="2951" priority="17" operator="greaterThan">
      <formula>0.03</formula>
    </cfRule>
    <cfRule type="cellIs" dxfId="2950" priority="18" stopIfTrue="1" operator="lessThan">
      <formula>-0.03</formula>
    </cfRule>
  </conditionalFormatting>
  <conditionalFormatting sqref="S11:U11">
    <cfRule type="cellIs" dxfId="2949" priority="9" operator="greaterThan">
      <formula>0.03</formula>
    </cfRule>
    <cfRule type="cellIs" dxfId="2948" priority="10" stopIfTrue="1" operator="lessThan">
      <formula>-0.03</formula>
    </cfRule>
  </conditionalFormatting>
  <conditionalFormatting sqref="S14:U14">
    <cfRule type="cellIs" dxfId="2947" priority="7" operator="greaterThan">
      <formula>0.03</formula>
    </cfRule>
    <cfRule type="cellIs" dxfId="2946" priority="8" stopIfTrue="1" operator="lessThan">
      <formula>-0.03</formula>
    </cfRule>
  </conditionalFormatting>
  <conditionalFormatting sqref="S12:U13">
    <cfRule type="cellIs" dxfId="2945" priority="11" operator="greaterThan">
      <formula>0.03</formula>
    </cfRule>
    <cfRule type="cellIs" dxfId="2944" priority="12" stopIfTrue="1" operator="lessThan">
      <formula>-0.03</formula>
    </cfRule>
  </conditionalFormatting>
  <conditionalFormatting sqref="G11:X14">
    <cfRule type="cellIs" dxfId="2943" priority="4" operator="greaterThan">
      <formula>0</formula>
    </cfRule>
    <cfRule type="cellIs" dxfId="2942" priority="5" operator="lessThan">
      <formula>0</formula>
    </cfRule>
    <cfRule type="cellIs" dxfId="2941" priority="6" operator="lessThan">
      <formula>0</formula>
    </cfRule>
  </conditionalFormatting>
  <conditionalFormatting sqref="G15:X15">
    <cfRule type="cellIs" dxfId="2940" priority="1" operator="greaterThan">
      <formula>0</formula>
    </cfRule>
    <cfRule type="cellIs" dxfId="2939" priority="2" operator="lessThan">
      <formula>0</formula>
    </cfRule>
    <cfRule type="cellIs" dxfId="2938" priority="3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A99AB-F804-4C30-BBA6-050EF977290F}">
  <sheetPr>
    <tabColor theme="4" tint="0.59999389629810485"/>
  </sheetPr>
  <dimension ref="A1:BC188"/>
  <sheetViews>
    <sheetView topLeftCell="L93" workbookViewId="0">
      <selection activeCell="AF157" sqref="AF157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34" width="8.75" style="1" customWidth="1"/>
    <col min="35" max="37" width="8.75" style="1" hidden="1" customWidth="1"/>
    <col min="38" max="40" width="8.75" style="1" customWidth="1"/>
    <col min="41" max="43" width="8.75" style="1" hidden="1" customWidth="1"/>
    <col min="44" max="46" width="8.75" style="1" customWidth="1"/>
    <col min="47" max="49" width="8.75" style="1" hidden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56" width="0" style="1" hidden="1" customWidth="1"/>
    <col min="57" max="16384" width="10.75" style="1"/>
  </cols>
  <sheetData>
    <row r="1" spans="1:55" ht="12.75" thickBot="1" x14ac:dyDescent="0.25">
      <c r="D1" s="68" t="s">
        <v>12</v>
      </c>
      <c r="E1" s="69"/>
      <c r="F1" s="69"/>
      <c r="G1" s="69"/>
      <c r="H1" s="69"/>
      <c r="I1" s="69"/>
      <c r="J1" s="69"/>
      <c r="K1" s="69"/>
      <c r="L1" s="69"/>
      <c r="M1" s="69"/>
      <c r="N1" s="70"/>
      <c r="P1" s="68" t="s">
        <v>13</v>
      </c>
      <c r="Q1" s="69"/>
      <c r="R1" s="69"/>
      <c r="S1" s="69"/>
      <c r="T1" s="69"/>
      <c r="U1" s="69"/>
      <c r="V1" s="69"/>
      <c r="W1" s="69"/>
      <c r="X1" s="69"/>
      <c r="Y1" s="69"/>
      <c r="Z1" s="70"/>
      <c r="AA1" s="24"/>
      <c r="AB1" s="24" t="s">
        <v>74</v>
      </c>
      <c r="AC1" s="24" t="s">
        <v>75</v>
      </c>
      <c r="AD1" s="24"/>
      <c r="AE1" s="2"/>
      <c r="AF1" s="68" t="s">
        <v>62</v>
      </c>
      <c r="AG1" s="69"/>
      <c r="AH1" s="70"/>
      <c r="AI1" s="68" t="s">
        <v>61</v>
      </c>
      <c r="AJ1" s="69"/>
      <c r="AK1" s="70"/>
      <c r="AL1" s="68" t="s">
        <v>59</v>
      </c>
      <c r="AM1" s="69"/>
      <c r="AN1" s="70"/>
      <c r="AO1" s="68" t="s">
        <v>60</v>
      </c>
      <c r="AP1" s="69"/>
      <c r="AQ1" s="70"/>
      <c r="AR1" s="68" t="s">
        <v>76</v>
      </c>
      <c r="AS1" s="69"/>
      <c r="AT1" s="70"/>
      <c r="AU1" s="68" t="s">
        <v>76</v>
      </c>
      <c r="AV1" s="69"/>
      <c r="AW1" s="70"/>
      <c r="AX1" s="71" t="s">
        <v>71</v>
      </c>
      <c r="AY1" s="72"/>
      <c r="AZ1" s="24"/>
      <c r="BA1" s="72" t="s">
        <v>70</v>
      </c>
      <c r="BB1" s="72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3">
        <v>20721.509999999998</v>
      </c>
      <c r="E3" s="53">
        <v>44.472700000000003</v>
      </c>
      <c r="F3" s="53"/>
      <c r="G3" s="53"/>
      <c r="H3" s="53"/>
      <c r="I3" s="53"/>
      <c r="J3" s="53"/>
      <c r="K3" s="10">
        <v>0</v>
      </c>
      <c r="L3" s="10">
        <v>0</v>
      </c>
      <c r="M3" s="10">
        <v>0</v>
      </c>
      <c r="N3" s="11">
        <f t="shared" ref="N3:N66" si="0">K3/3600</f>
        <v>0</v>
      </c>
      <c r="P3" s="55">
        <v>20719.89</v>
      </c>
      <c r="Q3" s="55">
        <v>44.470500000000001</v>
      </c>
      <c r="R3" s="55"/>
      <c r="S3" s="55"/>
      <c r="T3" s="55"/>
      <c r="U3" s="55"/>
      <c r="V3" s="55"/>
      <c r="W3" s="10">
        <v>0</v>
      </c>
      <c r="X3" s="10">
        <v>0</v>
      </c>
      <c r="Y3" s="10">
        <v>0</v>
      </c>
      <c r="Z3" s="11">
        <f>W3/3600</f>
        <v>0</v>
      </c>
      <c r="AA3" s="10" t="e">
        <f t="shared" ref="AA3:AA66" si="1">V3/J3</f>
        <v>#DIV/0!</v>
      </c>
      <c r="AB3" s="10" t="e">
        <f t="shared" ref="AB3:AC18" si="2">X3/L3</f>
        <v>#DIV/0!</v>
      </c>
      <c r="AC3" s="10" t="e">
        <f t="shared" si="2"/>
        <v>#DIV/0!</v>
      </c>
      <c r="AD3" s="11">
        <f>ABS(P3-D3)/D3</f>
        <v>7.8179630731495026E-5</v>
      </c>
      <c r="AE3" s="40"/>
      <c r="AF3" s="25">
        <f t="shared" ref="AF3:AK3" si="3">bdRateExtend($D3:$D7,E3:E7,$P3:$P7,Q3:Q7)</f>
        <v>8.3724949303087826E-4</v>
      </c>
      <c r="AG3" s="30" t="e">
        <f t="shared" si="3"/>
        <v>#VALUE!</v>
      </c>
      <c r="AH3" s="31" t="e">
        <f t="shared" si="3"/>
        <v>#VALUE!</v>
      </c>
      <c r="AI3" s="25" t="e">
        <f t="shared" si="3"/>
        <v>#VALUE!</v>
      </c>
      <c r="AJ3" s="30" t="e">
        <f t="shared" si="3"/>
        <v>#VALUE!</v>
      </c>
      <c r="AK3" s="30" t="e">
        <f t="shared" si="3"/>
        <v>#VALUE!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5.1478478021538265E-4</v>
      </c>
      <c r="AS3" s="30" t="e">
        <f t="shared" si="4"/>
        <v>#VALUE!</v>
      </c>
      <c r="AT3" s="31" t="e">
        <f t="shared" si="4"/>
        <v>#VALUE!</v>
      </c>
      <c r="AU3" s="25" t="e">
        <f t="shared" si="4"/>
        <v>#VALUE!</v>
      </c>
      <c r="AV3" s="30" t="e">
        <f t="shared" si="4"/>
        <v>#VALUE!</v>
      </c>
      <c r="AW3" s="31" t="e">
        <f t="shared" si="4"/>
        <v>#VALUE!</v>
      </c>
      <c r="AX3" s="10"/>
      <c r="AY3" s="10"/>
      <c r="AZ3" s="10"/>
      <c r="BA3" s="10" t="e">
        <f>V3/J3</f>
        <v>#DIV/0!</v>
      </c>
      <c r="BB3" s="10" t="e">
        <f t="shared" ref="BB3:BB6" si="5">X3/L3</f>
        <v>#DIV/0!</v>
      </c>
      <c r="BC3" s="10" t="e">
        <f>Z3/N3</f>
        <v>#DIV/0!</v>
      </c>
    </row>
    <row r="4" spans="1:55" ht="15" x14ac:dyDescent="0.2">
      <c r="A4" s="13" t="s">
        <v>19</v>
      </c>
      <c r="C4" s="43">
        <v>27</v>
      </c>
      <c r="D4" s="53">
        <v>8912.9699999999993</v>
      </c>
      <c r="E4" s="53">
        <v>40.903599999999997</v>
      </c>
      <c r="F4" s="53"/>
      <c r="G4" s="53"/>
      <c r="H4" s="53"/>
      <c r="I4" s="53"/>
      <c r="J4" s="53"/>
      <c r="K4" s="15">
        <v>0</v>
      </c>
      <c r="L4" s="15">
        <v>0</v>
      </c>
      <c r="M4" s="15">
        <v>0</v>
      </c>
      <c r="N4" s="16">
        <f t="shared" si="0"/>
        <v>0</v>
      </c>
      <c r="P4" s="55">
        <v>8907.2099999999991</v>
      </c>
      <c r="Q4" s="55">
        <v>40.899900000000002</v>
      </c>
      <c r="R4" s="55"/>
      <c r="S4" s="55"/>
      <c r="T4" s="55"/>
      <c r="U4" s="55"/>
      <c r="V4" s="55"/>
      <c r="W4" s="15">
        <v>0</v>
      </c>
      <c r="X4" s="15">
        <v>0</v>
      </c>
      <c r="Y4" s="15">
        <v>0</v>
      </c>
      <c r="Z4" s="16">
        <f t="shared" ref="Z4:Z67" si="6">W4/3600</f>
        <v>0</v>
      </c>
      <c r="AA4" s="15" t="e">
        <f t="shared" si="1"/>
        <v>#DIV/0!</v>
      </c>
      <c r="AB4" s="15" t="e">
        <f t="shared" si="2"/>
        <v>#DIV/0!</v>
      </c>
      <c r="AC4" s="15" t="e">
        <f t="shared" si="2"/>
        <v>#DIV/0!</v>
      </c>
      <c r="AD4" s="16">
        <f t="shared" ref="AD4:AD67" si="7">ABS(P4-D4)/D4</f>
        <v>6.4624923005465284E-4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9.8220868706566655E-4</v>
      </c>
      <c r="AM4" s="21" t="e">
        <f>bdrate($D4:$D7,F4:F7,$P4:$P7,R4:R7)</f>
        <v>#VALUE!</v>
      </c>
      <c r="AN4" s="36" t="e">
        <f t="shared" ref="AN4" si="8">bdrate($D4:$D7,G4:G7,$P4:$P7,S4:S7)</f>
        <v>#VALUE!</v>
      </c>
      <c r="AO4" s="26" t="e">
        <f>bdrate($D4:$D7,H4:H7,$P4:$P7,T4:T7)</f>
        <v>#VALUE!</v>
      </c>
      <c r="AP4" s="21" t="e">
        <f>bdrate($D4:$D7,I4:I7,$P4:$P7,U4:U7)</f>
        <v>#VALUE!</v>
      </c>
      <c r="AQ4" s="36" t="e">
        <f>bdrate($D4:$D7,J4:J7,$P4:$P7,V4:V7)</f>
        <v>#VALUE!</v>
      </c>
      <c r="AR4" s="21"/>
      <c r="AS4" s="21"/>
      <c r="AT4" s="36"/>
      <c r="AU4" s="26"/>
      <c r="AV4" s="21"/>
      <c r="AW4" s="36"/>
      <c r="AX4" s="15" t="e">
        <f>V4/J4</f>
        <v>#DIV/0!</v>
      </c>
      <c r="AY4" s="15" t="e">
        <f t="shared" ref="AY4:AY7" si="9">X4/L4</f>
        <v>#DIV/0!</v>
      </c>
      <c r="AZ4" s="15" t="e">
        <f t="shared" ref="AZ4:AZ67" si="10">Z4/N4</f>
        <v>#DIV/0!</v>
      </c>
      <c r="BA4" s="15" t="e">
        <f>V4/J4</f>
        <v>#DIV/0!</v>
      </c>
      <c r="BB4" s="15" t="e">
        <f t="shared" si="5"/>
        <v>#DIV/0!</v>
      </c>
      <c r="BC4" s="15" t="e">
        <f t="shared" ref="BC4:BC66" si="11">Z4/N4</f>
        <v>#DIV/0!</v>
      </c>
    </row>
    <row r="5" spans="1:55" ht="15" x14ac:dyDescent="0.2">
      <c r="A5" s="13"/>
      <c r="B5" s="13"/>
      <c r="C5" s="43">
        <v>32</v>
      </c>
      <c r="D5" s="53">
        <v>3204.96</v>
      </c>
      <c r="E5" s="53">
        <v>38.310699999999997</v>
      </c>
      <c r="F5" s="53"/>
      <c r="G5" s="53"/>
      <c r="H5" s="53"/>
      <c r="I5" s="53"/>
      <c r="J5" s="53"/>
      <c r="K5" s="15">
        <v>0</v>
      </c>
      <c r="L5" s="15">
        <v>0</v>
      </c>
      <c r="M5" s="15">
        <v>0</v>
      </c>
      <c r="N5" s="16">
        <f t="shared" si="0"/>
        <v>0</v>
      </c>
      <c r="P5" s="55">
        <v>3203.61</v>
      </c>
      <c r="Q5" s="55">
        <v>38.3093</v>
      </c>
      <c r="R5" s="55"/>
      <c r="S5" s="55"/>
      <c r="T5" s="55"/>
      <c r="U5" s="55"/>
      <c r="V5" s="55"/>
      <c r="W5" s="15">
        <v>0</v>
      </c>
      <c r="X5" s="15">
        <v>0</v>
      </c>
      <c r="Y5" s="15">
        <v>0</v>
      </c>
      <c r="Z5" s="16">
        <f t="shared" si="6"/>
        <v>0</v>
      </c>
      <c r="AA5" s="15" t="e">
        <f t="shared" si="1"/>
        <v>#DIV/0!</v>
      </c>
      <c r="AB5" s="15" t="e">
        <f t="shared" si="2"/>
        <v>#DIV/0!</v>
      </c>
      <c r="AC5" s="15" t="e">
        <f t="shared" si="2"/>
        <v>#DIV/0!</v>
      </c>
      <c r="AD5" s="16">
        <f t="shared" si="7"/>
        <v>4.2122210573608066E-4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 t="e">
        <f>V5/J5</f>
        <v>#DIV/0!</v>
      </c>
      <c r="AY5" s="15" t="e">
        <f t="shared" si="9"/>
        <v>#DIV/0!</v>
      </c>
      <c r="AZ5" s="15" t="e">
        <f t="shared" si="10"/>
        <v>#DIV/0!</v>
      </c>
      <c r="BA5" s="15" t="e">
        <f>V5/J5</f>
        <v>#DIV/0!</v>
      </c>
      <c r="BB5" s="15" t="e">
        <f t="shared" si="5"/>
        <v>#DIV/0!</v>
      </c>
      <c r="BC5" s="15" t="e">
        <f t="shared" si="11"/>
        <v>#DIV/0!</v>
      </c>
    </row>
    <row r="6" spans="1:55" ht="15" x14ac:dyDescent="0.2">
      <c r="A6" s="13"/>
      <c r="B6" s="13"/>
      <c r="C6" s="43">
        <v>37</v>
      </c>
      <c r="D6" s="53">
        <v>1668.39</v>
      </c>
      <c r="E6" s="53">
        <v>36.691600000000001</v>
      </c>
      <c r="F6" s="53"/>
      <c r="G6" s="53"/>
      <c r="H6" s="53"/>
      <c r="I6" s="53"/>
      <c r="J6" s="53"/>
      <c r="K6" s="15">
        <v>0</v>
      </c>
      <c r="L6" s="15">
        <v>0</v>
      </c>
      <c r="M6" s="15">
        <v>0</v>
      </c>
      <c r="N6" s="16">
        <f t="shared" si="0"/>
        <v>0</v>
      </c>
      <c r="P6" s="55">
        <v>1675.95</v>
      </c>
      <c r="Q6" s="55">
        <v>36.697000000000003</v>
      </c>
      <c r="R6" s="55"/>
      <c r="S6" s="55"/>
      <c r="T6" s="55"/>
      <c r="U6" s="55"/>
      <c r="V6" s="55"/>
      <c r="W6" s="15">
        <v>0</v>
      </c>
      <c r="X6" s="15">
        <v>0</v>
      </c>
      <c r="Y6" s="15">
        <v>0</v>
      </c>
      <c r="Z6" s="16">
        <f t="shared" si="6"/>
        <v>0</v>
      </c>
      <c r="AA6" s="15" t="e">
        <f t="shared" si="1"/>
        <v>#DIV/0!</v>
      </c>
      <c r="AB6" s="15" t="e">
        <f t="shared" si="2"/>
        <v>#DIV/0!</v>
      </c>
      <c r="AC6" s="15" t="e">
        <f t="shared" si="2"/>
        <v>#DIV/0!</v>
      </c>
      <c r="AD6" s="16">
        <f t="shared" si="7"/>
        <v>4.5313146206821817E-3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 t="e">
        <f>V6/J6</f>
        <v>#DIV/0!</v>
      </c>
      <c r="AY6" s="15" t="e">
        <f t="shared" si="9"/>
        <v>#DIV/0!</v>
      </c>
      <c r="AZ6" s="15" t="e">
        <f t="shared" si="10"/>
        <v>#DIV/0!</v>
      </c>
      <c r="BA6" s="15" t="e">
        <f>V6/J6</f>
        <v>#DIV/0!</v>
      </c>
      <c r="BB6" s="15" t="e">
        <f t="shared" si="5"/>
        <v>#DIV/0!</v>
      </c>
      <c r="BC6" s="15" t="e">
        <f t="shared" si="11"/>
        <v>#DIV/0!</v>
      </c>
    </row>
    <row r="7" spans="1:55" ht="15.75" thickBot="1" x14ac:dyDescent="0.25">
      <c r="A7" s="13"/>
      <c r="B7" s="17"/>
      <c r="C7" s="44">
        <v>42</v>
      </c>
      <c r="D7" s="53">
        <v>894.09</v>
      </c>
      <c r="E7" s="53">
        <v>35.027700000000003</v>
      </c>
      <c r="F7" s="53"/>
      <c r="G7" s="53"/>
      <c r="H7" s="53"/>
      <c r="I7" s="53"/>
      <c r="J7" s="53"/>
      <c r="K7" s="19">
        <v>0</v>
      </c>
      <c r="L7" s="19">
        <v>0</v>
      </c>
      <c r="M7" s="19">
        <v>0</v>
      </c>
      <c r="N7" s="20">
        <f t="shared" si="0"/>
        <v>0</v>
      </c>
      <c r="P7" s="55">
        <v>893.79</v>
      </c>
      <c r="Q7" s="55">
        <v>35.023600000000002</v>
      </c>
      <c r="R7" s="55"/>
      <c r="S7" s="55"/>
      <c r="T7" s="55"/>
      <c r="U7" s="55"/>
      <c r="V7" s="55"/>
      <c r="W7" s="19">
        <v>0</v>
      </c>
      <c r="X7" s="19">
        <v>0</v>
      </c>
      <c r="Y7" s="19">
        <v>0</v>
      </c>
      <c r="Z7" s="20">
        <f t="shared" si="6"/>
        <v>0</v>
      </c>
      <c r="AA7" s="15" t="e">
        <f t="shared" si="1"/>
        <v>#DIV/0!</v>
      </c>
      <c r="AB7" s="15" t="e">
        <f t="shared" si="2"/>
        <v>#DIV/0!</v>
      </c>
      <c r="AC7" s="15" t="e">
        <f t="shared" si="2"/>
        <v>#DIV/0!</v>
      </c>
      <c r="AD7" s="20">
        <f t="shared" si="7"/>
        <v>3.3553669093723028E-4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 t="e">
        <f>V7/J7</f>
        <v>#DIV/0!</v>
      </c>
      <c r="AY7" s="15" t="e">
        <f t="shared" si="9"/>
        <v>#DIV/0!</v>
      </c>
      <c r="AZ7" s="15" t="e">
        <f t="shared" si="10"/>
        <v>#DIV/0!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3">
        <v>6077.1</v>
      </c>
      <c r="E8" s="53">
        <v>47.523699999999998</v>
      </c>
      <c r="F8" s="53"/>
      <c r="G8" s="53"/>
      <c r="H8" s="53"/>
      <c r="I8" s="53"/>
      <c r="J8" s="53"/>
      <c r="K8" s="10">
        <v>0</v>
      </c>
      <c r="L8" s="10">
        <v>0</v>
      </c>
      <c r="M8" s="10">
        <v>0</v>
      </c>
      <c r="N8" s="11">
        <f t="shared" si="0"/>
        <v>0</v>
      </c>
      <c r="P8" s="55">
        <v>6107.4</v>
      </c>
      <c r="Q8" s="55">
        <v>47.530799999999999</v>
      </c>
      <c r="R8" s="55"/>
      <c r="S8" s="55"/>
      <c r="T8" s="55"/>
      <c r="U8" s="55"/>
      <c r="V8" s="55"/>
      <c r="W8" s="10">
        <v>0</v>
      </c>
      <c r="X8" s="10">
        <v>0</v>
      </c>
      <c r="Y8" s="10">
        <v>0</v>
      </c>
      <c r="Z8" s="11">
        <f t="shared" si="6"/>
        <v>0</v>
      </c>
      <c r="AA8" s="15" t="e">
        <f t="shared" si="1"/>
        <v>#DIV/0!</v>
      </c>
      <c r="AB8" s="15" t="e">
        <f t="shared" si="2"/>
        <v>#DIV/0!</v>
      </c>
      <c r="AC8" s="15" t="e">
        <f t="shared" si="2"/>
        <v>#DIV/0!</v>
      </c>
      <c r="AD8" s="11">
        <f t="shared" si="7"/>
        <v>4.9859307893566455E-3</v>
      </c>
      <c r="AE8" s="12"/>
      <c r="AF8" s="25">
        <f t="shared" ref="AF8:AK8" si="12">bdRateExtend($D8:$D12,E8:E12,$P8:$P12,Q8:Q12)</f>
        <v>6.2970383725113876E-4</v>
      </c>
      <c r="AG8" s="30" t="e">
        <f t="shared" si="12"/>
        <v>#VALUE!</v>
      </c>
      <c r="AH8" s="31" t="e">
        <f t="shared" si="12"/>
        <v>#VALUE!</v>
      </c>
      <c r="AI8" s="25" t="e">
        <f t="shared" si="12"/>
        <v>#VALUE!</v>
      </c>
      <c r="AJ8" s="30" t="e">
        <f t="shared" si="12"/>
        <v>#VALUE!</v>
      </c>
      <c r="AK8" s="30" t="e">
        <f t="shared" si="12"/>
        <v>#VALUE!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-9.6320497471991118E-4</v>
      </c>
      <c r="AS8" s="30" t="e">
        <f t="shared" si="13"/>
        <v>#VALUE!</v>
      </c>
      <c r="AT8" s="31" t="e">
        <f t="shared" si="13"/>
        <v>#VALUE!</v>
      </c>
      <c r="AU8" s="25" t="e">
        <f t="shared" si="13"/>
        <v>#VALUE!</v>
      </c>
      <c r="AV8" s="30" t="e">
        <f t="shared" si="13"/>
        <v>#VALUE!</v>
      </c>
      <c r="AW8" s="31" t="e">
        <f t="shared" si="13"/>
        <v>#VALUE!</v>
      </c>
      <c r="AX8" s="15"/>
      <c r="AY8" s="15"/>
      <c r="AZ8" s="15"/>
      <c r="BA8" s="15" t="e">
        <f>V8/J8</f>
        <v>#DIV/0!</v>
      </c>
      <c r="BB8" s="15" t="e">
        <f t="shared" ref="BB8:BB11" si="14">X8/L8</f>
        <v>#DIV/0!</v>
      </c>
      <c r="BC8" s="15" t="e">
        <f t="shared" si="11"/>
        <v>#DIV/0!</v>
      </c>
    </row>
    <row r="9" spans="1:55" ht="15" x14ac:dyDescent="0.2">
      <c r="A9" s="13"/>
      <c r="B9" s="13"/>
      <c r="C9" s="43">
        <v>27</v>
      </c>
      <c r="D9" s="53">
        <v>2767.2</v>
      </c>
      <c r="E9" s="53">
        <v>46.576799999999999</v>
      </c>
      <c r="F9" s="53"/>
      <c r="G9" s="53"/>
      <c r="H9" s="53"/>
      <c r="I9" s="53"/>
      <c r="J9" s="53"/>
      <c r="K9" s="15">
        <v>0</v>
      </c>
      <c r="L9" s="15">
        <v>0</v>
      </c>
      <c r="M9" s="15">
        <v>0</v>
      </c>
      <c r="N9" s="16">
        <f t="shared" si="0"/>
        <v>0</v>
      </c>
      <c r="P9" s="55">
        <v>2767.44</v>
      </c>
      <c r="Q9" s="55">
        <v>46.579099999999997</v>
      </c>
      <c r="R9" s="55"/>
      <c r="S9" s="55"/>
      <c r="T9" s="55"/>
      <c r="U9" s="55"/>
      <c r="V9" s="55"/>
      <c r="W9" s="15">
        <v>0</v>
      </c>
      <c r="X9" s="15">
        <v>0</v>
      </c>
      <c r="Y9" s="15">
        <v>0</v>
      </c>
      <c r="Z9" s="16">
        <f t="shared" si="6"/>
        <v>0</v>
      </c>
      <c r="AA9" s="15" t="e">
        <f t="shared" si="1"/>
        <v>#DIV/0!</v>
      </c>
      <c r="AB9" s="15" t="e">
        <f t="shared" si="2"/>
        <v>#DIV/0!</v>
      </c>
      <c r="AC9" s="15" t="e">
        <f t="shared" si="2"/>
        <v>#DIV/0!</v>
      </c>
      <c r="AD9" s="16">
        <f t="shared" si="7"/>
        <v>8.673026886391894E-5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1.1267989741710061E-3</v>
      </c>
      <c r="AM9" s="21" t="e">
        <f>bdrate($D9:$D12,F9:F12,$P9:$P12,R9:R12)</f>
        <v>#VALUE!</v>
      </c>
      <c r="AN9" s="36" t="e">
        <f t="shared" ref="AN9" si="15">bdrate($D9:$D12,G9:G12,$P9:$P12,S9:S12)</f>
        <v>#VALUE!</v>
      </c>
      <c r="AO9" s="26" t="e">
        <f>bdrate($D9:$D12,H9:H12,$P9:$P12,T9:T12)</f>
        <v>#VALUE!</v>
      </c>
      <c r="AP9" s="21" t="e">
        <f>bdrate($D9:$D12,I9:I12,$P9:$P12,U9:U12)</f>
        <v>#VALUE!</v>
      </c>
      <c r="AQ9" s="36" t="e">
        <f>bdrate($D9:$D12,J9:J12,$P9:$P12,V9:V12)</f>
        <v>#VALUE!</v>
      </c>
      <c r="AR9" s="21"/>
      <c r="AS9" s="21"/>
      <c r="AT9" s="36"/>
      <c r="AU9" s="26"/>
      <c r="AV9" s="21"/>
      <c r="AW9" s="36"/>
      <c r="AX9" s="15" t="e">
        <f>V9/J9</f>
        <v>#DIV/0!</v>
      </c>
      <c r="AY9" s="15" t="e">
        <f t="shared" ref="AY9:AY12" si="16">X9/L9</f>
        <v>#DIV/0!</v>
      </c>
      <c r="AZ9" s="15" t="e">
        <f t="shared" si="10"/>
        <v>#DIV/0!</v>
      </c>
      <c r="BA9" s="15" t="e">
        <f>V9/J9</f>
        <v>#DIV/0!</v>
      </c>
      <c r="BB9" s="15" t="e">
        <f t="shared" si="14"/>
        <v>#DIV/0!</v>
      </c>
      <c r="BC9" s="15" t="e">
        <f t="shared" si="11"/>
        <v>#DIV/0!</v>
      </c>
    </row>
    <row r="10" spans="1:55" ht="15" x14ac:dyDescent="0.2">
      <c r="A10" s="13"/>
      <c r="B10" s="13"/>
      <c r="C10" s="43">
        <v>32</v>
      </c>
      <c r="D10" s="53">
        <v>1745.58</v>
      </c>
      <c r="E10" s="53">
        <v>45.583799999999997</v>
      </c>
      <c r="F10" s="53"/>
      <c r="G10" s="53"/>
      <c r="H10" s="53"/>
      <c r="I10" s="53"/>
      <c r="J10" s="53"/>
      <c r="K10" s="15">
        <v>0</v>
      </c>
      <c r="L10" s="15">
        <v>0</v>
      </c>
      <c r="M10" s="15">
        <v>0</v>
      </c>
      <c r="N10" s="16">
        <f t="shared" si="0"/>
        <v>0</v>
      </c>
      <c r="P10" s="55">
        <v>1733.46</v>
      </c>
      <c r="Q10" s="55">
        <v>45.571800000000003</v>
      </c>
      <c r="R10" s="55"/>
      <c r="S10" s="55"/>
      <c r="T10" s="55"/>
      <c r="U10" s="55"/>
      <c r="V10" s="55"/>
      <c r="W10" s="15">
        <v>0</v>
      </c>
      <c r="X10" s="15">
        <v>0</v>
      </c>
      <c r="Y10" s="15">
        <v>0</v>
      </c>
      <c r="Z10" s="16">
        <f t="shared" si="6"/>
        <v>0</v>
      </c>
      <c r="AA10" s="15" t="e">
        <f t="shared" si="1"/>
        <v>#DIV/0!</v>
      </c>
      <c r="AB10" s="15" t="e">
        <f t="shared" si="2"/>
        <v>#DIV/0!</v>
      </c>
      <c r="AC10" s="15" t="e">
        <f t="shared" si="2"/>
        <v>#DIV/0!</v>
      </c>
      <c r="AD10" s="16">
        <f t="shared" si="7"/>
        <v>6.943250953837631E-3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 t="e">
        <f>V10/J10</f>
        <v>#DIV/0!</v>
      </c>
      <c r="AY10" s="15" t="e">
        <f t="shared" si="16"/>
        <v>#DIV/0!</v>
      </c>
      <c r="AZ10" s="15" t="e">
        <f t="shared" si="10"/>
        <v>#DIV/0!</v>
      </c>
      <c r="BA10" s="15" t="e">
        <f>V10/J10</f>
        <v>#DIV/0!</v>
      </c>
      <c r="BB10" s="15" t="e">
        <f t="shared" si="14"/>
        <v>#DIV/0!</v>
      </c>
      <c r="BC10" s="15" t="e">
        <f t="shared" si="11"/>
        <v>#DIV/0!</v>
      </c>
    </row>
    <row r="11" spans="1:55" ht="15" x14ac:dyDescent="0.2">
      <c r="A11" s="13"/>
      <c r="B11" s="13"/>
      <c r="C11" s="43">
        <v>37</v>
      </c>
      <c r="D11" s="53">
        <v>1133.46</v>
      </c>
      <c r="E11" s="53">
        <v>44.218200000000003</v>
      </c>
      <c r="F11" s="53"/>
      <c r="G11" s="53"/>
      <c r="H11" s="53"/>
      <c r="I11" s="53"/>
      <c r="J11" s="53"/>
      <c r="K11" s="15">
        <v>0</v>
      </c>
      <c r="L11" s="15">
        <v>0</v>
      </c>
      <c r="M11" s="15">
        <v>0</v>
      </c>
      <c r="N11" s="16">
        <f t="shared" si="0"/>
        <v>0</v>
      </c>
      <c r="P11" s="55">
        <v>1132.44</v>
      </c>
      <c r="Q11" s="55">
        <v>44.196300000000001</v>
      </c>
      <c r="R11" s="55"/>
      <c r="S11" s="55"/>
      <c r="T11" s="55"/>
      <c r="U11" s="55"/>
      <c r="V11" s="55"/>
      <c r="W11" s="15">
        <v>0</v>
      </c>
      <c r="X11" s="15">
        <v>0</v>
      </c>
      <c r="Y11" s="15">
        <v>0</v>
      </c>
      <c r="Z11" s="16">
        <f t="shared" si="6"/>
        <v>0</v>
      </c>
      <c r="AA11" s="15" t="e">
        <f t="shared" si="1"/>
        <v>#DIV/0!</v>
      </c>
      <c r="AB11" s="15" t="e">
        <f t="shared" si="2"/>
        <v>#DIV/0!</v>
      </c>
      <c r="AC11" s="15" t="e">
        <f t="shared" si="2"/>
        <v>#DIV/0!</v>
      </c>
      <c r="AD11" s="16">
        <f t="shared" si="7"/>
        <v>8.9989942300564799E-4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 t="e">
        <f>V11/J11</f>
        <v>#DIV/0!</v>
      </c>
      <c r="AY11" s="15" t="e">
        <f t="shared" si="16"/>
        <v>#DIV/0!</v>
      </c>
      <c r="AZ11" s="15" t="e">
        <f t="shared" si="10"/>
        <v>#DIV/0!</v>
      </c>
      <c r="BA11" s="15" t="e">
        <f>V11/J11</f>
        <v>#DIV/0!</v>
      </c>
      <c r="BB11" s="15" t="e">
        <f t="shared" si="14"/>
        <v>#DIV/0!</v>
      </c>
      <c r="BC11" s="15" t="e">
        <f t="shared" si="11"/>
        <v>#DIV/0!</v>
      </c>
    </row>
    <row r="12" spans="1:55" ht="15.75" thickBot="1" x14ac:dyDescent="0.25">
      <c r="A12" s="13"/>
      <c r="B12" s="17"/>
      <c r="C12" s="44">
        <v>42</v>
      </c>
      <c r="D12" s="53">
        <v>746.46</v>
      </c>
      <c r="E12" s="53">
        <v>42.343699999999998</v>
      </c>
      <c r="F12" s="53"/>
      <c r="G12" s="53"/>
      <c r="H12" s="53"/>
      <c r="I12" s="53"/>
      <c r="J12" s="53"/>
      <c r="K12" s="19">
        <v>0</v>
      </c>
      <c r="L12" s="19">
        <v>0</v>
      </c>
      <c r="M12" s="19">
        <v>0</v>
      </c>
      <c r="N12" s="20">
        <f t="shared" si="0"/>
        <v>0</v>
      </c>
      <c r="P12" s="55">
        <v>742.8</v>
      </c>
      <c r="Q12" s="55">
        <v>42.3324</v>
      </c>
      <c r="R12" s="55"/>
      <c r="S12" s="55"/>
      <c r="T12" s="55"/>
      <c r="U12" s="55"/>
      <c r="V12" s="55"/>
      <c r="W12" s="19">
        <v>0</v>
      </c>
      <c r="X12" s="19">
        <v>0</v>
      </c>
      <c r="Y12" s="19">
        <v>0</v>
      </c>
      <c r="Z12" s="20">
        <f t="shared" si="6"/>
        <v>0</v>
      </c>
      <c r="AA12" s="15" t="e">
        <f t="shared" si="1"/>
        <v>#DIV/0!</v>
      </c>
      <c r="AB12" s="15" t="e">
        <f t="shared" si="2"/>
        <v>#DIV/0!</v>
      </c>
      <c r="AC12" s="15" t="e">
        <f t="shared" si="2"/>
        <v>#DIV/0!</v>
      </c>
      <c r="AD12" s="20">
        <f t="shared" si="7"/>
        <v>4.903142834177426E-3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 t="e">
        <f>V12/J12</f>
        <v>#DIV/0!</v>
      </c>
      <c r="AY12" s="15" t="e">
        <f t="shared" si="16"/>
        <v>#DIV/0!</v>
      </c>
      <c r="AZ12" s="15" t="e">
        <f t="shared" si="10"/>
        <v>#DIV/0!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3">
        <v>18477.84</v>
      </c>
      <c r="E13" s="53">
        <v>43.499000000000002</v>
      </c>
      <c r="F13" s="53"/>
      <c r="G13" s="53"/>
      <c r="H13" s="53"/>
      <c r="I13" s="53"/>
      <c r="J13" s="53"/>
      <c r="K13" s="10">
        <v>0</v>
      </c>
      <c r="L13" s="10">
        <v>0</v>
      </c>
      <c r="M13" s="10">
        <v>0</v>
      </c>
      <c r="N13" s="11">
        <f t="shared" si="0"/>
        <v>0</v>
      </c>
      <c r="P13" s="55">
        <v>18472.5</v>
      </c>
      <c r="Q13" s="55">
        <v>43.498699999999999</v>
      </c>
      <c r="R13" s="55"/>
      <c r="S13" s="55"/>
      <c r="T13" s="55"/>
      <c r="U13" s="55"/>
      <c r="V13" s="55"/>
      <c r="W13" s="10">
        <v>0</v>
      </c>
      <c r="X13" s="10">
        <v>0</v>
      </c>
      <c r="Y13" s="10">
        <v>0</v>
      </c>
      <c r="Z13" s="11">
        <f t="shared" si="6"/>
        <v>0</v>
      </c>
      <c r="AA13" s="15" t="e">
        <f t="shared" si="1"/>
        <v>#DIV/0!</v>
      </c>
      <c r="AB13" s="15" t="e">
        <f t="shared" si="2"/>
        <v>#DIV/0!</v>
      </c>
      <c r="AC13" s="15" t="e">
        <f t="shared" si="2"/>
        <v>#DIV/0!</v>
      </c>
      <c r="AD13" s="11">
        <f t="shared" si="7"/>
        <v>2.889948175760882E-4</v>
      </c>
      <c r="AE13" s="12"/>
      <c r="AF13" s="25">
        <f t="shared" ref="AF13:AK13" si="17">bdRateExtend($D13:$D17,E13:E17,$P13:$P17,Q13:Q17)</f>
        <v>3.3438016448639196E-4</v>
      </c>
      <c r="AG13" s="30" t="e">
        <f t="shared" si="17"/>
        <v>#VALUE!</v>
      </c>
      <c r="AH13" s="31" t="e">
        <f t="shared" si="17"/>
        <v>#VALUE!</v>
      </c>
      <c r="AI13" s="25" t="e">
        <f t="shared" si="17"/>
        <v>#VALUE!</v>
      </c>
      <c r="AJ13" s="30" t="e">
        <f t="shared" si="17"/>
        <v>#VALUE!</v>
      </c>
      <c r="AK13" s="30" t="e">
        <f t="shared" si="17"/>
        <v>#VALUE!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-1.52592426082232E-4</v>
      </c>
      <c r="AS13" s="30" t="e">
        <f t="shared" si="18"/>
        <v>#VALUE!</v>
      </c>
      <c r="AT13" s="31" t="e">
        <f t="shared" si="18"/>
        <v>#VALUE!</v>
      </c>
      <c r="AU13" s="25" t="e">
        <f t="shared" si="18"/>
        <v>#VALUE!</v>
      </c>
      <c r="AV13" s="30" t="e">
        <f t="shared" si="18"/>
        <v>#VALUE!</v>
      </c>
      <c r="AW13" s="31" t="e">
        <f t="shared" si="18"/>
        <v>#VALUE!</v>
      </c>
      <c r="AX13" s="15"/>
      <c r="AY13" s="15"/>
      <c r="AZ13" s="15"/>
      <c r="BA13" s="15" t="e">
        <f>V13/J13</f>
        <v>#DIV/0!</v>
      </c>
      <c r="BB13" s="15" t="e">
        <f t="shared" ref="BB13:BB16" si="19">X13/L13</f>
        <v>#DIV/0!</v>
      </c>
      <c r="BC13" s="15" t="e">
        <f t="shared" si="11"/>
        <v>#DIV/0!</v>
      </c>
    </row>
    <row r="14" spans="1:55" ht="15" x14ac:dyDescent="0.2">
      <c r="A14" s="13"/>
      <c r="B14" s="13"/>
      <c r="C14" s="43">
        <v>27</v>
      </c>
      <c r="D14" s="53">
        <v>4394.28</v>
      </c>
      <c r="E14" s="53">
        <v>41.684800000000003</v>
      </c>
      <c r="F14" s="53"/>
      <c r="G14" s="53"/>
      <c r="H14" s="53"/>
      <c r="I14" s="53"/>
      <c r="J14" s="53"/>
      <c r="K14" s="15">
        <v>0</v>
      </c>
      <c r="L14" s="15">
        <v>0</v>
      </c>
      <c r="M14" s="15">
        <v>0</v>
      </c>
      <c r="N14" s="16">
        <f t="shared" si="0"/>
        <v>0</v>
      </c>
      <c r="P14" s="55">
        <v>4395.72</v>
      </c>
      <c r="Q14" s="55">
        <v>41.686</v>
      </c>
      <c r="R14" s="55"/>
      <c r="S14" s="55"/>
      <c r="T14" s="55"/>
      <c r="U14" s="55"/>
      <c r="V14" s="55"/>
      <c r="W14" s="15">
        <v>0</v>
      </c>
      <c r="X14" s="15">
        <v>0</v>
      </c>
      <c r="Y14" s="15">
        <v>0</v>
      </c>
      <c r="Z14" s="16">
        <f t="shared" si="6"/>
        <v>0</v>
      </c>
      <c r="AA14" s="15" t="e">
        <f t="shared" si="1"/>
        <v>#DIV/0!</v>
      </c>
      <c r="AB14" s="15" t="e">
        <f t="shared" si="2"/>
        <v>#DIV/0!</v>
      </c>
      <c r="AC14" s="15" t="e">
        <f t="shared" si="2"/>
        <v>#DIV/0!</v>
      </c>
      <c r="AD14" s="16">
        <f t="shared" si="7"/>
        <v>3.2769873562916096E-4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5.70643706348406E-4</v>
      </c>
      <c r="AM14" s="21" t="e">
        <f>bdrate($D14:$D17,F14:F17,$P14:$P17,R14:R17)</f>
        <v>#VALUE!</v>
      </c>
      <c r="AN14" s="36" t="e">
        <f t="shared" ref="AN14" si="20">bdrate($D14:$D17,G14:G17,$P14:$P17,S14:S17)</f>
        <v>#VALUE!</v>
      </c>
      <c r="AO14" s="26" t="e">
        <f>bdrate($D14:$D17,H14:H17,$P14:$P17,T14:T17)</f>
        <v>#VALUE!</v>
      </c>
      <c r="AP14" s="21" t="e">
        <f>bdrate($D14:$D17,I14:I17,$P14:$P17,U14:U17)</f>
        <v>#VALUE!</v>
      </c>
      <c r="AQ14" s="36" t="e">
        <f>bdrate($D14:$D17,J14:J17,$P14:$P17,V14:V17)</f>
        <v>#VALUE!</v>
      </c>
      <c r="AR14" s="21"/>
      <c r="AS14" s="21"/>
      <c r="AT14" s="36"/>
      <c r="AU14" s="26"/>
      <c r="AV14" s="21"/>
      <c r="AW14" s="36"/>
      <c r="AX14" s="15" t="e">
        <f>V14/J14</f>
        <v>#DIV/0!</v>
      </c>
      <c r="AY14" s="15" t="e">
        <f t="shared" ref="AY14:AY17" si="21">X14/L14</f>
        <v>#DIV/0!</v>
      </c>
      <c r="AZ14" s="15" t="e">
        <f t="shared" si="10"/>
        <v>#DIV/0!</v>
      </c>
      <c r="BA14" s="15" t="e">
        <f>V14/J14</f>
        <v>#DIV/0!</v>
      </c>
      <c r="BB14" s="15" t="e">
        <f t="shared" si="19"/>
        <v>#DIV/0!</v>
      </c>
      <c r="BC14" s="15" t="e">
        <f t="shared" si="11"/>
        <v>#DIV/0!</v>
      </c>
    </row>
    <row r="15" spans="1:55" ht="15" x14ac:dyDescent="0.2">
      <c r="A15" s="13"/>
      <c r="B15" s="13"/>
      <c r="C15" s="43">
        <v>32</v>
      </c>
      <c r="D15" s="53">
        <v>2465.52</v>
      </c>
      <c r="E15" s="53">
        <v>40.764499999999998</v>
      </c>
      <c r="F15" s="53"/>
      <c r="G15" s="53"/>
      <c r="H15" s="53"/>
      <c r="I15" s="53"/>
      <c r="J15" s="53"/>
      <c r="K15" s="15">
        <v>0</v>
      </c>
      <c r="L15" s="15">
        <v>0</v>
      </c>
      <c r="M15" s="15">
        <v>0</v>
      </c>
      <c r="N15" s="16">
        <f t="shared" si="0"/>
        <v>0</v>
      </c>
      <c r="P15" s="55">
        <v>2467.44</v>
      </c>
      <c r="Q15" s="55">
        <v>40.767499999999998</v>
      </c>
      <c r="R15" s="55"/>
      <c r="S15" s="55"/>
      <c r="T15" s="55"/>
      <c r="U15" s="55"/>
      <c r="V15" s="55"/>
      <c r="W15" s="15">
        <v>0</v>
      </c>
      <c r="X15" s="15">
        <v>0</v>
      </c>
      <c r="Y15" s="15">
        <v>0</v>
      </c>
      <c r="Z15" s="16">
        <f t="shared" si="6"/>
        <v>0</v>
      </c>
      <c r="AA15" s="15" t="e">
        <f t="shared" si="1"/>
        <v>#DIV/0!</v>
      </c>
      <c r="AB15" s="15" t="e">
        <f t="shared" si="2"/>
        <v>#DIV/0!</v>
      </c>
      <c r="AC15" s="15" t="e">
        <f t="shared" si="2"/>
        <v>#DIV/0!</v>
      </c>
      <c r="AD15" s="16">
        <f t="shared" si="7"/>
        <v>7.7874038742337223E-4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 t="e">
        <f>V15/J15</f>
        <v>#DIV/0!</v>
      </c>
      <c r="AY15" s="15" t="e">
        <f t="shared" si="21"/>
        <v>#DIV/0!</v>
      </c>
      <c r="AZ15" s="15" t="e">
        <f t="shared" si="10"/>
        <v>#DIV/0!</v>
      </c>
      <c r="BA15" s="15" t="e">
        <f>V15/J15</f>
        <v>#DIV/0!</v>
      </c>
      <c r="BB15" s="15" t="e">
        <f t="shared" si="19"/>
        <v>#DIV/0!</v>
      </c>
      <c r="BC15" s="15" t="e">
        <f t="shared" si="11"/>
        <v>#DIV/0!</v>
      </c>
    </row>
    <row r="16" spans="1:55" ht="15" x14ac:dyDescent="0.2">
      <c r="A16" s="13"/>
      <c r="B16" s="13"/>
      <c r="C16" s="43">
        <v>37</v>
      </c>
      <c r="D16" s="53">
        <v>1441.8</v>
      </c>
      <c r="E16" s="53">
        <v>39.523200000000003</v>
      </c>
      <c r="F16" s="53"/>
      <c r="G16" s="53"/>
      <c r="H16" s="53"/>
      <c r="I16" s="53"/>
      <c r="J16" s="53"/>
      <c r="K16" s="15">
        <v>0</v>
      </c>
      <c r="L16" s="15">
        <v>0</v>
      </c>
      <c r="M16" s="15">
        <v>0</v>
      </c>
      <c r="N16" s="16">
        <f t="shared" si="0"/>
        <v>0</v>
      </c>
      <c r="P16" s="55">
        <v>1443.48</v>
      </c>
      <c r="Q16" s="55">
        <v>39.520099999999999</v>
      </c>
      <c r="R16" s="55"/>
      <c r="S16" s="55"/>
      <c r="T16" s="55"/>
      <c r="U16" s="55"/>
      <c r="V16" s="55"/>
      <c r="W16" s="15">
        <v>0</v>
      </c>
      <c r="X16" s="15">
        <v>0</v>
      </c>
      <c r="Y16" s="15">
        <v>0</v>
      </c>
      <c r="Z16" s="16">
        <f t="shared" si="6"/>
        <v>0</v>
      </c>
      <c r="AA16" s="15" t="e">
        <f t="shared" si="1"/>
        <v>#DIV/0!</v>
      </c>
      <c r="AB16" s="15" t="e">
        <f t="shared" si="2"/>
        <v>#DIV/0!</v>
      </c>
      <c r="AC16" s="15" t="e">
        <f t="shared" si="2"/>
        <v>#DIV/0!</v>
      </c>
      <c r="AD16" s="16">
        <f t="shared" si="7"/>
        <v>1.1652101539742432E-3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 t="e">
        <f>V16/J16</f>
        <v>#DIV/0!</v>
      </c>
      <c r="AY16" s="15" t="e">
        <f t="shared" si="21"/>
        <v>#DIV/0!</v>
      </c>
      <c r="AZ16" s="15" t="e">
        <f t="shared" si="10"/>
        <v>#DIV/0!</v>
      </c>
      <c r="BA16" s="15" t="e">
        <f>V16/J16</f>
        <v>#DIV/0!</v>
      </c>
      <c r="BB16" s="15" t="e">
        <f t="shared" si="19"/>
        <v>#DIV/0!</v>
      </c>
      <c r="BC16" s="15" t="e">
        <f t="shared" si="11"/>
        <v>#DIV/0!</v>
      </c>
    </row>
    <row r="17" spans="1:55" ht="15.75" thickBot="1" x14ac:dyDescent="0.25">
      <c r="A17" s="13"/>
      <c r="B17" s="17"/>
      <c r="C17" s="44">
        <v>42</v>
      </c>
      <c r="D17" s="53">
        <v>862.44</v>
      </c>
      <c r="E17" s="53">
        <v>37.832000000000001</v>
      </c>
      <c r="F17" s="53"/>
      <c r="G17" s="53"/>
      <c r="H17" s="53"/>
      <c r="I17" s="53"/>
      <c r="J17" s="53"/>
      <c r="K17" s="19">
        <v>0</v>
      </c>
      <c r="L17" s="19">
        <v>0</v>
      </c>
      <c r="M17" s="19">
        <v>0</v>
      </c>
      <c r="N17" s="20">
        <f t="shared" si="0"/>
        <v>0</v>
      </c>
      <c r="P17" s="55">
        <v>865.2</v>
      </c>
      <c r="Q17" s="55">
        <v>37.850700000000003</v>
      </c>
      <c r="R17" s="55"/>
      <c r="S17" s="55"/>
      <c r="T17" s="55"/>
      <c r="U17" s="55"/>
      <c r="V17" s="55"/>
      <c r="W17" s="19">
        <v>0</v>
      </c>
      <c r="X17" s="19">
        <v>0</v>
      </c>
      <c r="Y17" s="19">
        <v>0</v>
      </c>
      <c r="Z17" s="20">
        <f t="shared" si="6"/>
        <v>0</v>
      </c>
      <c r="AA17" s="15" t="e">
        <f t="shared" si="1"/>
        <v>#DIV/0!</v>
      </c>
      <c r="AB17" s="15" t="e">
        <f t="shared" si="2"/>
        <v>#DIV/0!</v>
      </c>
      <c r="AC17" s="15" t="e">
        <f t="shared" si="2"/>
        <v>#DIV/0!</v>
      </c>
      <c r="AD17" s="20">
        <f t="shared" si="7"/>
        <v>3.2002226241825411E-3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 t="e">
        <f>V17/J17</f>
        <v>#DIV/0!</v>
      </c>
      <c r="AY17" s="15" t="e">
        <f t="shared" si="21"/>
        <v>#DIV/0!</v>
      </c>
      <c r="AZ17" s="15" t="e">
        <f t="shared" si="10"/>
        <v>#DIV/0!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3">
        <v>34412.22</v>
      </c>
      <c r="E18" s="53">
        <v>43.014600000000002</v>
      </c>
      <c r="F18" s="53"/>
      <c r="G18" s="53"/>
      <c r="H18" s="53"/>
      <c r="I18" s="53"/>
      <c r="J18" s="53"/>
      <c r="K18" s="10">
        <v>0</v>
      </c>
      <c r="L18" s="10">
        <v>0</v>
      </c>
      <c r="M18" s="10">
        <v>0</v>
      </c>
      <c r="N18" s="11">
        <f t="shared" si="0"/>
        <v>0</v>
      </c>
      <c r="P18" s="55">
        <v>34435.800000000003</v>
      </c>
      <c r="Q18" s="55">
        <v>43.015000000000001</v>
      </c>
      <c r="R18" s="55"/>
      <c r="S18" s="55"/>
      <c r="T18" s="55"/>
      <c r="U18" s="55"/>
      <c r="V18" s="55"/>
      <c r="W18" s="10">
        <v>0</v>
      </c>
      <c r="X18" s="10">
        <v>0</v>
      </c>
      <c r="Y18" s="10">
        <v>0</v>
      </c>
      <c r="Z18" s="11">
        <f t="shared" si="6"/>
        <v>0</v>
      </c>
      <c r="AA18" s="10" t="e">
        <f t="shared" si="1"/>
        <v>#DIV/0!</v>
      </c>
      <c r="AB18" s="10" t="e">
        <f t="shared" si="2"/>
        <v>#DIV/0!</v>
      </c>
      <c r="AC18" s="10" t="e">
        <f t="shared" si="2"/>
        <v>#DIV/0!</v>
      </c>
      <c r="AD18" s="11">
        <f t="shared" si="7"/>
        <v>6.8522170322059272E-4</v>
      </c>
      <c r="AE18" s="40"/>
      <c r="AF18" s="25">
        <f t="shared" ref="AF18:AK18" si="22">bdRateExtend($D18:$D22,E18:E22,$P18:$P22,Q18:Q22)</f>
        <v>-2.0182330294737927E-4</v>
      </c>
      <c r="AG18" s="30" t="e">
        <f t="shared" si="22"/>
        <v>#VALUE!</v>
      </c>
      <c r="AH18" s="31" t="e">
        <f t="shared" si="22"/>
        <v>#VALUE!</v>
      </c>
      <c r="AI18" s="25" t="e">
        <f t="shared" si="22"/>
        <v>#VALUE!</v>
      </c>
      <c r="AJ18" s="30" t="e">
        <f t="shared" si="22"/>
        <v>#VALUE!</v>
      </c>
      <c r="AK18" s="30" t="e">
        <f t="shared" si="22"/>
        <v>#VALUE!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7.240934766874485E-4</v>
      </c>
      <c r="AS18" s="30" t="e">
        <f t="shared" si="23"/>
        <v>#VALUE!</v>
      </c>
      <c r="AT18" s="31" t="e">
        <f t="shared" si="23"/>
        <v>#VALUE!</v>
      </c>
      <c r="AU18" s="25" t="e">
        <f t="shared" si="23"/>
        <v>#VALUE!</v>
      </c>
      <c r="AV18" s="30" t="e">
        <f t="shared" si="23"/>
        <v>#VALUE!</v>
      </c>
      <c r="AW18" s="31" t="e">
        <f t="shared" si="23"/>
        <v>#VALUE!</v>
      </c>
      <c r="AX18" s="10"/>
      <c r="AY18" s="10"/>
      <c r="AZ18" s="10"/>
      <c r="BA18" s="10" t="e">
        <f>V18/J18</f>
        <v>#DIV/0!</v>
      </c>
      <c r="BB18" s="10" t="e">
        <f t="shared" ref="BB18:BB21" si="24">X18/L18</f>
        <v>#DIV/0!</v>
      </c>
      <c r="BC18" s="10" t="e">
        <f t="shared" si="11"/>
        <v>#DIV/0!</v>
      </c>
    </row>
    <row r="19" spans="1:55" ht="15" x14ac:dyDescent="0.2">
      <c r="A19" s="13" t="s">
        <v>19</v>
      </c>
      <c r="B19" s="13"/>
      <c r="C19" s="43">
        <v>27</v>
      </c>
      <c r="D19" s="53">
        <v>9928.32</v>
      </c>
      <c r="E19" s="53">
        <v>40.496499999999997</v>
      </c>
      <c r="F19" s="53"/>
      <c r="G19" s="53"/>
      <c r="H19" s="53"/>
      <c r="I19" s="53"/>
      <c r="J19" s="53"/>
      <c r="K19" s="15">
        <v>0</v>
      </c>
      <c r="L19" s="15">
        <v>0</v>
      </c>
      <c r="M19" s="15">
        <v>0</v>
      </c>
      <c r="N19" s="16">
        <f t="shared" si="0"/>
        <v>0</v>
      </c>
      <c r="P19" s="55">
        <v>9910.44</v>
      </c>
      <c r="Q19" s="55">
        <v>40.491700000000002</v>
      </c>
      <c r="R19" s="55"/>
      <c r="S19" s="55"/>
      <c r="T19" s="55"/>
      <c r="U19" s="55"/>
      <c r="V19" s="55"/>
      <c r="W19" s="15">
        <v>0</v>
      </c>
      <c r="X19" s="15">
        <v>0</v>
      </c>
      <c r="Y19" s="15">
        <v>0</v>
      </c>
      <c r="Z19" s="16">
        <f t="shared" si="6"/>
        <v>0</v>
      </c>
      <c r="AA19" s="15" t="e">
        <f t="shared" si="1"/>
        <v>#DIV/0!</v>
      </c>
      <c r="AB19" s="15" t="e">
        <f t="shared" ref="AB19:AC32" si="25">X19/L19</f>
        <v>#DIV/0!</v>
      </c>
      <c r="AC19" s="15" t="e">
        <f t="shared" si="25"/>
        <v>#DIV/0!</v>
      </c>
      <c r="AD19" s="16">
        <f t="shared" si="7"/>
        <v>1.800908915103381E-3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-1.8014717434078342E-4</v>
      </c>
      <c r="AM19" s="21" t="e">
        <f>bdrate($D19:$D22,F19:F22,$P19:$P22,R19:R22)</f>
        <v>#VALUE!</v>
      </c>
      <c r="AN19" s="36" t="e">
        <f t="shared" ref="AN19" si="26">bdrate($D19:$D22,G19:G22,$P19:$P22,S19:S22)</f>
        <v>#VALUE!</v>
      </c>
      <c r="AO19" s="26" t="e">
        <f>bdrate($D19:$D22,H19:H22,$P19:$P22,T19:T22)</f>
        <v>#VALUE!</v>
      </c>
      <c r="AP19" s="21" t="e">
        <f>bdrate($D19:$D22,I19:I22,$P19:$P22,U19:U22)</f>
        <v>#VALUE!</v>
      </c>
      <c r="AQ19" s="36" t="e">
        <f>bdrate($D19:$D22,J19:J22,$P19:$P22,V19:V22)</f>
        <v>#VALUE!</v>
      </c>
      <c r="AR19" s="21"/>
      <c r="AS19" s="21"/>
      <c r="AT19" s="36"/>
      <c r="AU19" s="26"/>
      <c r="AV19" s="21"/>
      <c r="AW19" s="36"/>
      <c r="AX19" s="15" t="e">
        <f>V19/J19</f>
        <v>#DIV/0!</v>
      </c>
      <c r="AY19" s="15" t="e">
        <f t="shared" ref="AY19:AY22" si="27">X19/L19</f>
        <v>#DIV/0!</v>
      </c>
      <c r="AZ19" s="15" t="e">
        <f t="shared" si="10"/>
        <v>#DIV/0!</v>
      </c>
      <c r="BA19" s="15" t="e">
        <f>V19/J19</f>
        <v>#DIV/0!</v>
      </c>
      <c r="BB19" s="15" t="e">
        <f t="shared" si="24"/>
        <v>#DIV/0!</v>
      </c>
      <c r="BC19" s="15" t="e">
        <f t="shared" si="11"/>
        <v>#DIV/0!</v>
      </c>
    </row>
    <row r="20" spans="1:55" ht="15" x14ac:dyDescent="0.2">
      <c r="A20" s="13"/>
      <c r="B20" s="13"/>
      <c r="C20" s="43">
        <v>32</v>
      </c>
      <c r="D20" s="53">
        <v>5696.28</v>
      </c>
      <c r="E20" s="53">
        <v>39.125500000000002</v>
      </c>
      <c r="F20" s="53"/>
      <c r="G20" s="53"/>
      <c r="H20" s="53"/>
      <c r="I20" s="53"/>
      <c r="J20" s="53"/>
      <c r="K20" s="15">
        <v>0</v>
      </c>
      <c r="L20" s="15">
        <v>0</v>
      </c>
      <c r="M20" s="15">
        <v>0</v>
      </c>
      <c r="N20" s="16">
        <f t="shared" si="0"/>
        <v>0</v>
      </c>
      <c r="P20" s="55">
        <v>5707.08</v>
      </c>
      <c r="Q20" s="55">
        <v>39.1235</v>
      </c>
      <c r="R20" s="55"/>
      <c r="S20" s="55"/>
      <c r="T20" s="55"/>
      <c r="U20" s="55"/>
      <c r="V20" s="55"/>
      <c r="W20" s="15">
        <v>0</v>
      </c>
      <c r="X20" s="15">
        <v>0</v>
      </c>
      <c r="Y20" s="15">
        <v>0</v>
      </c>
      <c r="Z20" s="16">
        <f t="shared" si="6"/>
        <v>0</v>
      </c>
      <c r="AA20" s="15" t="e">
        <f t="shared" si="1"/>
        <v>#DIV/0!</v>
      </c>
      <c r="AB20" s="15" t="e">
        <f t="shared" si="25"/>
        <v>#DIV/0!</v>
      </c>
      <c r="AC20" s="15" t="e">
        <f t="shared" si="25"/>
        <v>#DIV/0!</v>
      </c>
      <c r="AD20" s="16">
        <f t="shared" si="7"/>
        <v>1.8959742147507115E-3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 t="e">
        <f>V20/J20</f>
        <v>#DIV/0!</v>
      </c>
      <c r="AY20" s="15" t="e">
        <f t="shared" si="27"/>
        <v>#DIV/0!</v>
      </c>
      <c r="AZ20" s="15" t="e">
        <f t="shared" si="10"/>
        <v>#DIV/0!</v>
      </c>
      <c r="BA20" s="15" t="e">
        <f>V20/J20</f>
        <v>#DIV/0!</v>
      </c>
      <c r="BB20" s="15" t="e">
        <f t="shared" si="24"/>
        <v>#DIV/0!</v>
      </c>
      <c r="BC20" s="15" t="e">
        <f t="shared" si="11"/>
        <v>#DIV/0!</v>
      </c>
    </row>
    <row r="21" spans="1:55" ht="15" x14ac:dyDescent="0.2">
      <c r="A21" s="13"/>
      <c r="B21" s="13"/>
      <c r="C21" s="43">
        <v>37</v>
      </c>
      <c r="D21" s="53">
        <v>3363.3</v>
      </c>
      <c r="E21" s="53">
        <v>37.358199999999997</v>
      </c>
      <c r="F21" s="53"/>
      <c r="G21" s="53"/>
      <c r="H21" s="53"/>
      <c r="I21" s="53"/>
      <c r="J21" s="53"/>
      <c r="K21" s="15">
        <v>0</v>
      </c>
      <c r="L21" s="15">
        <v>0</v>
      </c>
      <c r="M21" s="15">
        <v>0</v>
      </c>
      <c r="N21" s="16">
        <f t="shared" si="0"/>
        <v>0</v>
      </c>
      <c r="P21" s="55">
        <v>3355.14</v>
      </c>
      <c r="Q21" s="55">
        <v>37.353999999999999</v>
      </c>
      <c r="R21" s="55"/>
      <c r="S21" s="55"/>
      <c r="T21" s="55"/>
      <c r="U21" s="55"/>
      <c r="V21" s="55"/>
      <c r="W21" s="15">
        <v>0</v>
      </c>
      <c r="X21" s="15">
        <v>0</v>
      </c>
      <c r="Y21" s="15">
        <v>0</v>
      </c>
      <c r="Z21" s="16">
        <f t="shared" si="6"/>
        <v>0</v>
      </c>
      <c r="AA21" s="15" t="e">
        <f t="shared" si="1"/>
        <v>#DIV/0!</v>
      </c>
      <c r="AB21" s="15" t="e">
        <f t="shared" si="25"/>
        <v>#DIV/0!</v>
      </c>
      <c r="AC21" s="15" t="e">
        <f t="shared" si="25"/>
        <v>#DIV/0!</v>
      </c>
      <c r="AD21" s="16">
        <f t="shared" si="7"/>
        <v>2.4261885648025178E-3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 t="e">
        <f>V21/J21</f>
        <v>#DIV/0!</v>
      </c>
      <c r="AY21" s="15" t="e">
        <f t="shared" si="27"/>
        <v>#DIV/0!</v>
      </c>
      <c r="AZ21" s="15" t="e">
        <f t="shared" si="10"/>
        <v>#DIV/0!</v>
      </c>
      <c r="BA21" s="15" t="e">
        <f>V21/J21</f>
        <v>#DIV/0!</v>
      </c>
      <c r="BB21" s="15" t="e">
        <f t="shared" si="24"/>
        <v>#DIV/0!</v>
      </c>
      <c r="BC21" s="15" t="e">
        <f t="shared" si="11"/>
        <v>#DIV/0!</v>
      </c>
    </row>
    <row r="22" spans="1:55" ht="15.75" thickBot="1" x14ac:dyDescent="0.25">
      <c r="A22" s="13"/>
      <c r="B22" s="17"/>
      <c r="C22" s="44">
        <v>42</v>
      </c>
      <c r="D22" s="53">
        <v>1951.08</v>
      </c>
      <c r="E22" s="53">
        <v>35.204599999999999</v>
      </c>
      <c r="F22" s="53"/>
      <c r="G22" s="53"/>
      <c r="H22" s="53"/>
      <c r="I22" s="53"/>
      <c r="J22" s="53"/>
      <c r="K22" s="19">
        <v>0</v>
      </c>
      <c r="L22" s="19">
        <v>0</v>
      </c>
      <c r="M22" s="19">
        <v>0</v>
      </c>
      <c r="N22" s="20">
        <f t="shared" si="0"/>
        <v>0</v>
      </c>
      <c r="P22" s="55">
        <v>1948.86</v>
      </c>
      <c r="Q22" s="55">
        <v>35.2119</v>
      </c>
      <c r="R22" s="55"/>
      <c r="S22" s="55"/>
      <c r="T22" s="55"/>
      <c r="U22" s="55"/>
      <c r="V22" s="55"/>
      <c r="W22" s="19">
        <v>0</v>
      </c>
      <c r="X22" s="19">
        <v>0</v>
      </c>
      <c r="Y22" s="19">
        <v>0</v>
      </c>
      <c r="Z22" s="20">
        <f t="shared" si="6"/>
        <v>0</v>
      </c>
      <c r="AA22" s="15" t="e">
        <f t="shared" si="1"/>
        <v>#DIV/0!</v>
      </c>
      <c r="AB22" s="15" t="e">
        <f t="shared" si="25"/>
        <v>#DIV/0!</v>
      </c>
      <c r="AC22" s="15" t="e">
        <f t="shared" si="25"/>
        <v>#DIV/0!</v>
      </c>
      <c r="AD22" s="20">
        <f t="shared" si="7"/>
        <v>1.1378313549418925E-3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 t="e">
        <f>V22/J22</f>
        <v>#DIV/0!</v>
      </c>
      <c r="AY22" s="15" t="e">
        <f t="shared" si="27"/>
        <v>#DIV/0!</v>
      </c>
      <c r="AZ22" s="15" t="e">
        <f t="shared" si="10"/>
        <v>#DIV/0!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3">
        <v>60065.82</v>
      </c>
      <c r="E23" s="53">
        <v>42.5867</v>
      </c>
      <c r="F23" s="53"/>
      <c r="G23" s="53"/>
      <c r="H23" s="53"/>
      <c r="I23" s="53"/>
      <c r="J23" s="53"/>
      <c r="K23" s="10">
        <v>0</v>
      </c>
      <c r="L23" s="10">
        <v>0</v>
      </c>
      <c r="M23" s="10">
        <v>0</v>
      </c>
      <c r="N23" s="11">
        <f t="shared" si="0"/>
        <v>0</v>
      </c>
      <c r="P23" s="55">
        <v>60024.06</v>
      </c>
      <c r="Q23" s="55">
        <v>42.581000000000003</v>
      </c>
      <c r="R23" s="55"/>
      <c r="S23" s="55"/>
      <c r="T23" s="55"/>
      <c r="U23" s="55"/>
      <c r="V23" s="55"/>
      <c r="W23" s="10">
        <v>0</v>
      </c>
      <c r="X23" s="10">
        <v>0</v>
      </c>
      <c r="Y23" s="10">
        <v>0</v>
      </c>
      <c r="Z23" s="11">
        <f t="shared" si="6"/>
        <v>0</v>
      </c>
      <c r="AA23" s="15" t="e">
        <f t="shared" si="1"/>
        <v>#DIV/0!</v>
      </c>
      <c r="AB23" s="15" t="e">
        <f t="shared" si="25"/>
        <v>#DIV/0!</v>
      </c>
      <c r="AC23" s="15" t="e">
        <f t="shared" si="25"/>
        <v>#DIV/0!</v>
      </c>
      <c r="AD23" s="11">
        <f t="shared" si="7"/>
        <v>6.9523732465488753E-4</v>
      </c>
      <c r="AE23" s="12"/>
      <c r="AF23" s="25">
        <f t="shared" ref="AF23:AK23" si="28">bdRateExtend($D23:$D27,E23:E27,$P23:$P27,Q23:Q27)</f>
        <v>-3.5990790061235511E-4</v>
      </c>
      <c r="AG23" s="30" t="e">
        <f t="shared" si="28"/>
        <v>#VALUE!</v>
      </c>
      <c r="AH23" s="31" t="e">
        <f t="shared" si="28"/>
        <v>#VALUE!</v>
      </c>
      <c r="AI23" s="25" t="e">
        <f t="shared" si="28"/>
        <v>#VALUE!</v>
      </c>
      <c r="AJ23" s="30" t="e">
        <f t="shared" si="28"/>
        <v>#VALUE!</v>
      </c>
      <c r="AK23" s="30" t="e">
        <f t="shared" si="28"/>
        <v>#VALUE!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2.6879968701498669E-4</v>
      </c>
      <c r="AS23" s="30" t="e">
        <f t="shared" si="29"/>
        <v>#VALUE!</v>
      </c>
      <c r="AT23" s="31" t="e">
        <f t="shared" si="29"/>
        <v>#VALUE!</v>
      </c>
      <c r="AU23" s="25" t="e">
        <f t="shared" si="29"/>
        <v>#VALUE!</v>
      </c>
      <c r="AV23" s="30" t="e">
        <f t="shared" si="29"/>
        <v>#VALUE!</v>
      </c>
      <c r="AW23" s="31" t="e">
        <f t="shared" si="29"/>
        <v>#VALUE!</v>
      </c>
      <c r="AX23" s="15"/>
      <c r="AY23" s="15"/>
      <c r="AZ23" s="15"/>
      <c r="BA23" s="15" t="e">
        <f>V23/J23</f>
        <v>#DIV/0!</v>
      </c>
      <c r="BB23" s="15" t="e">
        <f t="shared" ref="BB23:BB26" si="30">X23/L23</f>
        <v>#DIV/0!</v>
      </c>
      <c r="BC23" s="15" t="e">
        <f t="shared" si="11"/>
        <v>#DIV/0!</v>
      </c>
    </row>
    <row r="24" spans="1:55" ht="15" x14ac:dyDescent="0.2">
      <c r="A24" s="13"/>
      <c r="B24" s="13"/>
      <c r="C24" s="43">
        <v>27</v>
      </c>
      <c r="D24" s="53">
        <v>9989.4</v>
      </c>
      <c r="E24" s="53">
        <v>38.825299999999999</v>
      </c>
      <c r="F24" s="53"/>
      <c r="G24" s="53"/>
      <c r="H24" s="53"/>
      <c r="I24" s="53"/>
      <c r="J24" s="53"/>
      <c r="K24" s="15">
        <v>0</v>
      </c>
      <c r="L24" s="15">
        <v>0</v>
      </c>
      <c r="M24" s="15">
        <v>0</v>
      </c>
      <c r="N24" s="16">
        <f t="shared" si="0"/>
        <v>0</v>
      </c>
      <c r="P24" s="55">
        <v>9973.32</v>
      </c>
      <c r="Q24" s="55">
        <v>38.821800000000003</v>
      </c>
      <c r="R24" s="55"/>
      <c r="S24" s="55"/>
      <c r="T24" s="55"/>
      <c r="U24" s="55"/>
      <c r="V24" s="55"/>
      <c r="W24" s="15">
        <v>0</v>
      </c>
      <c r="X24" s="15">
        <v>0</v>
      </c>
      <c r="Y24" s="15">
        <v>0</v>
      </c>
      <c r="Z24" s="16">
        <f t="shared" si="6"/>
        <v>0</v>
      </c>
      <c r="AA24" s="15" t="e">
        <f t="shared" si="1"/>
        <v>#DIV/0!</v>
      </c>
      <c r="AB24" s="15" t="e">
        <f t="shared" si="25"/>
        <v>#DIV/0!</v>
      </c>
      <c r="AC24" s="15" t="e">
        <f t="shared" si="25"/>
        <v>#DIV/0!</v>
      </c>
      <c r="AD24" s="16">
        <f t="shared" si="7"/>
        <v>1.6097062886659787E-3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-7.8070569777177745E-4</v>
      </c>
      <c r="AM24" s="21" t="e">
        <f>bdrate($D24:$D27,F24:F27,$P24:$P27,R24:R27)</f>
        <v>#VALUE!</v>
      </c>
      <c r="AN24" s="36" t="e">
        <f t="shared" ref="AN24" si="31">bdrate($D24:$D27,G24:G27,$P24:$P27,S24:S27)</f>
        <v>#VALUE!</v>
      </c>
      <c r="AO24" s="26" t="e">
        <f>bdrate($D24:$D27,H24:H27,$P24:$P27,T24:T27)</f>
        <v>#VALUE!</v>
      </c>
      <c r="AP24" s="21" t="e">
        <f>bdrate($D24:$D27,I24:I27,$P24:$P27,U24:U27)</f>
        <v>#VALUE!</v>
      </c>
      <c r="AQ24" s="36" t="e">
        <f>bdrate($D24:$D27,J24:J27,$P24:$P27,V24:V27)</f>
        <v>#VALUE!</v>
      </c>
      <c r="AR24" s="21"/>
      <c r="AS24" s="21"/>
      <c r="AT24" s="36"/>
      <c r="AU24" s="26"/>
      <c r="AV24" s="21"/>
      <c r="AW24" s="36"/>
      <c r="AX24" s="15" t="e">
        <f>V24/J24</f>
        <v>#DIV/0!</v>
      </c>
      <c r="AY24" s="15" t="e">
        <f t="shared" ref="AY24:AY27" si="32">X24/L24</f>
        <v>#DIV/0!</v>
      </c>
      <c r="AZ24" s="15" t="e">
        <f t="shared" si="10"/>
        <v>#DIV/0!</v>
      </c>
      <c r="BA24" s="15" t="e">
        <f>V24/J24</f>
        <v>#DIV/0!</v>
      </c>
      <c r="BB24" s="15" t="e">
        <f t="shared" si="30"/>
        <v>#DIV/0!</v>
      </c>
      <c r="BC24" s="15" t="e">
        <f t="shared" si="11"/>
        <v>#DIV/0!</v>
      </c>
    </row>
    <row r="25" spans="1:55" ht="15" x14ac:dyDescent="0.2">
      <c r="A25" s="13"/>
      <c r="B25" s="13"/>
      <c r="C25" s="43">
        <v>32</v>
      </c>
      <c r="D25" s="53">
        <v>5387.22</v>
      </c>
      <c r="E25" s="53">
        <v>37.817100000000003</v>
      </c>
      <c r="F25" s="53"/>
      <c r="G25" s="53"/>
      <c r="H25" s="53"/>
      <c r="I25" s="53"/>
      <c r="J25" s="53"/>
      <c r="K25" s="15">
        <v>0</v>
      </c>
      <c r="L25" s="15">
        <v>0</v>
      </c>
      <c r="M25" s="15">
        <v>0</v>
      </c>
      <c r="N25" s="16">
        <f t="shared" si="0"/>
        <v>0</v>
      </c>
      <c r="P25" s="55">
        <v>5396.34</v>
      </c>
      <c r="Q25" s="55">
        <v>37.816600000000001</v>
      </c>
      <c r="R25" s="55"/>
      <c r="S25" s="55"/>
      <c r="T25" s="55"/>
      <c r="U25" s="55"/>
      <c r="V25" s="55"/>
      <c r="W25" s="15">
        <v>0</v>
      </c>
      <c r="X25" s="15">
        <v>0</v>
      </c>
      <c r="Y25" s="15">
        <v>0</v>
      </c>
      <c r="Z25" s="16">
        <f t="shared" si="6"/>
        <v>0</v>
      </c>
      <c r="AA25" s="15" t="e">
        <f t="shared" si="1"/>
        <v>#DIV/0!</v>
      </c>
      <c r="AB25" s="15" t="e">
        <f t="shared" si="25"/>
        <v>#DIV/0!</v>
      </c>
      <c r="AC25" s="15" t="e">
        <f t="shared" si="25"/>
        <v>#DIV/0!</v>
      </c>
      <c r="AD25" s="16">
        <f t="shared" si="7"/>
        <v>1.6928954080211854E-3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 t="e">
        <f>V25/J25</f>
        <v>#DIV/0!</v>
      </c>
      <c r="AY25" s="15" t="e">
        <f t="shared" si="32"/>
        <v>#DIV/0!</v>
      </c>
      <c r="AZ25" s="15" t="e">
        <f t="shared" si="10"/>
        <v>#DIV/0!</v>
      </c>
      <c r="BA25" s="15" t="e">
        <f>V25/J25</f>
        <v>#DIV/0!</v>
      </c>
      <c r="BB25" s="15" t="e">
        <f t="shared" si="30"/>
        <v>#DIV/0!</v>
      </c>
      <c r="BC25" s="15" t="e">
        <f t="shared" si="11"/>
        <v>#DIV/0!</v>
      </c>
    </row>
    <row r="26" spans="1:55" ht="15" x14ac:dyDescent="0.2">
      <c r="A26" s="13"/>
      <c r="B26" s="13"/>
      <c r="C26" s="43">
        <v>37</v>
      </c>
      <c r="D26" s="53">
        <v>3002.88</v>
      </c>
      <c r="E26" s="53">
        <v>36.379399999999997</v>
      </c>
      <c r="F26" s="53"/>
      <c r="G26" s="53"/>
      <c r="H26" s="53"/>
      <c r="I26" s="53"/>
      <c r="J26" s="53"/>
      <c r="K26" s="15">
        <v>0</v>
      </c>
      <c r="L26" s="15">
        <v>0</v>
      </c>
      <c r="M26" s="15">
        <v>0</v>
      </c>
      <c r="N26" s="16">
        <f t="shared" si="0"/>
        <v>0</v>
      </c>
      <c r="P26" s="55">
        <v>2987.34</v>
      </c>
      <c r="Q26" s="55">
        <v>36.375700000000002</v>
      </c>
      <c r="R26" s="55"/>
      <c r="S26" s="55"/>
      <c r="T26" s="55"/>
      <c r="U26" s="55"/>
      <c r="V26" s="55"/>
      <c r="W26" s="15">
        <v>0</v>
      </c>
      <c r="X26" s="15">
        <v>0</v>
      </c>
      <c r="Y26" s="15">
        <v>0</v>
      </c>
      <c r="Z26" s="16">
        <f t="shared" si="6"/>
        <v>0</v>
      </c>
      <c r="AA26" s="15" t="e">
        <f t="shared" si="1"/>
        <v>#DIV/0!</v>
      </c>
      <c r="AB26" s="15" t="e">
        <f t="shared" si="25"/>
        <v>#DIV/0!</v>
      </c>
      <c r="AC26" s="15" t="e">
        <f t="shared" si="25"/>
        <v>#DIV/0!</v>
      </c>
      <c r="AD26" s="16">
        <f t="shared" si="7"/>
        <v>5.1750319693094505E-3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 t="e">
        <f>V26/J26</f>
        <v>#DIV/0!</v>
      </c>
      <c r="AY26" s="15" t="e">
        <f t="shared" si="32"/>
        <v>#DIV/0!</v>
      </c>
      <c r="AZ26" s="15" t="e">
        <f t="shared" si="10"/>
        <v>#DIV/0!</v>
      </c>
      <c r="BA26" s="15" t="e">
        <f>V26/J26</f>
        <v>#DIV/0!</v>
      </c>
      <c r="BB26" s="15" t="e">
        <f t="shared" si="30"/>
        <v>#DIV/0!</v>
      </c>
      <c r="BC26" s="15" t="e">
        <f t="shared" si="11"/>
        <v>#DIV/0!</v>
      </c>
    </row>
    <row r="27" spans="1:55" ht="15.75" thickBot="1" x14ac:dyDescent="0.25">
      <c r="A27" s="13"/>
      <c r="B27" s="17"/>
      <c r="C27" s="44">
        <v>42</v>
      </c>
      <c r="D27" s="53">
        <v>1608</v>
      </c>
      <c r="E27" s="53">
        <v>34.579099999999997</v>
      </c>
      <c r="F27" s="53"/>
      <c r="G27" s="53"/>
      <c r="H27" s="53"/>
      <c r="I27" s="53"/>
      <c r="J27" s="53"/>
      <c r="K27" s="19">
        <v>0</v>
      </c>
      <c r="L27" s="19">
        <v>0</v>
      </c>
      <c r="M27" s="19">
        <v>0</v>
      </c>
      <c r="N27" s="20">
        <f t="shared" si="0"/>
        <v>0</v>
      </c>
      <c r="P27" s="55">
        <v>1612.32</v>
      </c>
      <c r="Q27" s="55">
        <v>34.5807</v>
      </c>
      <c r="R27" s="55"/>
      <c r="S27" s="55"/>
      <c r="T27" s="55"/>
      <c r="U27" s="55"/>
      <c r="V27" s="55"/>
      <c r="W27" s="19">
        <v>0</v>
      </c>
      <c r="X27" s="19">
        <v>0</v>
      </c>
      <c r="Y27" s="19">
        <v>0</v>
      </c>
      <c r="Z27" s="20">
        <f t="shared" si="6"/>
        <v>0</v>
      </c>
      <c r="AA27" s="15" t="e">
        <f t="shared" si="1"/>
        <v>#DIV/0!</v>
      </c>
      <c r="AB27" s="15" t="e">
        <f t="shared" si="25"/>
        <v>#DIV/0!</v>
      </c>
      <c r="AC27" s="15" t="e">
        <f t="shared" si="25"/>
        <v>#DIV/0!</v>
      </c>
      <c r="AD27" s="20">
        <f t="shared" si="7"/>
        <v>2.6865671641790648E-3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 t="e">
        <f>V27/J27</f>
        <v>#DIV/0!</v>
      </c>
      <c r="AY27" s="15" t="e">
        <f t="shared" si="32"/>
        <v>#DIV/0!</v>
      </c>
      <c r="AZ27" s="15" t="e">
        <f t="shared" si="10"/>
        <v>#DIV/0!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3">
        <v>48051.4</v>
      </c>
      <c r="E28" s="53">
        <v>44.1111</v>
      </c>
      <c r="F28" s="53"/>
      <c r="G28" s="53"/>
      <c r="H28" s="53"/>
      <c r="I28" s="53"/>
      <c r="J28" s="53"/>
      <c r="K28" s="10">
        <v>0</v>
      </c>
      <c r="L28" s="10">
        <v>0</v>
      </c>
      <c r="M28" s="10">
        <v>0</v>
      </c>
      <c r="N28" s="11">
        <f t="shared" si="0"/>
        <v>0</v>
      </c>
      <c r="P28" s="55">
        <v>48086.75</v>
      </c>
      <c r="Q28" s="55">
        <v>44.1175</v>
      </c>
      <c r="R28" s="55"/>
      <c r="S28" s="55"/>
      <c r="T28" s="55"/>
      <c r="U28" s="55"/>
      <c r="V28" s="55"/>
      <c r="W28" s="10">
        <v>0</v>
      </c>
      <c r="X28" s="10">
        <v>0</v>
      </c>
      <c r="Y28" s="10">
        <v>0</v>
      </c>
      <c r="Z28" s="11">
        <f t="shared" si="6"/>
        <v>0</v>
      </c>
      <c r="AA28" s="15" t="e">
        <f t="shared" si="1"/>
        <v>#DIV/0!</v>
      </c>
      <c r="AB28" s="15" t="e">
        <f t="shared" si="25"/>
        <v>#DIV/0!</v>
      </c>
      <c r="AC28" s="15" t="e">
        <f t="shared" si="25"/>
        <v>#DIV/0!</v>
      </c>
      <c r="AD28" s="11">
        <f t="shared" si="7"/>
        <v>7.3567055278303116E-4</v>
      </c>
      <c r="AE28" s="12"/>
      <c r="AF28" s="25">
        <f t="shared" ref="AF28:AK28" si="33">bdRateExtend($D28:$D32,E28:E32,$P28:$P32,Q28:Q32)</f>
        <v>2.1032836392520515E-4</v>
      </c>
      <c r="AG28" s="30" t="e">
        <f t="shared" si="33"/>
        <v>#VALUE!</v>
      </c>
      <c r="AH28" s="31" t="e">
        <f t="shared" si="33"/>
        <v>#VALUE!</v>
      </c>
      <c r="AI28" s="25" t="e">
        <f t="shared" si="33"/>
        <v>#VALUE!</v>
      </c>
      <c r="AJ28" s="30" t="e">
        <f t="shared" si="33"/>
        <v>#VALUE!</v>
      </c>
      <c r="AK28" s="30" t="e">
        <f t="shared" si="33"/>
        <v>#VALUE!</v>
      </c>
      <c r="AL28" s="45"/>
      <c r="AM28" s="46"/>
      <c r="AN28" s="47"/>
      <c r="AO28" s="46"/>
      <c r="AP28" s="46"/>
      <c r="AQ28" s="47"/>
      <c r="AR28" s="30">
        <f t="shared" ref="AR28:AW28" si="34">bdrate($D28:$D31,E28:E31,$P28:$P31,Q28:Q31)</f>
        <v>2.4134971532885352E-4</v>
      </c>
      <c r="AS28" s="30" t="e">
        <f t="shared" si="34"/>
        <v>#VALUE!</v>
      </c>
      <c r="AT28" s="31" t="e">
        <f t="shared" si="34"/>
        <v>#VALUE!</v>
      </c>
      <c r="AU28" s="25" t="e">
        <f t="shared" si="34"/>
        <v>#VALUE!</v>
      </c>
      <c r="AV28" s="30" t="e">
        <f t="shared" si="34"/>
        <v>#VALUE!</v>
      </c>
      <c r="AW28" s="31" t="e">
        <f t="shared" si="34"/>
        <v>#VALUE!</v>
      </c>
      <c r="AX28" s="15"/>
      <c r="AY28" s="15"/>
      <c r="AZ28" s="15"/>
      <c r="BA28" s="15" t="e">
        <f>V28/J28</f>
        <v>#DIV/0!</v>
      </c>
      <c r="BB28" s="15" t="e">
        <f t="shared" ref="BB28:BB31" si="35">X28/L28</f>
        <v>#DIV/0!</v>
      </c>
      <c r="BC28" s="15" t="e">
        <f t="shared" si="11"/>
        <v>#DIV/0!</v>
      </c>
    </row>
    <row r="29" spans="1:55" ht="15" x14ac:dyDescent="0.2">
      <c r="A29" s="13"/>
      <c r="B29" s="13"/>
      <c r="C29" s="43">
        <v>27</v>
      </c>
      <c r="D29" s="53">
        <v>26154.799999999999</v>
      </c>
      <c r="E29" s="53">
        <v>40.295900000000003</v>
      </c>
      <c r="F29" s="53"/>
      <c r="G29" s="53"/>
      <c r="H29" s="53"/>
      <c r="I29" s="53"/>
      <c r="J29" s="53"/>
      <c r="K29" s="15">
        <v>0</v>
      </c>
      <c r="L29" s="15">
        <v>0</v>
      </c>
      <c r="M29" s="15">
        <v>0</v>
      </c>
      <c r="N29" s="16">
        <f t="shared" si="0"/>
        <v>0</v>
      </c>
      <c r="P29" s="55">
        <v>26146.95</v>
      </c>
      <c r="Q29" s="55">
        <v>40.2879</v>
      </c>
      <c r="R29" s="55"/>
      <c r="S29" s="55"/>
      <c r="T29" s="55"/>
      <c r="U29" s="55"/>
      <c r="V29" s="55"/>
      <c r="W29" s="15">
        <v>0</v>
      </c>
      <c r="X29" s="15">
        <v>0</v>
      </c>
      <c r="Y29" s="15">
        <v>0</v>
      </c>
      <c r="Z29" s="16">
        <f t="shared" si="6"/>
        <v>0</v>
      </c>
      <c r="AA29" s="15" t="e">
        <f t="shared" si="1"/>
        <v>#DIV/0!</v>
      </c>
      <c r="AB29" s="15" t="e">
        <f t="shared" si="25"/>
        <v>#DIV/0!</v>
      </c>
      <c r="AC29" s="15" t="e">
        <f t="shared" si="25"/>
        <v>#DIV/0!</v>
      </c>
      <c r="AD29" s="16">
        <f t="shared" si="7"/>
        <v>3.0013611268289356E-4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-1.4384264947187031E-4</v>
      </c>
      <c r="AM29" s="21" t="e">
        <f>bdrate($D29:$D32,F29:F32,$P29:$P32,R29:R32)</f>
        <v>#VALUE!</v>
      </c>
      <c r="AN29" s="36" t="e">
        <f t="shared" ref="AN29" si="36">bdrate($D29:$D32,G29:G32,$P29:$P32,S29:S32)</f>
        <v>#VALUE!</v>
      </c>
      <c r="AO29" s="26" t="e">
        <f>bdrate($D29:$D32,H29:H32,$P29:$P32,T29:T32)</f>
        <v>#VALUE!</v>
      </c>
      <c r="AP29" s="21" t="e">
        <f>bdrate($D29:$D32,I29:I32,$P29:$P32,U29:U32)</f>
        <v>#VALUE!</v>
      </c>
      <c r="AQ29" s="36" t="e">
        <f>bdrate($D29:$D32,J29:J32,$P29:$P32,V29:V32)</f>
        <v>#VALUE!</v>
      </c>
      <c r="AR29" s="21"/>
      <c r="AS29" s="21"/>
      <c r="AT29" s="36"/>
      <c r="AU29" s="26"/>
      <c r="AV29" s="21"/>
      <c r="AW29" s="36"/>
      <c r="AX29" s="15" t="e">
        <f>V29/J29</f>
        <v>#DIV/0!</v>
      </c>
      <c r="AY29" s="15" t="e">
        <f t="shared" ref="AY29:AY32" si="37">X29/L29</f>
        <v>#DIV/0!</v>
      </c>
      <c r="AZ29" s="15" t="e">
        <f t="shared" si="10"/>
        <v>#DIV/0!</v>
      </c>
      <c r="BA29" s="15" t="e">
        <f>V29/J29</f>
        <v>#DIV/0!</v>
      </c>
      <c r="BB29" s="15" t="e">
        <f t="shared" si="35"/>
        <v>#DIV/0!</v>
      </c>
      <c r="BC29" s="15" t="e">
        <f t="shared" si="11"/>
        <v>#DIV/0!</v>
      </c>
    </row>
    <row r="30" spans="1:55" ht="15" x14ac:dyDescent="0.2">
      <c r="A30" s="13"/>
      <c r="B30" s="13"/>
      <c r="C30" s="43">
        <v>32</v>
      </c>
      <c r="D30" s="53">
        <v>13873.05</v>
      </c>
      <c r="E30" s="53">
        <v>37.235300000000002</v>
      </c>
      <c r="F30" s="53"/>
      <c r="G30" s="53"/>
      <c r="H30" s="53"/>
      <c r="I30" s="53"/>
      <c r="J30" s="53"/>
      <c r="K30" s="15">
        <v>0</v>
      </c>
      <c r="L30" s="15">
        <v>0</v>
      </c>
      <c r="M30" s="15">
        <v>0</v>
      </c>
      <c r="N30" s="16">
        <f t="shared" si="0"/>
        <v>0</v>
      </c>
      <c r="P30" s="55">
        <v>13879.05</v>
      </c>
      <c r="Q30" s="55">
        <v>37.239699999999999</v>
      </c>
      <c r="R30" s="55"/>
      <c r="S30" s="55"/>
      <c r="T30" s="55"/>
      <c r="U30" s="55"/>
      <c r="V30" s="55"/>
      <c r="W30" s="15">
        <v>0</v>
      </c>
      <c r="X30" s="15">
        <v>0</v>
      </c>
      <c r="Y30" s="15">
        <v>0</v>
      </c>
      <c r="Z30" s="16">
        <f t="shared" si="6"/>
        <v>0</v>
      </c>
      <c r="AA30" s="15" t="e">
        <f t="shared" si="1"/>
        <v>#DIV/0!</v>
      </c>
      <c r="AB30" s="15" t="e">
        <f t="shared" si="25"/>
        <v>#DIV/0!</v>
      </c>
      <c r="AC30" s="15" t="e">
        <f t="shared" si="25"/>
        <v>#DIV/0!</v>
      </c>
      <c r="AD30" s="16">
        <f t="shared" si="7"/>
        <v>4.324932152626856E-4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 t="e">
        <f>V30/J30</f>
        <v>#DIV/0!</v>
      </c>
      <c r="AY30" s="15" t="e">
        <f t="shared" si="37"/>
        <v>#DIV/0!</v>
      </c>
      <c r="AZ30" s="15" t="e">
        <f t="shared" si="10"/>
        <v>#DIV/0!</v>
      </c>
      <c r="BA30" s="15" t="e">
        <f>V30/J30</f>
        <v>#DIV/0!</v>
      </c>
      <c r="BB30" s="15" t="e">
        <f t="shared" si="35"/>
        <v>#DIV/0!</v>
      </c>
      <c r="BC30" s="15" t="e">
        <f t="shared" si="11"/>
        <v>#DIV/0!</v>
      </c>
    </row>
    <row r="31" spans="1:55" ht="15" x14ac:dyDescent="0.2">
      <c r="A31" s="13"/>
      <c r="B31" s="13"/>
      <c r="C31" s="43">
        <v>37</v>
      </c>
      <c r="D31" s="53">
        <v>7454.15</v>
      </c>
      <c r="E31" s="53">
        <v>34.6053</v>
      </c>
      <c r="F31" s="53"/>
      <c r="G31" s="53"/>
      <c r="H31" s="53"/>
      <c r="I31" s="53"/>
      <c r="J31" s="53"/>
      <c r="K31" s="15">
        <v>0</v>
      </c>
      <c r="L31" s="15">
        <v>0</v>
      </c>
      <c r="M31" s="15">
        <v>0</v>
      </c>
      <c r="N31" s="16">
        <f t="shared" si="0"/>
        <v>0</v>
      </c>
      <c r="P31" s="55">
        <v>7448.35</v>
      </c>
      <c r="Q31" s="55">
        <v>34.6051</v>
      </c>
      <c r="R31" s="55"/>
      <c r="S31" s="55"/>
      <c r="T31" s="55"/>
      <c r="U31" s="55"/>
      <c r="V31" s="55"/>
      <c r="W31" s="15">
        <v>0</v>
      </c>
      <c r="X31" s="15">
        <v>0</v>
      </c>
      <c r="Y31" s="15">
        <v>0</v>
      </c>
      <c r="Z31" s="16">
        <f t="shared" si="6"/>
        <v>0</v>
      </c>
      <c r="AA31" s="15" t="e">
        <f t="shared" si="1"/>
        <v>#DIV/0!</v>
      </c>
      <c r="AB31" s="15" t="e">
        <f t="shared" si="25"/>
        <v>#DIV/0!</v>
      </c>
      <c r="AC31" s="15" t="e">
        <f t="shared" si="25"/>
        <v>#DIV/0!</v>
      </c>
      <c r="AD31" s="16">
        <f t="shared" si="7"/>
        <v>7.7809005721635237E-4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 t="e">
        <f>V31/J31</f>
        <v>#DIV/0!</v>
      </c>
      <c r="AY31" s="15" t="e">
        <f t="shared" si="37"/>
        <v>#DIV/0!</v>
      </c>
      <c r="AZ31" s="15" t="e">
        <f t="shared" si="10"/>
        <v>#DIV/0!</v>
      </c>
      <c r="BA31" s="15" t="e">
        <f>V31/J31</f>
        <v>#DIV/0!</v>
      </c>
      <c r="BB31" s="15" t="e">
        <f t="shared" si="35"/>
        <v>#DIV/0!</v>
      </c>
      <c r="BC31" s="15" t="e">
        <f t="shared" si="11"/>
        <v>#DIV/0!</v>
      </c>
    </row>
    <row r="32" spans="1:55" ht="15.75" thickBot="1" x14ac:dyDescent="0.25">
      <c r="A32" s="13"/>
      <c r="B32" s="17"/>
      <c r="C32" s="44">
        <v>42</v>
      </c>
      <c r="D32" s="53">
        <v>3685.35</v>
      </c>
      <c r="E32" s="53">
        <v>32.375799999999998</v>
      </c>
      <c r="F32" s="53"/>
      <c r="G32" s="53"/>
      <c r="H32" s="53"/>
      <c r="I32" s="53"/>
      <c r="J32" s="53"/>
      <c r="K32" s="19">
        <v>0</v>
      </c>
      <c r="L32" s="19">
        <v>0</v>
      </c>
      <c r="M32" s="19">
        <v>0</v>
      </c>
      <c r="N32" s="20">
        <f t="shared" si="0"/>
        <v>0</v>
      </c>
      <c r="P32" s="55">
        <v>3688.6</v>
      </c>
      <c r="Q32" s="55">
        <v>32.374600000000001</v>
      </c>
      <c r="R32" s="55"/>
      <c r="S32" s="55"/>
      <c r="T32" s="55"/>
      <c r="U32" s="55"/>
      <c r="V32" s="55"/>
      <c r="W32" s="19">
        <v>0</v>
      </c>
      <c r="X32" s="19">
        <v>0</v>
      </c>
      <c r="Y32" s="19">
        <v>0</v>
      </c>
      <c r="Z32" s="20">
        <f t="shared" si="6"/>
        <v>0</v>
      </c>
      <c r="AA32" s="15" t="e">
        <f t="shared" si="1"/>
        <v>#DIV/0!</v>
      </c>
      <c r="AB32" s="15" t="e">
        <f t="shared" si="25"/>
        <v>#DIV/0!</v>
      </c>
      <c r="AC32" s="15" t="e">
        <f t="shared" si="25"/>
        <v>#DIV/0!</v>
      </c>
      <c r="AD32" s="20">
        <f t="shared" si="7"/>
        <v>8.8187010731680842E-4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 t="e">
        <f>V32/J32</f>
        <v>#DIV/0!</v>
      </c>
      <c r="AY32" s="15" t="e">
        <f t="shared" si="37"/>
        <v>#DIV/0!</v>
      </c>
      <c r="AZ32" s="15" t="e">
        <f t="shared" si="10"/>
        <v>#DIV/0!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3">
        <v>6245.8</v>
      </c>
      <c r="E33" s="53">
        <v>42.9681</v>
      </c>
      <c r="F33" s="53"/>
      <c r="G33" s="53"/>
      <c r="H33" s="53"/>
      <c r="I33" s="53"/>
      <c r="J33" s="53"/>
      <c r="K33" s="10">
        <v>0</v>
      </c>
      <c r="L33" s="10">
        <v>0</v>
      </c>
      <c r="M33" s="10">
        <v>0</v>
      </c>
      <c r="N33" s="11">
        <f t="shared" si="0"/>
        <v>0</v>
      </c>
      <c r="P33" s="55">
        <v>6241.4</v>
      </c>
      <c r="Q33" s="55">
        <v>42.970599999999997</v>
      </c>
      <c r="R33" s="55"/>
      <c r="S33" s="55"/>
      <c r="T33" s="55"/>
      <c r="U33" s="55"/>
      <c r="V33" s="55"/>
      <c r="W33" s="10">
        <v>0</v>
      </c>
      <c r="X33" s="10">
        <v>0</v>
      </c>
      <c r="Y33" s="10">
        <v>0</v>
      </c>
      <c r="Z33" s="11">
        <f t="shared" si="6"/>
        <v>0</v>
      </c>
      <c r="AA33" s="10" t="e">
        <f t="shared" si="1"/>
        <v>#DIV/0!</v>
      </c>
      <c r="AB33" s="10" t="e">
        <f>X33/L33</f>
        <v>#DIV/0!</v>
      </c>
      <c r="AC33" s="10" t="e">
        <f>Y33/M33</f>
        <v>#DIV/0!</v>
      </c>
      <c r="AD33" s="11">
        <f t="shared" si="7"/>
        <v>7.0447340612900602E-4</v>
      </c>
      <c r="AE33" s="40"/>
      <c r="AF33" s="25">
        <f t="shared" ref="AF33:AK33" si="38">bdRateExtend($D33:$D37,E33:E37,$P33:$P37,Q33:Q37)</f>
        <v>8.7534165568459166E-4</v>
      </c>
      <c r="AG33" s="30" t="e">
        <f t="shared" si="38"/>
        <v>#VALUE!</v>
      </c>
      <c r="AH33" s="31" t="e">
        <f t="shared" si="38"/>
        <v>#VALUE!</v>
      </c>
      <c r="AI33" s="25" t="e">
        <f t="shared" si="38"/>
        <v>#VALUE!</v>
      </c>
      <c r="AJ33" s="30" t="e">
        <f t="shared" si="38"/>
        <v>#VALUE!</v>
      </c>
      <c r="AK33" s="30" t="e">
        <f t="shared" si="38"/>
        <v>#VALUE!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5.8533872516441932E-4</v>
      </c>
      <c r="AS33" s="30" t="e">
        <f t="shared" si="39"/>
        <v>#VALUE!</v>
      </c>
      <c r="AT33" s="31" t="e">
        <f t="shared" si="39"/>
        <v>#VALUE!</v>
      </c>
      <c r="AU33" s="25" t="e">
        <f t="shared" si="39"/>
        <v>#VALUE!</v>
      </c>
      <c r="AV33" s="30" t="e">
        <f t="shared" si="39"/>
        <v>#VALUE!</v>
      </c>
      <c r="AW33" s="31" t="e">
        <f t="shared" si="39"/>
        <v>#VALUE!</v>
      </c>
      <c r="AX33" s="10"/>
      <c r="AY33" s="10"/>
      <c r="AZ33" s="10"/>
      <c r="BA33" s="10" t="e">
        <f>V33/J33</f>
        <v>#DIV/0!</v>
      </c>
      <c r="BB33" s="10" t="e">
        <f t="shared" ref="BB33:BB36" si="40">X33/L33</f>
        <v>#DIV/0!</v>
      </c>
      <c r="BC33" s="10" t="e">
        <f t="shared" si="11"/>
        <v>#DIV/0!</v>
      </c>
    </row>
    <row r="34" spans="1:55" ht="15" x14ac:dyDescent="0.2">
      <c r="A34" s="13" t="s">
        <v>20</v>
      </c>
      <c r="C34" s="43">
        <v>27</v>
      </c>
      <c r="D34" s="53">
        <v>2406.0500000000002</v>
      </c>
      <c r="E34" s="53">
        <v>41.109200000000001</v>
      </c>
      <c r="F34" s="53"/>
      <c r="G34" s="53"/>
      <c r="H34" s="53"/>
      <c r="I34" s="53"/>
      <c r="J34" s="53"/>
      <c r="K34" s="15">
        <v>0</v>
      </c>
      <c r="L34" s="15">
        <v>0</v>
      </c>
      <c r="M34" s="15">
        <v>0</v>
      </c>
      <c r="N34" s="16">
        <f t="shared" si="0"/>
        <v>0</v>
      </c>
      <c r="P34" s="55">
        <v>2394.5500000000002</v>
      </c>
      <c r="Q34" s="55">
        <v>41.099499999999999</v>
      </c>
      <c r="R34" s="55"/>
      <c r="S34" s="55"/>
      <c r="T34" s="55"/>
      <c r="U34" s="55"/>
      <c r="V34" s="55"/>
      <c r="W34" s="15">
        <v>0</v>
      </c>
      <c r="X34" s="15">
        <v>0</v>
      </c>
      <c r="Y34" s="15">
        <v>0</v>
      </c>
      <c r="Z34" s="16">
        <f t="shared" si="6"/>
        <v>0</v>
      </c>
      <c r="AA34" s="15" t="e">
        <f t="shared" si="1"/>
        <v>#DIV/0!</v>
      </c>
      <c r="AB34" s="15" t="e">
        <f t="shared" ref="AB34:AC57" si="41">X34/L34</f>
        <v>#DIV/0!</v>
      </c>
      <c r="AC34" s="15" t="e">
        <f t="shared" si="41"/>
        <v>#DIV/0!</v>
      </c>
      <c r="AD34" s="16">
        <f t="shared" si="7"/>
        <v>4.7796180461752661E-3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1.5947868421839484E-3</v>
      </c>
      <c r="AM34" s="21" t="e">
        <f>bdrate($D34:$D37,F34:F37,$P34:$P37,R34:R37)</f>
        <v>#VALUE!</v>
      </c>
      <c r="AN34" s="36" t="e">
        <f t="shared" ref="AN34" si="42">bdrate($D34:$D37,G34:G37,$P34:$P37,S34:S37)</f>
        <v>#VALUE!</v>
      </c>
      <c r="AO34" s="26" t="e">
        <f>bdrate($D34:$D37,H34:H37,$P34:$P37,T34:T37)</f>
        <v>#VALUE!</v>
      </c>
      <c r="AP34" s="21" t="e">
        <f>bdrate($D34:$D37,I34:I37,$P34:$P37,U34:U37)</f>
        <v>#VALUE!</v>
      </c>
      <c r="AQ34" s="36" t="e">
        <f>bdrate($D34:$D37,J34:J37,$P34:$P37,V34:V37)</f>
        <v>#VALUE!</v>
      </c>
      <c r="AR34" s="21"/>
      <c r="AS34" s="21"/>
      <c r="AT34" s="36"/>
      <c r="AU34" s="26"/>
      <c r="AV34" s="21"/>
      <c r="AW34" s="36"/>
      <c r="AX34" s="15" t="e">
        <f>V34/J34</f>
        <v>#DIV/0!</v>
      </c>
      <c r="AY34" s="15" t="e">
        <f t="shared" ref="AY34:AY37" si="43">X34/L34</f>
        <v>#DIV/0!</v>
      </c>
      <c r="AZ34" s="15" t="e">
        <f t="shared" si="10"/>
        <v>#DIV/0!</v>
      </c>
      <c r="BA34" s="15" t="e">
        <f>V34/J34</f>
        <v>#DIV/0!</v>
      </c>
      <c r="BB34" s="15" t="e">
        <f t="shared" si="40"/>
        <v>#DIV/0!</v>
      </c>
      <c r="BC34" s="15" t="e">
        <f t="shared" si="11"/>
        <v>#DIV/0!</v>
      </c>
    </row>
    <row r="35" spans="1:55" ht="15" x14ac:dyDescent="0.2">
      <c r="A35" s="13"/>
      <c r="B35" s="13"/>
      <c r="C35" s="43">
        <v>32</v>
      </c>
      <c r="D35" s="53">
        <v>1217.95</v>
      </c>
      <c r="E35" s="53">
        <v>39.683399999999999</v>
      </c>
      <c r="F35" s="53"/>
      <c r="G35" s="53"/>
      <c r="H35" s="53"/>
      <c r="I35" s="53"/>
      <c r="J35" s="53"/>
      <c r="K35" s="15">
        <v>0</v>
      </c>
      <c r="L35" s="15">
        <v>0</v>
      </c>
      <c r="M35" s="15">
        <v>0</v>
      </c>
      <c r="N35" s="16">
        <f t="shared" si="0"/>
        <v>0</v>
      </c>
      <c r="P35" s="55">
        <v>1221.55</v>
      </c>
      <c r="Q35" s="55">
        <v>39.6875</v>
      </c>
      <c r="R35" s="55"/>
      <c r="S35" s="55"/>
      <c r="T35" s="55"/>
      <c r="U35" s="55"/>
      <c r="V35" s="55"/>
      <c r="W35" s="15">
        <v>0</v>
      </c>
      <c r="X35" s="15">
        <v>0</v>
      </c>
      <c r="Y35" s="15">
        <v>0</v>
      </c>
      <c r="Z35" s="16">
        <f t="shared" si="6"/>
        <v>0</v>
      </c>
      <c r="AA35" s="15" t="e">
        <f t="shared" si="1"/>
        <v>#DIV/0!</v>
      </c>
      <c r="AB35" s="15" t="e">
        <f t="shared" si="41"/>
        <v>#DIV/0!</v>
      </c>
      <c r="AC35" s="15" t="e">
        <f t="shared" si="41"/>
        <v>#DIV/0!</v>
      </c>
      <c r="AD35" s="16">
        <f t="shared" si="7"/>
        <v>2.9557863623300702E-3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 t="e">
        <f>V35/J35</f>
        <v>#DIV/0!</v>
      </c>
      <c r="AY35" s="15" t="e">
        <f t="shared" si="43"/>
        <v>#DIV/0!</v>
      </c>
      <c r="AZ35" s="15" t="e">
        <f t="shared" si="10"/>
        <v>#DIV/0!</v>
      </c>
      <c r="BA35" s="15" t="e">
        <f>V35/J35</f>
        <v>#DIV/0!</v>
      </c>
      <c r="BB35" s="15" t="e">
        <f t="shared" si="40"/>
        <v>#DIV/0!</v>
      </c>
      <c r="BC35" s="15" t="e">
        <f t="shared" si="11"/>
        <v>#DIV/0!</v>
      </c>
    </row>
    <row r="36" spans="1:55" ht="15" x14ac:dyDescent="0.2">
      <c r="A36" s="13"/>
      <c r="B36" s="13"/>
      <c r="C36" s="43">
        <v>37</v>
      </c>
      <c r="D36" s="53">
        <v>690.95</v>
      </c>
      <c r="E36" s="53">
        <v>38.117400000000004</v>
      </c>
      <c r="F36" s="53"/>
      <c r="G36" s="53"/>
      <c r="H36" s="53"/>
      <c r="I36" s="53"/>
      <c r="J36" s="53"/>
      <c r="K36" s="15">
        <v>0</v>
      </c>
      <c r="L36" s="15">
        <v>0</v>
      </c>
      <c r="M36" s="15">
        <v>0</v>
      </c>
      <c r="N36" s="16">
        <f t="shared" si="0"/>
        <v>0</v>
      </c>
      <c r="P36" s="55">
        <v>692.5</v>
      </c>
      <c r="Q36" s="55">
        <v>38.112400000000001</v>
      </c>
      <c r="R36" s="55"/>
      <c r="S36" s="55"/>
      <c r="T36" s="55"/>
      <c r="U36" s="55"/>
      <c r="V36" s="55"/>
      <c r="W36" s="15">
        <v>0</v>
      </c>
      <c r="X36" s="15">
        <v>0</v>
      </c>
      <c r="Y36" s="15">
        <v>0</v>
      </c>
      <c r="Z36" s="16">
        <f t="shared" si="6"/>
        <v>0</v>
      </c>
      <c r="AA36" s="15" t="e">
        <f t="shared" si="1"/>
        <v>#DIV/0!</v>
      </c>
      <c r="AB36" s="15" t="e">
        <f t="shared" si="41"/>
        <v>#DIV/0!</v>
      </c>
      <c r="AC36" s="15" t="e">
        <f t="shared" si="41"/>
        <v>#DIV/0!</v>
      </c>
      <c r="AD36" s="16">
        <f t="shared" si="7"/>
        <v>2.2432882263549525E-3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 t="e">
        <f>V36/J36</f>
        <v>#DIV/0!</v>
      </c>
      <c r="AY36" s="15" t="e">
        <f t="shared" si="43"/>
        <v>#DIV/0!</v>
      </c>
      <c r="AZ36" s="15" t="e">
        <f t="shared" si="10"/>
        <v>#DIV/0!</v>
      </c>
      <c r="BA36" s="15" t="e">
        <f>V36/J36</f>
        <v>#DIV/0!</v>
      </c>
      <c r="BB36" s="15" t="e">
        <f t="shared" si="40"/>
        <v>#DIV/0!</v>
      </c>
      <c r="BC36" s="15" t="e">
        <f t="shared" si="11"/>
        <v>#DIV/0!</v>
      </c>
    </row>
    <row r="37" spans="1:55" ht="15.75" thickBot="1" x14ac:dyDescent="0.25">
      <c r="A37" s="13"/>
      <c r="B37" s="17"/>
      <c r="C37" s="44">
        <v>42</v>
      </c>
      <c r="D37" s="53">
        <v>392.7</v>
      </c>
      <c r="E37" s="53">
        <v>36.217799999999997</v>
      </c>
      <c r="F37" s="53"/>
      <c r="G37" s="53"/>
      <c r="H37" s="53"/>
      <c r="I37" s="53"/>
      <c r="J37" s="53"/>
      <c r="K37" s="19">
        <v>0</v>
      </c>
      <c r="L37" s="19">
        <v>0</v>
      </c>
      <c r="M37" s="19">
        <v>0</v>
      </c>
      <c r="N37" s="20">
        <f t="shared" si="0"/>
        <v>0</v>
      </c>
      <c r="P37" s="55">
        <v>389.1</v>
      </c>
      <c r="Q37" s="55">
        <v>36.195700000000002</v>
      </c>
      <c r="R37" s="55"/>
      <c r="S37" s="55"/>
      <c r="T37" s="55"/>
      <c r="U37" s="55"/>
      <c r="V37" s="55"/>
      <c r="W37" s="19">
        <v>0</v>
      </c>
      <c r="X37" s="19">
        <v>0</v>
      </c>
      <c r="Y37" s="19">
        <v>0</v>
      </c>
      <c r="Z37" s="20">
        <f t="shared" si="6"/>
        <v>0</v>
      </c>
      <c r="AA37" s="15" t="e">
        <f t="shared" si="1"/>
        <v>#DIV/0!</v>
      </c>
      <c r="AB37" s="15" t="e">
        <f t="shared" si="41"/>
        <v>#DIV/0!</v>
      </c>
      <c r="AC37" s="15" t="e">
        <f t="shared" si="41"/>
        <v>#DIV/0!</v>
      </c>
      <c r="AD37" s="20">
        <f t="shared" si="7"/>
        <v>9.1673032849502577E-3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 t="e">
        <f>V37/J37</f>
        <v>#DIV/0!</v>
      </c>
      <c r="AY37" s="15" t="e">
        <f t="shared" si="43"/>
        <v>#DIV/0!</v>
      </c>
      <c r="AZ37" s="15" t="e">
        <f t="shared" si="10"/>
        <v>#DIV/0!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3">
        <v>21640.32</v>
      </c>
      <c r="E38" s="53">
        <v>43.647799999999997</v>
      </c>
      <c r="F38" s="53"/>
      <c r="G38" s="53"/>
      <c r="H38" s="53"/>
      <c r="I38" s="53"/>
      <c r="J38" s="53"/>
      <c r="K38" s="10">
        <v>0</v>
      </c>
      <c r="L38" s="10">
        <v>0</v>
      </c>
      <c r="M38" s="10">
        <v>0</v>
      </c>
      <c r="N38" s="11">
        <f t="shared" si="0"/>
        <v>0</v>
      </c>
      <c r="P38" s="55">
        <v>21632.04</v>
      </c>
      <c r="Q38" s="55">
        <v>43.6449</v>
      </c>
      <c r="R38" s="55"/>
      <c r="S38" s="55"/>
      <c r="T38" s="55"/>
      <c r="U38" s="55"/>
      <c r="V38" s="55"/>
      <c r="W38" s="10">
        <v>0</v>
      </c>
      <c r="X38" s="10">
        <v>0</v>
      </c>
      <c r="Y38" s="10">
        <v>0</v>
      </c>
      <c r="Z38" s="11">
        <f t="shared" si="6"/>
        <v>0</v>
      </c>
      <c r="AA38" s="15" t="e">
        <f t="shared" si="1"/>
        <v>#DIV/0!</v>
      </c>
      <c r="AB38" s="15" t="e">
        <f t="shared" si="41"/>
        <v>#DIV/0!</v>
      </c>
      <c r="AC38" s="15" t="e">
        <f t="shared" si="41"/>
        <v>#DIV/0!</v>
      </c>
      <c r="AD38" s="11">
        <f t="shared" si="7"/>
        <v>3.8261911099275964E-4</v>
      </c>
      <c r="AE38" s="12"/>
      <c r="AF38" s="25">
        <f t="shared" ref="AF38:AK38" si="44">bdRateExtend($D38:$D42,E38:E42,$P38:$P42,Q38:Q42)</f>
        <v>2.348148552298035E-4</v>
      </c>
      <c r="AG38" s="30" t="e">
        <f t="shared" si="44"/>
        <v>#VALUE!</v>
      </c>
      <c r="AH38" s="31" t="e">
        <f t="shared" si="44"/>
        <v>#VALUE!</v>
      </c>
      <c r="AI38" s="25" t="e">
        <f t="shared" si="44"/>
        <v>#VALUE!</v>
      </c>
      <c r="AJ38" s="30" t="e">
        <f t="shared" si="44"/>
        <v>#VALUE!</v>
      </c>
      <c r="AK38" s="30" t="e">
        <f t="shared" si="44"/>
        <v>#VALUE!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6.0910095628430305E-4</v>
      </c>
      <c r="AS38" s="30" t="e">
        <f t="shared" si="45"/>
        <v>#VALUE!</v>
      </c>
      <c r="AT38" s="31" t="e">
        <f t="shared" si="45"/>
        <v>#VALUE!</v>
      </c>
      <c r="AU38" s="25" t="e">
        <f t="shared" si="45"/>
        <v>#VALUE!</v>
      </c>
      <c r="AV38" s="30" t="e">
        <f t="shared" si="45"/>
        <v>#VALUE!</v>
      </c>
      <c r="AW38" s="31" t="e">
        <f t="shared" si="45"/>
        <v>#VALUE!</v>
      </c>
      <c r="AX38" s="15"/>
      <c r="AY38" s="15"/>
      <c r="AZ38" s="15"/>
      <c r="BA38" s="15" t="e">
        <f>V38/J38</f>
        <v>#DIV/0!</v>
      </c>
      <c r="BB38" s="15" t="e">
        <f t="shared" ref="BB38:BB41" si="46">X38/L38</f>
        <v>#DIV/0!</v>
      </c>
      <c r="BC38" s="15" t="e">
        <f t="shared" si="11"/>
        <v>#DIV/0!</v>
      </c>
    </row>
    <row r="39" spans="1:55" ht="15" x14ac:dyDescent="0.2">
      <c r="A39" s="13"/>
      <c r="C39" s="43">
        <v>27</v>
      </c>
      <c r="D39" s="53">
        <v>11146.44</v>
      </c>
      <c r="E39" s="53">
        <v>39.338299999999997</v>
      </c>
      <c r="F39" s="53"/>
      <c r="G39" s="53"/>
      <c r="H39" s="53"/>
      <c r="I39" s="53"/>
      <c r="J39" s="53"/>
      <c r="K39" s="15">
        <v>0</v>
      </c>
      <c r="L39" s="15">
        <v>0</v>
      </c>
      <c r="M39" s="15">
        <v>0</v>
      </c>
      <c r="N39" s="16">
        <f t="shared" si="0"/>
        <v>0</v>
      </c>
      <c r="P39" s="55">
        <v>11134.68</v>
      </c>
      <c r="Q39" s="55">
        <v>39.325299999999999</v>
      </c>
      <c r="R39" s="55"/>
      <c r="S39" s="55"/>
      <c r="T39" s="55"/>
      <c r="U39" s="55"/>
      <c r="V39" s="55"/>
      <c r="W39" s="15">
        <v>0</v>
      </c>
      <c r="X39" s="15">
        <v>0</v>
      </c>
      <c r="Y39" s="15">
        <v>0</v>
      </c>
      <c r="Z39" s="16">
        <f t="shared" si="6"/>
        <v>0</v>
      </c>
      <c r="AA39" s="15" t="e">
        <f t="shared" si="1"/>
        <v>#DIV/0!</v>
      </c>
      <c r="AB39" s="15" t="e">
        <f t="shared" si="41"/>
        <v>#DIV/0!</v>
      </c>
      <c r="AC39" s="15" t="e">
        <f t="shared" si="41"/>
        <v>#DIV/0!</v>
      </c>
      <c r="AD39" s="16">
        <f t="shared" si="7"/>
        <v>1.0550453777170305E-3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-1.4329566958992679E-4</v>
      </c>
      <c r="AM39" s="21" t="e">
        <f>bdrate($D39:$D42,F39:F42,$P39:$P42,R39:R42)</f>
        <v>#VALUE!</v>
      </c>
      <c r="AN39" s="36" t="e">
        <f t="shared" ref="AN39" si="47">bdrate($D39:$D42,G39:G42,$P39:$P42,S39:S42)</f>
        <v>#VALUE!</v>
      </c>
      <c r="AO39" s="26" t="e">
        <f>bdrate($D39:$D42,H39:H42,$P39:$P42,T39:T42)</f>
        <v>#VALUE!</v>
      </c>
      <c r="AP39" s="21" t="e">
        <f>bdrate($D39:$D42,I39:I42,$P39:$P42,U39:U42)</f>
        <v>#VALUE!</v>
      </c>
      <c r="AQ39" s="36" t="e">
        <f>bdrate($D39:$D42,J39:J42,$P39:$P42,V39:V42)</f>
        <v>#VALUE!</v>
      </c>
      <c r="AR39" s="21"/>
      <c r="AS39" s="21"/>
      <c r="AT39" s="36"/>
      <c r="AU39" s="26"/>
      <c r="AV39" s="21"/>
      <c r="AW39" s="36"/>
      <c r="AX39" s="15" t="e">
        <f>V39/J39</f>
        <v>#DIV/0!</v>
      </c>
      <c r="AY39" s="15" t="e">
        <f t="shared" ref="AY39:AY42" si="48">X39/L39</f>
        <v>#DIV/0!</v>
      </c>
      <c r="AZ39" s="15" t="e">
        <f t="shared" si="10"/>
        <v>#DIV/0!</v>
      </c>
      <c r="BA39" s="15" t="e">
        <f>V39/J39</f>
        <v>#DIV/0!</v>
      </c>
      <c r="BB39" s="15" t="e">
        <f t="shared" si="46"/>
        <v>#DIV/0!</v>
      </c>
      <c r="BC39" s="15" t="e">
        <f t="shared" si="11"/>
        <v>#DIV/0!</v>
      </c>
    </row>
    <row r="40" spans="1:55" ht="15" x14ac:dyDescent="0.2">
      <c r="A40" s="13"/>
      <c r="B40" s="13"/>
      <c r="C40" s="43">
        <v>32</v>
      </c>
      <c r="D40" s="53">
        <v>5961.9</v>
      </c>
      <c r="E40" s="53">
        <v>36.382100000000001</v>
      </c>
      <c r="F40" s="53"/>
      <c r="G40" s="53"/>
      <c r="H40" s="53"/>
      <c r="I40" s="53"/>
      <c r="J40" s="53"/>
      <c r="K40" s="15">
        <v>0</v>
      </c>
      <c r="L40" s="15">
        <v>0</v>
      </c>
      <c r="M40" s="15">
        <v>0</v>
      </c>
      <c r="N40" s="16">
        <f t="shared" si="0"/>
        <v>0</v>
      </c>
      <c r="P40" s="55">
        <v>5967.18</v>
      </c>
      <c r="Q40" s="55">
        <v>36.3855</v>
      </c>
      <c r="R40" s="55"/>
      <c r="S40" s="55"/>
      <c r="T40" s="55"/>
      <c r="U40" s="55"/>
      <c r="V40" s="55"/>
      <c r="W40" s="15">
        <v>0</v>
      </c>
      <c r="X40" s="15">
        <v>0</v>
      </c>
      <c r="Y40" s="15">
        <v>0</v>
      </c>
      <c r="Z40" s="16">
        <f t="shared" si="6"/>
        <v>0</v>
      </c>
      <c r="AA40" s="15" t="e">
        <f t="shared" si="1"/>
        <v>#DIV/0!</v>
      </c>
      <c r="AB40" s="15" t="e">
        <f t="shared" si="41"/>
        <v>#DIV/0!</v>
      </c>
      <c r="AC40" s="15" t="e">
        <f t="shared" si="41"/>
        <v>#DIV/0!</v>
      </c>
      <c r="AD40" s="16">
        <f t="shared" si="7"/>
        <v>8.8562371056217907E-4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 t="e">
        <f>V40/J40</f>
        <v>#DIV/0!</v>
      </c>
      <c r="AY40" s="15" t="e">
        <f t="shared" si="48"/>
        <v>#DIV/0!</v>
      </c>
      <c r="AZ40" s="15" t="e">
        <f t="shared" si="10"/>
        <v>#DIV/0!</v>
      </c>
      <c r="BA40" s="15" t="e">
        <f>V40/J40</f>
        <v>#DIV/0!</v>
      </c>
      <c r="BB40" s="15" t="e">
        <f t="shared" si="46"/>
        <v>#DIV/0!</v>
      </c>
      <c r="BC40" s="15" t="e">
        <f t="shared" si="11"/>
        <v>#DIV/0!</v>
      </c>
    </row>
    <row r="41" spans="1:55" ht="15" x14ac:dyDescent="0.2">
      <c r="A41" s="13"/>
      <c r="B41" s="13"/>
      <c r="C41" s="43">
        <v>37</v>
      </c>
      <c r="D41" s="53">
        <v>3237.78</v>
      </c>
      <c r="E41" s="53">
        <v>33.645299999999999</v>
      </c>
      <c r="F41" s="53"/>
      <c r="G41" s="53"/>
      <c r="H41" s="53"/>
      <c r="I41" s="53"/>
      <c r="J41" s="53"/>
      <c r="K41" s="15">
        <v>0</v>
      </c>
      <c r="L41" s="15">
        <v>0</v>
      </c>
      <c r="M41" s="15">
        <v>0</v>
      </c>
      <c r="N41" s="16">
        <f t="shared" si="0"/>
        <v>0</v>
      </c>
      <c r="P41" s="55">
        <v>3245.28</v>
      </c>
      <c r="Q41" s="55">
        <v>33.6569</v>
      </c>
      <c r="R41" s="55"/>
      <c r="S41" s="55"/>
      <c r="T41" s="55"/>
      <c r="U41" s="55"/>
      <c r="V41" s="55"/>
      <c r="W41" s="15">
        <v>0</v>
      </c>
      <c r="X41" s="15">
        <v>0</v>
      </c>
      <c r="Y41" s="15">
        <v>0</v>
      </c>
      <c r="Z41" s="16">
        <f t="shared" si="6"/>
        <v>0</v>
      </c>
      <c r="AA41" s="15" t="e">
        <f t="shared" si="1"/>
        <v>#DIV/0!</v>
      </c>
      <c r="AB41" s="15" t="e">
        <f t="shared" si="41"/>
        <v>#DIV/0!</v>
      </c>
      <c r="AC41" s="15" t="e">
        <f t="shared" si="41"/>
        <v>#DIV/0!</v>
      </c>
      <c r="AD41" s="16">
        <f t="shared" si="7"/>
        <v>2.3164019791338509E-3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 t="e">
        <f>V41/J41</f>
        <v>#DIV/0!</v>
      </c>
      <c r="AY41" s="15" t="e">
        <f t="shared" si="48"/>
        <v>#DIV/0!</v>
      </c>
      <c r="AZ41" s="15" t="e">
        <f t="shared" si="10"/>
        <v>#DIV/0!</v>
      </c>
      <c r="BA41" s="15" t="e">
        <f>V41/J41</f>
        <v>#DIV/0!</v>
      </c>
      <c r="BB41" s="15" t="e">
        <f t="shared" si="46"/>
        <v>#DIV/0!</v>
      </c>
      <c r="BC41" s="15" t="e">
        <f t="shared" si="11"/>
        <v>#DIV/0!</v>
      </c>
    </row>
    <row r="42" spans="1:55" ht="15.75" thickBot="1" x14ac:dyDescent="0.25">
      <c r="A42" s="13"/>
      <c r="B42" s="17"/>
      <c r="C42" s="44">
        <v>42</v>
      </c>
      <c r="D42" s="53">
        <v>1667.04</v>
      </c>
      <c r="E42" s="53">
        <v>30.922999999999998</v>
      </c>
      <c r="F42" s="53"/>
      <c r="G42" s="53"/>
      <c r="H42" s="53"/>
      <c r="I42" s="53"/>
      <c r="J42" s="53"/>
      <c r="K42" s="19">
        <v>0</v>
      </c>
      <c r="L42" s="19">
        <v>0</v>
      </c>
      <c r="M42" s="19">
        <v>0</v>
      </c>
      <c r="N42" s="20">
        <f t="shared" si="0"/>
        <v>0</v>
      </c>
      <c r="P42" s="55">
        <v>1673.04</v>
      </c>
      <c r="Q42" s="55">
        <v>30.946100000000001</v>
      </c>
      <c r="R42" s="55"/>
      <c r="S42" s="55"/>
      <c r="T42" s="55"/>
      <c r="U42" s="55"/>
      <c r="V42" s="55"/>
      <c r="W42" s="19">
        <v>0</v>
      </c>
      <c r="X42" s="19">
        <v>0</v>
      </c>
      <c r="Y42" s="19">
        <v>0</v>
      </c>
      <c r="Z42" s="20">
        <f t="shared" si="6"/>
        <v>0</v>
      </c>
      <c r="AA42" s="15" t="e">
        <f t="shared" si="1"/>
        <v>#DIV/0!</v>
      </c>
      <c r="AB42" s="15" t="e">
        <f t="shared" si="41"/>
        <v>#DIV/0!</v>
      </c>
      <c r="AC42" s="15" t="e">
        <f t="shared" si="41"/>
        <v>#DIV/0!</v>
      </c>
      <c r="AD42" s="20">
        <f t="shared" si="7"/>
        <v>3.5991937805931471E-3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 t="e">
        <f>V42/J42</f>
        <v>#DIV/0!</v>
      </c>
      <c r="AY42" s="15" t="e">
        <f t="shared" si="48"/>
        <v>#DIV/0!</v>
      </c>
      <c r="AZ42" s="15" t="e">
        <f t="shared" si="10"/>
        <v>#DIV/0!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3">
        <v>12716.7</v>
      </c>
      <c r="E43" s="53">
        <v>41.667099999999998</v>
      </c>
      <c r="F43" s="53"/>
      <c r="G43" s="53"/>
      <c r="H43" s="53"/>
      <c r="I43" s="53"/>
      <c r="J43" s="53"/>
      <c r="K43" s="10">
        <v>0</v>
      </c>
      <c r="L43" s="10">
        <v>0</v>
      </c>
      <c r="M43" s="10">
        <v>0</v>
      </c>
      <c r="N43" s="11">
        <f t="shared" si="0"/>
        <v>0</v>
      </c>
      <c r="P43" s="55">
        <v>12697.55</v>
      </c>
      <c r="Q43" s="55">
        <v>41.6633</v>
      </c>
      <c r="R43" s="55"/>
      <c r="S43" s="55"/>
      <c r="T43" s="55"/>
      <c r="U43" s="55"/>
      <c r="V43" s="55"/>
      <c r="W43" s="10">
        <v>0</v>
      </c>
      <c r="X43" s="10">
        <v>0</v>
      </c>
      <c r="Y43" s="10">
        <v>0</v>
      </c>
      <c r="Z43" s="11">
        <f t="shared" si="6"/>
        <v>0</v>
      </c>
      <c r="AA43" s="15" t="e">
        <f t="shared" si="1"/>
        <v>#DIV/0!</v>
      </c>
      <c r="AB43" s="15" t="e">
        <f t="shared" si="41"/>
        <v>#DIV/0!</v>
      </c>
      <c r="AC43" s="15" t="e">
        <f t="shared" si="41"/>
        <v>#DIV/0!</v>
      </c>
      <c r="AD43" s="11">
        <f t="shared" si="7"/>
        <v>1.5058938246558819E-3</v>
      </c>
      <c r="AE43" s="12"/>
      <c r="AF43" s="25">
        <f t="shared" ref="AF43:AK43" si="49">bdRateExtend($D43:$D47,E43:E47,$P43:$P47,Q43:Q47)</f>
        <v>-4.8312687934848331E-4</v>
      </c>
      <c r="AG43" s="30" t="e">
        <f t="shared" si="49"/>
        <v>#VALUE!</v>
      </c>
      <c r="AH43" s="31" t="e">
        <f t="shared" si="49"/>
        <v>#VALUE!</v>
      </c>
      <c r="AI43" s="25" t="e">
        <f t="shared" si="49"/>
        <v>#VALUE!</v>
      </c>
      <c r="AJ43" s="30" t="e">
        <f t="shared" si="49"/>
        <v>#VALUE!</v>
      </c>
      <c r="AK43" s="30" t="e">
        <f t="shared" si="49"/>
        <v>#VALUE!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-1.0887251133053777E-3</v>
      </c>
      <c r="AS43" s="30" t="e">
        <f t="shared" si="50"/>
        <v>#VALUE!</v>
      </c>
      <c r="AT43" s="31" t="e">
        <f t="shared" si="50"/>
        <v>#VALUE!</v>
      </c>
      <c r="AU43" s="25" t="e">
        <f t="shared" si="50"/>
        <v>#VALUE!</v>
      </c>
      <c r="AV43" s="30" t="e">
        <f t="shared" si="50"/>
        <v>#VALUE!</v>
      </c>
      <c r="AW43" s="31" t="e">
        <f t="shared" si="50"/>
        <v>#VALUE!</v>
      </c>
      <c r="AX43" s="15"/>
      <c r="AY43" s="15"/>
      <c r="AZ43" s="15"/>
      <c r="BA43" s="15" t="e">
        <f>V43/J43</f>
        <v>#DIV/0!</v>
      </c>
      <c r="BB43" s="15" t="e">
        <f t="shared" ref="BB43:BB46" si="51">X43/L43</f>
        <v>#DIV/0!</v>
      </c>
      <c r="BC43" s="15" t="e">
        <f t="shared" si="11"/>
        <v>#DIV/0!</v>
      </c>
    </row>
    <row r="44" spans="1:55" ht="15" x14ac:dyDescent="0.2">
      <c r="A44" s="13"/>
      <c r="B44" s="13"/>
      <c r="C44" s="43">
        <v>27</v>
      </c>
      <c r="D44" s="53">
        <v>5492.15</v>
      </c>
      <c r="E44" s="53">
        <v>38.930199999999999</v>
      </c>
      <c r="F44" s="53"/>
      <c r="G44" s="53"/>
      <c r="H44" s="53"/>
      <c r="I44" s="53"/>
      <c r="J44" s="53"/>
      <c r="K44" s="15">
        <v>0</v>
      </c>
      <c r="L44" s="15">
        <v>0</v>
      </c>
      <c r="M44" s="15">
        <v>0</v>
      </c>
      <c r="N44" s="16">
        <f t="shared" si="0"/>
        <v>0</v>
      </c>
      <c r="P44" s="55">
        <v>5483.8</v>
      </c>
      <c r="Q44" s="55">
        <v>38.930999999999997</v>
      </c>
      <c r="R44" s="55"/>
      <c r="S44" s="55"/>
      <c r="T44" s="55"/>
      <c r="U44" s="55"/>
      <c r="V44" s="55"/>
      <c r="W44" s="15">
        <v>0</v>
      </c>
      <c r="X44" s="15">
        <v>0</v>
      </c>
      <c r="Y44" s="15">
        <v>0</v>
      </c>
      <c r="Z44" s="16">
        <f t="shared" si="6"/>
        <v>0</v>
      </c>
      <c r="AA44" s="15" t="e">
        <f t="shared" si="1"/>
        <v>#DIV/0!</v>
      </c>
      <c r="AB44" s="15" t="e">
        <f t="shared" si="41"/>
        <v>#DIV/0!</v>
      </c>
      <c r="AC44" s="15" t="e">
        <f t="shared" si="41"/>
        <v>#DIV/0!</v>
      </c>
      <c r="AD44" s="16">
        <f t="shared" si="7"/>
        <v>1.52035177480576E-3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-2.5114533688874729E-4</v>
      </c>
      <c r="AM44" s="21" t="e">
        <f>bdrate($D44:$D47,F44:F47,$P44:$P47,R44:R47)</f>
        <v>#VALUE!</v>
      </c>
      <c r="AN44" s="36" t="e">
        <f t="shared" ref="AN44" si="52">bdrate($D44:$D47,G44:G47,$P44:$P47,S44:S47)</f>
        <v>#VALUE!</v>
      </c>
      <c r="AO44" s="26" t="e">
        <f>bdrate($D44:$D47,H44:H47,$P44:$P47,T44:T47)</f>
        <v>#VALUE!</v>
      </c>
      <c r="AP44" s="21" t="e">
        <f>bdrate($D44:$D47,I44:I47,$P44:$P47,U44:U47)</f>
        <v>#VALUE!</v>
      </c>
      <c r="AQ44" s="36" t="e">
        <f>bdrate($D44:$D47,J44:J47,$P44:$P47,V44:V47)</f>
        <v>#VALUE!</v>
      </c>
      <c r="AR44" s="21"/>
      <c r="AS44" s="21"/>
      <c r="AT44" s="36"/>
      <c r="AU44" s="26"/>
      <c r="AV44" s="21"/>
      <c r="AW44" s="36"/>
      <c r="AX44" s="15" t="e">
        <f>V44/J44</f>
        <v>#DIV/0!</v>
      </c>
      <c r="AY44" s="15" t="e">
        <f t="shared" ref="AY44:AY47" si="53">X44/L44</f>
        <v>#DIV/0!</v>
      </c>
      <c r="AZ44" s="15" t="e">
        <f t="shared" si="10"/>
        <v>#DIV/0!</v>
      </c>
      <c r="BA44" s="15" t="e">
        <f>V44/J44</f>
        <v>#DIV/0!</v>
      </c>
      <c r="BB44" s="15" t="e">
        <f t="shared" si="51"/>
        <v>#DIV/0!</v>
      </c>
      <c r="BC44" s="15" t="e">
        <f t="shared" si="11"/>
        <v>#DIV/0!</v>
      </c>
    </row>
    <row r="45" spans="1:55" ht="15" x14ac:dyDescent="0.2">
      <c r="A45" s="13"/>
      <c r="B45" s="13"/>
      <c r="C45" s="43">
        <v>32</v>
      </c>
      <c r="D45" s="53">
        <v>2958.35</v>
      </c>
      <c r="E45" s="53">
        <v>36.9499</v>
      </c>
      <c r="F45" s="53"/>
      <c r="G45" s="53"/>
      <c r="H45" s="53"/>
      <c r="I45" s="53"/>
      <c r="J45" s="53"/>
      <c r="K45" s="15">
        <v>0</v>
      </c>
      <c r="L45" s="15">
        <v>0</v>
      </c>
      <c r="M45" s="15">
        <v>0</v>
      </c>
      <c r="N45" s="16">
        <f t="shared" si="0"/>
        <v>0</v>
      </c>
      <c r="P45" s="55">
        <v>2963.7</v>
      </c>
      <c r="Q45" s="55">
        <v>36.963099999999997</v>
      </c>
      <c r="R45" s="55"/>
      <c r="S45" s="55"/>
      <c r="T45" s="55"/>
      <c r="U45" s="55"/>
      <c r="V45" s="55"/>
      <c r="W45" s="15">
        <v>0</v>
      </c>
      <c r="X45" s="15">
        <v>0</v>
      </c>
      <c r="Y45" s="15">
        <v>0</v>
      </c>
      <c r="Z45" s="16">
        <f t="shared" si="6"/>
        <v>0</v>
      </c>
      <c r="AA45" s="15" t="e">
        <f t="shared" si="1"/>
        <v>#DIV/0!</v>
      </c>
      <c r="AB45" s="15" t="e">
        <f t="shared" si="41"/>
        <v>#DIV/0!</v>
      </c>
      <c r="AC45" s="15" t="e">
        <f t="shared" si="41"/>
        <v>#DIV/0!</v>
      </c>
      <c r="AD45" s="16">
        <f t="shared" si="7"/>
        <v>1.8084405158280492E-3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 t="e">
        <f>V45/J45</f>
        <v>#DIV/0!</v>
      </c>
      <c r="AY45" s="15" t="e">
        <f t="shared" si="53"/>
        <v>#DIV/0!</v>
      </c>
      <c r="AZ45" s="15" t="e">
        <f t="shared" si="10"/>
        <v>#DIV/0!</v>
      </c>
      <c r="BA45" s="15" t="e">
        <f>V45/J45</f>
        <v>#DIV/0!</v>
      </c>
      <c r="BB45" s="15" t="e">
        <f t="shared" si="51"/>
        <v>#DIV/0!</v>
      </c>
      <c r="BC45" s="15" t="e">
        <f t="shared" si="11"/>
        <v>#DIV/0!</v>
      </c>
    </row>
    <row r="46" spans="1:55" ht="15" x14ac:dyDescent="0.2">
      <c r="A46" s="13"/>
      <c r="B46" s="13"/>
      <c r="C46" s="43">
        <v>37</v>
      </c>
      <c r="D46" s="53">
        <v>1595.75</v>
      </c>
      <c r="E46" s="53">
        <v>34.752899999999997</v>
      </c>
      <c r="F46" s="53"/>
      <c r="G46" s="53"/>
      <c r="H46" s="53"/>
      <c r="I46" s="53"/>
      <c r="J46" s="53"/>
      <c r="K46" s="15">
        <v>0</v>
      </c>
      <c r="L46" s="15">
        <v>0</v>
      </c>
      <c r="M46" s="15">
        <v>0</v>
      </c>
      <c r="N46" s="16">
        <f t="shared" si="0"/>
        <v>0</v>
      </c>
      <c r="P46" s="55">
        <v>1597.95</v>
      </c>
      <c r="Q46" s="55">
        <v>34.746899999999997</v>
      </c>
      <c r="R46" s="55"/>
      <c r="S46" s="55"/>
      <c r="T46" s="55"/>
      <c r="U46" s="55"/>
      <c r="V46" s="55"/>
      <c r="W46" s="15">
        <v>0</v>
      </c>
      <c r="X46" s="15">
        <v>0</v>
      </c>
      <c r="Y46" s="15">
        <v>0</v>
      </c>
      <c r="Z46" s="16">
        <f t="shared" si="6"/>
        <v>0</v>
      </c>
      <c r="AA46" s="15" t="e">
        <f t="shared" si="1"/>
        <v>#DIV/0!</v>
      </c>
      <c r="AB46" s="15" t="e">
        <f t="shared" si="41"/>
        <v>#DIV/0!</v>
      </c>
      <c r="AC46" s="15" t="e">
        <f t="shared" si="41"/>
        <v>#DIV/0!</v>
      </c>
      <c r="AD46" s="16">
        <f t="shared" si="7"/>
        <v>1.3786620711264581E-3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 t="e">
        <f>V46/J46</f>
        <v>#DIV/0!</v>
      </c>
      <c r="AY46" s="15" t="e">
        <f t="shared" si="53"/>
        <v>#DIV/0!</v>
      </c>
      <c r="AZ46" s="15" t="e">
        <f t="shared" si="10"/>
        <v>#DIV/0!</v>
      </c>
      <c r="BA46" s="15" t="e">
        <f>V46/J46</f>
        <v>#DIV/0!</v>
      </c>
      <c r="BB46" s="15" t="e">
        <f t="shared" si="51"/>
        <v>#DIV/0!</v>
      </c>
      <c r="BC46" s="15" t="e">
        <f t="shared" si="11"/>
        <v>#DIV/0!</v>
      </c>
    </row>
    <row r="47" spans="1:55" ht="15.75" thickBot="1" x14ac:dyDescent="0.25">
      <c r="A47" s="13"/>
      <c r="B47" s="17"/>
      <c r="C47" s="44">
        <v>42</v>
      </c>
      <c r="D47" s="53">
        <v>846.8</v>
      </c>
      <c r="E47" s="53">
        <v>32.457500000000003</v>
      </c>
      <c r="F47" s="53"/>
      <c r="G47" s="53"/>
      <c r="H47" s="53"/>
      <c r="I47" s="53"/>
      <c r="J47" s="53"/>
      <c r="K47" s="19">
        <v>0</v>
      </c>
      <c r="L47" s="19">
        <v>0</v>
      </c>
      <c r="M47" s="19">
        <v>0</v>
      </c>
      <c r="N47" s="20">
        <f t="shared" si="0"/>
        <v>0</v>
      </c>
      <c r="P47" s="55">
        <v>839.5</v>
      </c>
      <c r="Q47" s="55">
        <v>32.4407</v>
      </c>
      <c r="R47" s="55"/>
      <c r="S47" s="55"/>
      <c r="T47" s="55"/>
      <c r="U47" s="55"/>
      <c r="V47" s="55"/>
      <c r="W47" s="19">
        <v>0</v>
      </c>
      <c r="X47" s="19">
        <v>0</v>
      </c>
      <c r="Y47" s="19">
        <v>0</v>
      </c>
      <c r="Z47" s="20">
        <f t="shared" si="6"/>
        <v>0</v>
      </c>
      <c r="AA47" s="15" t="e">
        <f t="shared" si="1"/>
        <v>#DIV/0!</v>
      </c>
      <c r="AB47" s="15" t="e">
        <f t="shared" si="41"/>
        <v>#DIV/0!</v>
      </c>
      <c r="AC47" s="15" t="e">
        <f t="shared" si="41"/>
        <v>#DIV/0!</v>
      </c>
      <c r="AD47" s="20">
        <f t="shared" si="7"/>
        <v>8.6206896551723599E-3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 t="e">
        <f>V47/J47</f>
        <v>#DIV/0!</v>
      </c>
      <c r="AY47" s="15" t="e">
        <f t="shared" si="53"/>
        <v>#DIV/0!</v>
      </c>
      <c r="AZ47" s="15" t="e">
        <f t="shared" si="10"/>
        <v>#DIV/0!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3">
        <v>9012.06</v>
      </c>
      <c r="E48" s="53">
        <v>43.5899</v>
      </c>
      <c r="F48" s="53"/>
      <c r="G48" s="53"/>
      <c r="H48" s="53"/>
      <c r="I48" s="53"/>
      <c r="J48" s="53"/>
      <c r="K48" s="10">
        <v>0</v>
      </c>
      <c r="L48" s="10">
        <v>0</v>
      </c>
      <c r="M48" s="10">
        <v>0</v>
      </c>
      <c r="N48" s="11">
        <f t="shared" si="0"/>
        <v>0</v>
      </c>
      <c r="P48" s="55">
        <v>8983.56</v>
      </c>
      <c r="Q48" s="55">
        <v>43.5779</v>
      </c>
      <c r="R48" s="55"/>
      <c r="S48" s="55"/>
      <c r="T48" s="55"/>
      <c r="U48" s="55"/>
      <c r="V48" s="55"/>
      <c r="W48" s="10">
        <v>0</v>
      </c>
      <c r="X48" s="10">
        <v>0</v>
      </c>
      <c r="Y48" s="10">
        <v>0</v>
      </c>
      <c r="Z48" s="11">
        <f t="shared" si="6"/>
        <v>0</v>
      </c>
      <c r="AA48" s="15" t="e">
        <f t="shared" si="1"/>
        <v>#DIV/0!</v>
      </c>
      <c r="AB48" s="15" t="e">
        <f t="shared" si="41"/>
        <v>#DIV/0!</v>
      </c>
      <c r="AC48" s="15" t="e">
        <f t="shared" si="41"/>
        <v>#DIV/0!</v>
      </c>
      <c r="AD48" s="11">
        <f t="shared" si="7"/>
        <v>3.1624290117908669E-3</v>
      </c>
      <c r="AE48" s="12"/>
      <c r="AF48" s="25">
        <f t="shared" ref="AF48:AK48" si="54">bdRateExtend($D48:$D52,E48:E52,$P48:$P52,Q48:Q52)</f>
        <v>1.0728298980697826E-3</v>
      </c>
      <c r="AG48" s="30" t="e">
        <f t="shared" si="54"/>
        <v>#VALUE!</v>
      </c>
      <c r="AH48" s="31" t="e">
        <f t="shared" si="54"/>
        <v>#VALUE!</v>
      </c>
      <c r="AI48" s="25" t="e">
        <f t="shared" si="54"/>
        <v>#VALUE!</v>
      </c>
      <c r="AJ48" s="30" t="e">
        <f t="shared" si="54"/>
        <v>#VALUE!</v>
      </c>
      <c r="AK48" s="30" t="e">
        <f t="shared" si="54"/>
        <v>#VALUE!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1.4428739503278276E-3</v>
      </c>
      <c r="AS48" s="30" t="e">
        <f t="shared" si="55"/>
        <v>#VALUE!</v>
      </c>
      <c r="AT48" s="31" t="e">
        <f t="shared" si="55"/>
        <v>#VALUE!</v>
      </c>
      <c r="AU48" s="25" t="e">
        <f t="shared" si="55"/>
        <v>#VALUE!</v>
      </c>
      <c r="AV48" s="30" t="e">
        <f t="shared" si="55"/>
        <v>#VALUE!</v>
      </c>
      <c r="AW48" s="31" t="e">
        <f t="shared" si="55"/>
        <v>#VALUE!</v>
      </c>
      <c r="AX48" s="15"/>
      <c r="AY48" s="15"/>
      <c r="AZ48" s="15"/>
      <c r="BA48" s="15" t="e">
        <f>V48/J48</f>
        <v>#DIV/0!</v>
      </c>
      <c r="BB48" s="15" t="e">
        <f t="shared" ref="BB48:BB51" si="56">X48/L48</f>
        <v>#DIV/0!</v>
      </c>
      <c r="BC48" s="15" t="e">
        <f t="shared" si="11"/>
        <v>#DIV/0!</v>
      </c>
    </row>
    <row r="49" spans="1:55" ht="15" x14ac:dyDescent="0.2">
      <c r="A49" s="13"/>
      <c r="B49" s="13"/>
      <c r="C49" s="43">
        <v>27</v>
      </c>
      <c r="D49" s="53">
        <v>4520.6400000000003</v>
      </c>
      <c r="E49" s="53">
        <v>41.374899999999997</v>
      </c>
      <c r="F49" s="53"/>
      <c r="G49" s="53"/>
      <c r="H49" s="53"/>
      <c r="I49" s="53"/>
      <c r="J49" s="53"/>
      <c r="K49" s="15">
        <v>0</v>
      </c>
      <c r="L49" s="15">
        <v>0</v>
      </c>
      <c r="M49" s="15">
        <v>0</v>
      </c>
      <c r="N49" s="16">
        <f t="shared" si="0"/>
        <v>0</v>
      </c>
      <c r="P49" s="55">
        <v>4500.3599999999997</v>
      </c>
      <c r="Q49" s="55">
        <v>41.361899999999999</v>
      </c>
      <c r="R49" s="55"/>
      <c r="S49" s="55"/>
      <c r="T49" s="55"/>
      <c r="U49" s="55"/>
      <c r="V49" s="55"/>
      <c r="W49" s="15">
        <v>0</v>
      </c>
      <c r="X49" s="15">
        <v>0</v>
      </c>
      <c r="Y49" s="15">
        <v>0</v>
      </c>
      <c r="Z49" s="16">
        <f t="shared" si="6"/>
        <v>0</v>
      </c>
      <c r="AA49" s="15" t="e">
        <f t="shared" si="1"/>
        <v>#DIV/0!</v>
      </c>
      <c r="AB49" s="15" t="e">
        <f t="shared" si="41"/>
        <v>#DIV/0!</v>
      </c>
      <c r="AC49" s="15" t="e">
        <f t="shared" si="41"/>
        <v>#DIV/0!</v>
      </c>
      <c r="AD49" s="16">
        <f t="shared" si="7"/>
        <v>4.4860904650670377E-3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1.7032408349864081E-3</v>
      </c>
      <c r="AM49" s="21" t="e">
        <f>bdrate($D49:$D52,F49:F52,$P49:$P52,R49:R52)</f>
        <v>#VALUE!</v>
      </c>
      <c r="AN49" s="36" t="e">
        <f t="shared" ref="AN49" si="57">bdrate($D49:$D52,G49:G52,$P49:$P52,S49:S52)</f>
        <v>#VALUE!</v>
      </c>
      <c r="AO49" s="26" t="e">
        <f>bdrate($D49:$D52,H49:H52,$P49:$P52,T49:T52)</f>
        <v>#VALUE!</v>
      </c>
      <c r="AP49" s="21" t="e">
        <f>bdrate($D49:$D52,I49:I52,$P49:$P52,U49:U52)</f>
        <v>#VALUE!</v>
      </c>
      <c r="AQ49" s="36" t="e">
        <f>bdrate($D49:$D52,J49:J52,$P49:$P52,V49:V52)</f>
        <v>#VALUE!</v>
      </c>
      <c r="AR49" s="21"/>
      <c r="AS49" s="21"/>
      <c r="AT49" s="36"/>
      <c r="AU49" s="26"/>
      <c r="AV49" s="21"/>
      <c r="AW49" s="36"/>
      <c r="AX49" s="15" t="e">
        <f>V49/J49</f>
        <v>#DIV/0!</v>
      </c>
      <c r="AY49" s="15" t="e">
        <f t="shared" ref="AY49:AY52" si="58">X49/L49</f>
        <v>#DIV/0!</v>
      </c>
      <c r="AZ49" s="15" t="e">
        <f t="shared" si="10"/>
        <v>#DIV/0!</v>
      </c>
      <c r="BA49" s="15" t="e">
        <f>V49/J49</f>
        <v>#DIV/0!</v>
      </c>
      <c r="BB49" s="15" t="e">
        <f t="shared" si="56"/>
        <v>#DIV/0!</v>
      </c>
      <c r="BC49" s="15" t="e">
        <f t="shared" si="11"/>
        <v>#DIV/0!</v>
      </c>
    </row>
    <row r="50" spans="1:55" ht="15" x14ac:dyDescent="0.2">
      <c r="A50" s="13"/>
      <c r="B50" s="13"/>
      <c r="C50" s="43">
        <v>32</v>
      </c>
      <c r="D50" s="53">
        <v>2368.62</v>
      </c>
      <c r="E50" s="53">
        <v>39.305500000000002</v>
      </c>
      <c r="F50" s="53"/>
      <c r="G50" s="53"/>
      <c r="H50" s="53"/>
      <c r="I50" s="53"/>
      <c r="J50" s="53"/>
      <c r="K50" s="15">
        <v>0</v>
      </c>
      <c r="L50" s="15">
        <v>0</v>
      </c>
      <c r="M50" s="15">
        <v>0</v>
      </c>
      <c r="N50" s="16">
        <f t="shared" si="0"/>
        <v>0</v>
      </c>
      <c r="P50" s="55">
        <v>2378.7600000000002</v>
      </c>
      <c r="Q50" s="55">
        <v>39.308100000000003</v>
      </c>
      <c r="R50" s="55"/>
      <c r="S50" s="55"/>
      <c r="T50" s="55"/>
      <c r="U50" s="55"/>
      <c r="V50" s="55"/>
      <c r="W50" s="15">
        <v>0</v>
      </c>
      <c r="X50" s="15">
        <v>0</v>
      </c>
      <c r="Y50" s="15">
        <v>0</v>
      </c>
      <c r="Z50" s="16">
        <f t="shared" si="6"/>
        <v>0</v>
      </c>
      <c r="AA50" s="15" t="e">
        <f t="shared" si="1"/>
        <v>#DIV/0!</v>
      </c>
      <c r="AB50" s="15" t="e">
        <f t="shared" si="41"/>
        <v>#DIV/0!</v>
      </c>
      <c r="AC50" s="15" t="e">
        <f t="shared" si="41"/>
        <v>#DIV/0!</v>
      </c>
      <c r="AD50" s="16">
        <f t="shared" si="7"/>
        <v>4.2809737315400226E-3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 t="e">
        <f>V50/J50</f>
        <v>#DIV/0!</v>
      </c>
      <c r="AY50" s="15" t="e">
        <f t="shared" si="58"/>
        <v>#DIV/0!</v>
      </c>
      <c r="AZ50" s="15" t="e">
        <f t="shared" si="10"/>
        <v>#DIV/0!</v>
      </c>
      <c r="BA50" s="15" t="e">
        <f>V50/J50</f>
        <v>#DIV/0!</v>
      </c>
      <c r="BB50" s="15" t="e">
        <f t="shared" si="56"/>
        <v>#DIV/0!</v>
      </c>
      <c r="BC50" s="15" t="e">
        <f t="shared" si="11"/>
        <v>#DIV/0!</v>
      </c>
    </row>
    <row r="51" spans="1:55" ht="15" x14ac:dyDescent="0.2">
      <c r="A51" s="13"/>
      <c r="B51" s="13"/>
      <c r="C51" s="43">
        <v>37</v>
      </c>
      <c r="D51" s="53">
        <v>1228.6199999999999</v>
      </c>
      <c r="E51" s="53">
        <v>37.0869</v>
      </c>
      <c r="F51" s="53"/>
      <c r="G51" s="53"/>
      <c r="H51" s="53"/>
      <c r="I51" s="53"/>
      <c r="J51" s="53"/>
      <c r="K51" s="15">
        <v>0</v>
      </c>
      <c r="L51" s="15">
        <v>0</v>
      </c>
      <c r="M51" s="15">
        <v>0</v>
      </c>
      <c r="N51" s="16">
        <f t="shared" si="0"/>
        <v>0</v>
      </c>
      <c r="P51" s="55">
        <v>1225.26</v>
      </c>
      <c r="Q51" s="55">
        <v>37.071100000000001</v>
      </c>
      <c r="R51" s="55"/>
      <c r="S51" s="55"/>
      <c r="T51" s="55"/>
      <c r="U51" s="55"/>
      <c r="V51" s="55"/>
      <c r="W51" s="15">
        <v>0</v>
      </c>
      <c r="X51" s="15">
        <v>0</v>
      </c>
      <c r="Y51" s="15">
        <v>0</v>
      </c>
      <c r="Z51" s="16">
        <f t="shared" si="6"/>
        <v>0</v>
      </c>
      <c r="AA51" s="15" t="e">
        <f t="shared" si="1"/>
        <v>#DIV/0!</v>
      </c>
      <c r="AB51" s="15" t="e">
        <f t="shared" si="41"/>
        <v>#DIV/0!</v>
      </c>
      <c r="AC51" s="15" t="e">
        <f t="shared" si="41"/>
        <v>#DIV/0!</v>
      </c>
      <c r="AD51" s="16">
        <f t="shared" si="7"/>
        <v>2.7347756018947277E-3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 t="e">
        <f>V51/J51</f>
        <v>#DIV/0!</v>
      </c>
      <c r="AY51" s="15" t="e">
        <f t="shared" si="58"/>
        <v>#DIV/0!</v>
      </c>
      <c r="AZ51" s="15" t="e">
        <f t="shared" si="10"/>
        <v>#DIV/0!</v>
      </c>
      <c r="BA51" s="15" t="e">
        <f>V51/J51</f>
        <v>#DIV/0!</v>
      </c>
      <c r="BB51" s="15" t="e">
        <f t="shared" si="56"/>
        <v>#DIV/0!</v>
      </c>
      <c r="BC51" s="15" t="e">
        <f t="shared" si="11"/>
        <v>#DIV/0!</v>
      </c>
    </row>
    <row r="52" spans="1:55" ht="15.75" thickBot="1" x14ac:dyDescent="0.25">
      <c r="A52" s="13"/>
      <c r="B52" s="17"/>
      <c r="C52" s="44">
        <v>42</v>
      </c>
      <c r="D52" s="53">
        <v>597.72</v>
      </c>
      <c r="E52" s="53">
        <v>34.785899999999998</v>
      </c>
      <c r="F52" s="53"/>
      <c r="G52" s="53"/>
      <c r="H52" s="53"/>
      <c r="I52" s="53"/>
      <c r="J52" s="53"/>
      <c r="K52" s="19">
        <v>0</v>
      </c>
      <c r="L52" s="19">
        <v>0</v>
      </c>
      <c r="M52" s="19">
        <v>0</v>
      </c>
      <c r="N52" s="20">
        <f t="shared" si="0"/>
        <v>0</v>
      </c>
      <c r="P52" s="55">
        <v>594.54</v>
      </c>
      <c r="Q52" s="55">
        <v>34.777000000000001</v>
      </c>
      <c r="R52" s="55"/>
      <c r="S52" s="55"/>
      <c r="T52" s="55"/>
      <c r="U52" s="55"/>
      <c r="V52" s="55"/>
      <c r="W52" s="19">
        <v>0</v>
      </c>
      <c r="X52" s="19">
        <v>0</v>
      </c>
      <c r="Y52" s="19">
        <v>0</v>
      </c>
      <c r="Z52" s="20">
        <f t="shared" si="6"/>
        <v>0</v>
      </c>
      <c r="AA52" s="15" t="e">
        <f t="shared" si="1"/>
        <v>#DIV/0!</v>
      </c>
      <c r="AB52" s="15" t="e">
        <f t="shared" si="41"/>
        <v>#DIV/0!</v>
      </c>
      <c r="AC52" s="15" t="e">
        <f t="shared" si="41"/>
        <v>#DIV/0!</v>
      </c>
      <c r="AD52" s="20">
        <f t="shared" si="7"/>
        <v>5.3202168239310441E-3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 t="e">
        <f>V52/J52</f>
        <v>#DIV/0!</v>
      </c>
      <c r="AY52" s="15" t="e">
        <f t="shared" si="58"/>
        <v>#DIV/0!</v>
      </c>
      <c r="AZ52" s="15" t="e">
        <f t="shared" si="10"/>
        <v>#DIV/0!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3">
        <v>2980.32</v>
      </c>
      <c r="E53" s="53">
        <v>49.249400000000001</v>
      </c>
      <c r="F53" s="53"/>
      <c r="G53" s="53"/>
      <c r="H53" s="53"/>
      <c r="I53" s="53"/>
      <c r="J53" s="53"/>
      <c r="K53" s="10">
        <v>0</v>
      </c>
      <c r="L53" s="10">
        <v>0</v>
      </c>
      <c r="M53" s="10">
        <v>0</v>
      </c>
      <c r="N53" s="11">
        <f t="shared" si="0"/>
        <v>0</v>
      </c>
      <c r="P53" s="55">
        <v>2980.26</v>
      </c>
      <c r="Q53" s="55">
        <v>49.258600000000001</v>
      </c>
      <c r="R53" s="55"/>
      <c r="S53" s="55"/>
      <c r="T53" s="55"/>
      <c r="U53" s="55"/>
      <c r="V53" s="55"/>
      <c r="W53" s="10">
        <v>0</v>
      </c>
      <c r="X53" s="10">
        <v>0</v>
      </c>
      <c r="Y53" s="10">
        <v>0</v>
      </c>
      <c r="Z53" s="11">
        <f t="shared" si="6"/>
        <v>0</v>
      </c>
      <c r="AA53" s="15" t="e">
        <f t="shared" si="1"/>
        <v>#DIV/0!</v>
      </c>
      <c r="AB53" s="15" t="e">
        <f t="shared" si="41"/>
        <v>#DIV/0!</v>
      </c>
      <c r="AC53" s="15" t="e">
        <f t="shared" si="41"/>
        <v>#DIV/0!</v>
      </c>
      <c r="AD53" s="11">
        <f t="shared" si="7"/>
        <v>2.0132066355272395E-5</v>
      </c>
      <c r="AE53" s="12"/>
      <c r="AF53" s="25">
        <f t="shared" ref="AF53:AK53" si="59">bdRateExtend($D53:$D57,E53:E57,$P53:$P57,Q53:Q57)</f>
        <v>1.9822727769578385E-3</v>
      </c>
      <c r="AG53" s="30" t="e">
        <f t="shared" si="59"/>
        <v>#VALUE!</v>
      </c>
      <c r="AH53" s="31" t="e">
        <f t="shared" si="59"/>
        <v>#VALUE!</v>
      </c>
      <c r="AI53" s="25" t="e">
        <f t="shared" si="59"/>
        <v>#VALUE!</v>
      </c>
      <c r="AJ53" s="30" t="e">
        <f t="shared" si="59"/>
        <v>#VALUE!</v>
      </c>
      <c r="AK53" s="30" t="e">
        <f t="shared" si="59"/>
        <v>#VALUE!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6.6352475426034729E-4</v>
      </c>
      <c r="AS53" s="30" t="e">
        <f t="shared" si="60"/>
        <v>#VALUE!</v>
      </c>
      <c r="AT53" s="31" t="e">
        <f t="shared" si="60"/>
        <v>#VALUE!</v>
      </c>
      <c r="AU53" s="25" t="e">
        <f t="shared" si="60"/>
        <v>#VALUE!</v>
      </c>
      <c r="AV53" s="30" t="e">
        <f t="shared" si="60"/>
        <v>#VALUE!</v>
      </c>
      <c r="AW53" s="31" t="e">
        <f t="shared" si="60"/>
        <v>#VALUE!</v>
      </c>
      <c r="AX53" s="15"/>
      <c r="AY53" s="15"/>
      <c r="AZ53" s="15"/>
      <c r="BA53" s="15" t="e">
        <f>V53/J53</f>
        <v>#DIV/0!</v>
      </c>
      <c r="BB53" s="15" t="e">
        <f t="shared" ref="BB53:BB56" si="61">X53/L53</f>
        <v>#DIV/0!</v>
      </c>
      <c r="BC53" s="15" t="e">
        <f t="shared" si="11"/>
        <v>#DIV/0!</v>
      </c>
    </row>
    <row r="54" spans="1:55" ht="15" x14ac:dyDescent="0.2">
      <c r="A54" s="13"/>
      <c r="B54" s="13"/>
      <c r="C54" s="43">
        <v>27</v>
      </c>
      <c r="D54" s="53">
        <v>1763.34</v>
      </c>
      <c r="E54" s="53">
        <v>46.882399999999997</v>
      </c>
      <c r="F54" s="53"/>
      <c r="G54" s="53"/>
      <c r="H54" s="53"/>
      <c r="I54" s="53"/>
      <c r="J54" s="53"/>
      <c r="K54" s="15">
        <v>0</v>
      </c>
      <c r="L54" s="15">
        <v>0</v>
      </c>
      <c r="M54" s="15">
        <v>0</v>
      </c>
      <c r="N54" s="16">
        <f t="shared" si="0"/>
        <v>0</v>
      </c>
      <c r="P54" s="55">
        <v>1761.48</v>
      </c>
      <c r="Q54" s="55">
        <v>46.875500000000002</v>
      </c>
      <c r="R54" s="55"/>
      <c r="S54" s="55"/>
      <c r="T54" s="55"/>
      <c r="U54" s="55"/>
      <c r="V54" s="55"/>
      <c r="W54" s="15">
        <v>0</v>
      </c>
      <c r="X54" s="15">
        <v>0</v>
      </c>
      <c r="Y54" s="15">
        <v>0</v>
      </c>
      <c r="Z54" s="16">
        <f t="shared" si="6"/>
        <v>0</v>
      </c>
      <c r="AA54" s="15" t="e">
        <f t="shared" si="1"/>
        <v>#DIV/0!</v>
      </c>
      <c r="AB54" s="15" t="e">
        <f t="shared" si="41"/>
        <v>#DIV/0!</v>
      </c>
      <c r="AC54" s="15" t="e">
        <f t="shared" si="41"/>
        <v>#DIV/0!</v>
      </c>
      <c r="AD54" s="16">
        <f t="shared" si="7"/>
        <v>1.0548164279151496E-3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2.6559219067954221E-3</v>
      </c>
      <c r="AM54" s="21" t="e">
        <f>bdrate($D54:$D57,F54:F57,$P54:$P57,R54:R57)</f>
        <v>#VALUE!</v>
      </c>
      <c r="AN54" s="36" t="e">
        <f t="shared" ref="AN54" si="62">bdrate($D54:$D57,G54:G57,$P54:$P57,S54:S57)</f>
        <v>#VALUE!</v>
      </c>
      <c r="AO54" s="26" t="e">
        <f>bdrate($D54:$D57,H54:H57,$P54:$P57,T54:T57)</f>
        <v>#VALUE!</v>
      </c>
      <c r="AP54" s="21" t="e">
        <f>bdrate($D54:$D57,I54:I57,$P54:$P57,U54:U57)</f>
        <v>#VALUE!</v>
      </c>
      <c r="AQ54" s="36" t="e">
        <f>bdrate($D54:$D57,J54:J57,$P54:$P57,V54:V57)</f>
        <v>#VALUE!</v>
      </c>
      <c r="AR54" s="21"/>
      <c r="AS54" s="21"/>
      <c r="AT54" s="36"/>
      <c r="AU54" s="26"/>
      <c r="AV54" s="21"/>
      <c r="AW54" s="36"/>
      <c r="AX54" s="15" t="e">
        <f>V54/J54</f>
        <v>#DIV/0!</v>
      </c>
      <c r="AY54" s="15" t="e">
        <f t="shared" ref="AY54:AY57" si="63">X54/L54</f>
        <v>#DIV/0!</v>
      </c>
      <c r="AZ54" s="15" t="e">
        <f t="shared" si="10"/>
        <v>#DIV/0!</v>
      </c>
      <c r="BA54" s="15" t="e">
        <f>V54/J54</f>
        <v>#DIV/0!</v>
      </c>
      <c r="BB54" s="15" t="e">
        <f t="shared" si="61"/>
        <v>#DIV/0!</v>
      </c>
      <c r="BC54" s="15" t="e">
        <f t="shared" si="11"/>
        <v>#DIV/0!</v>
      </c>
    </row>
    <row r="55" spans="1:55" ht="15" x14ac:dyDescent="0.2">
      <c r="A55" s="13"/>
      <c r="B55" s="13"/>
      <c r="C55" s="43">
        <v>32</v>
      </c>
      <c r="D55" s="53">
        <v>1026.6600000000001</v>
      </c>
      <c r="E55" s="53">
        <v>44.223300000000002</v>
      </c>
      <c r="F55" s="53"/>
      <c r="G55" s="53"/>
      <c r="H55" s="53"/>
      <c r="I55" s="53"/>
      <c r="J55" s="53"/>
      <c r="K55" s="15">
        <v>0</v>
      </c>
      <c r="L55" s="15">
        <v>0</v>
      </c>
      <c r="M55" s="15">
        <v>0</v>
      </c>
      <c r="N55" s="16">
        <f t="shared" si="0"/>
        <v>0</v>
      </c>
      <c r="P55" s="55">
        <v>1027.56</v>
      </c>
      <c r="Q55" s="55">
        <v>44.225900000000003</v>
      </c>
      <c r="R55" s="55"/>
      <c r="S55" s="55"/>
      <c r="T55" s="55"/>
      <c r="U55" s="55"/>
      <c r="V55" s="55"/>
      <c r="W55" s="15">
        <v>0</v>
      </c>
      <c r="X55" s="15">
        <v>0</v>
      </c>
      <c r="Y55" s="15">
        <v>0</v>
      </c>
      <c r="Z55" s="16">
        <f t="shared" si="6"/>
        <v>0</v>
      </c>
      <c r="AA55" s="15" t="e">
        <f t="shared" si="1"/>
        <v>#DIV/0!</v>
      </c>
      <c r="AB55" s="15" t="e">
        <f t="shared" si="41"/>
        <v>#DIV/0!</v>
      </c>
      <c r="AC55" s="15" t="e">
        <f t="shared" si="41"/>
        <v>#DIV/0!</v>
      </c>
      <c r="AD55" s="16">
        <f t="shared" si="7"/>
        <v>8.7662906901979571E-4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 t="e">
        <f>V55/J55</f>
        <v>#DIV/0!</v>
      </c>
      <c r="AY55" s="15" t="e">
        <f t="shared" si="63"/>
        <v>#DIV/0!</v>
      </c>
      <c r="AZ55" s="15" t="e">
        <f t="shared" si="10"/>
        <v>#DIV/0!</v>
      </c>
      <c r="BA55" s="15" t="e">
        <f>V55/J55</f>
        <v>#DIV/0!</v>
      </c>
      <c r="BB55" s="15" t="e">
        <f t="shared" si="61"/>
        <v>#DIV/0!</v>
      </c>
      <c r="BC55" s="15" t="e">
        <f t="shared" si="11"/>
        <v>#DIV/0!</v>
      </c>
    </row>
    <row r="56" spans="1:55" ht="15" x14ac:dyDescent="0.2">
      <c r="A56" s="13"/>
      <c r="B56" s="13"/>
      <c r="C56" s="43">
        <v>37</v>
      </c>
      <c r="D56" s="53">
        <v>598.32000000000005</v>
      </c>
      <c r="E56" s="53">
        <v>41.500900000000001</v>
      </c>
      <c r="F56" s="53"/>
      <c r="G56" s="53"/>
      <c r="H56" s="53"/>
      <c r="I56" s="53"/>
      <c r="J56" s="53"/>
      <c r="K56" s="15">
        <v>0</v>
      </c>
      <c r="L56" s="15">
        <v>0</v>
      </c>
      <c r="M56" s="15">
        <v>0</v>
      </c>
      <c r="N56" s="16">
        <f t="shared" si="0"/>
        <v>0</v>
      </c>
      <c r="P56" s="55">
        <v>604.55999999999995</v>
      </c>
      <c r="Q56" s="55">
        <v>41.529899999999998</v>
      </c>
      <c r="R56" s="55"/>
      <c r="S56" s="55"/>
      <c r="T56" s="55"/>
      <c r="U56" s="55"/>
      <c r="V56" s="55"/>
      <c r="W56" s="15">
        <v>0</v>
      </c>
      <c r="X56" s="15">
        <v>0</v>
      </c>
      <c r="Y56" s="15">
        <v>0</v>
      </c>
      <c r="Z56" s="16">
        <f t="shared" si="6"/>
        <v>0</v>
      </c>
      <c r="AA56" s="15" t="e">
        <f t="shared" si="1"/>
        <v>#DIV/0!</v>
      </c>
      <c r="AB56" s="15" t="e">
        <f t="shared" si="41"/>
        <v>#DIV/0!</v>
      </c>
      <c r="AC56" s="15" t="e">
        <f t="shared" si="41"/>
        <v>#DIV/0!</v>
      </c>
      <c r="AD56" s="16">
        <f t="shared" si="7"/>
        <v>1.0429201764941661E-2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 t="e">
        <f>V56/J56</f>
        <v>#DIV/0!</v>
      </c>
      <c r="AY56" s="15" t="e">
        <f t="shared" si="63"/>
        <v>#DIV/0!</v>
      </c>
      <c r="AZ56" s="15" t="e">
        <f t="shared" si="10"/>
        <v>#DIV/0!</v>
      </c>
      <c r="BA56" s="15" t="e">
        <f>V56/J56</f>
        <v>#DIV/0!</v>
      </c>
      <c r="BB56" s="15" t="e">
        <f t="shared" si="61"/>
        <v>#DIV/0!</v>
      </c>
      <c r="BC56" s="15" t="e">
        <f t="shared" si="11"/>
        <v>#DIV/0!</v>
      </c>
    </row>
    <row r="57" spans="1:55" ht="15.75" thickBot="1" x14ac:dyDescent="0.25">
      <c r="A57" s="17"/>
      <c r="B57" s="17"/>
      <c r="C57" s="44">
        <v>42</v>
      </c>
      <c r="D57" s="53">
        <v>343.44</v>
      </c>
      <c r="E57" s="53">
        <v>38.8127</v>
      </c>
      <c r="F57" s="53"/>
      <c r="G57" s="53"/>
      <c r="H57" s="53"/>
      <c r="I57" s="53"/>
      <c r="J57" s="53"/>
      <c r="K57" s="19">
        <v>0</v>
      </c>
      <c r="L57" s="19">
        <v>0</v>
      </c>
      <c r="M57" s="19">
        <v>0</v>
      </c>
      <c r="N57" s="20">
        <f t="shared" si="0"/>
        <v>0</v>
      </c>
      <c r="P57" s="55">
        <v>345.3</v>
      </c>
      <c r="Q57" s="55">
        <v>38.809899999999999</v>
      </c>
      <c r="R57" s="55"/>
      <c r="S57" s="55"/>
      <c r="T57" s="55"/>
      <c r="U57" s="55"/>
      <c r="V57" s="55"/>
      <c r="W57" s="19">
        <v>0</v>
      </c>
      <c r="X57" s="19">
        <v>0</v>
      </c>
      <c r="Y57" s="19">
        <v>0</v>
      </c>
      <c r="Z57" s="20">
        <f t="shared" si="6"/>
        <v>0</v>
      </c>
      <c r="AA57" s="15" t="e">
        <f t="shared" si="1"/>
        <v>#DIV/0!</v>
      </c>
      <c r="AB57" s="15" t="e">
        <f t="shared" si="41"/>
        <v>#DIV/0!</v>
      </c>
      <c r="AC57" s="15" t="e">
        <f t="shared" si="41"/>
        <v>#DIV/0!</v>
      </c>
      <c r="AD57" s="20">
        <f t="shared" si="7"/>
        <v>5.4157931516422477E-3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 t="e">
        <f>V57/J57</f>
        <v>#DIV/0!</v>
      </c>
      <c r="AY57" s="15" t="e">
        <f t="shared" si="63"/>
        <v>#DIV/0!</v>
      </c>
      <c r="AZ57" s="15" t="e">
        <f t="shared" si="10"/>
        <v>#DIV/0!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3">
        <v>2215.75</v>
      </c>
      <c r="E58" s="53">
        <v>43.569899999999997</v>
      </c>
      <c r="F58" s="53"/>
      <c r="G58" s="53"/>
      <c r="H58" s="53"/>
      <c r="I58" s="53"/>
      <c r="J58" s="53"/>
      <c r="K58" s="10">
        <v>0</v>
      </c>
      <c r="L58" s="10">
        <v>0</v>
      </c>
      <c r="M58" s="10">
        <v>0</v>
      </c>
      <c r="N58" s="11">
        <f t="shared" si="0"/>
        <v>0</v>
      </c>
      <c r="P58" s="55">
        <v>2226.1</v>
      </c>
      <c r="Q58" s="55">
        <v>43.577100000000002</v>
      </c>
      <c r="R58" s="55"/>
      <c r="S58" s="55"/>
      <c r="T58" s="55"/>
      <c r="U58" s="55"/>
      <c r="V58" s="55"/>
      <c r="W58" s="10">
        <v>0</v>
      </c>
      <c r="X58" s="10">
        <v>0</v>
      </c>
      <c r="Y58" s="10">
        <v>0</v>
      </c>
      <c r="Z58" s="11">
        <f t="shared" si="6"/>
        <v>0</v>
      </c>
      <c r="AA58" s="10" t="e">
        <f t="shared" si="1"/>
        <v>#DIV/0!</v>
      </c>
      <c r="AB58" s="10" t="e">
        <f>X58/L58</f>
        <v>#DIV/0!</v>
      </c>
      <c r="AC58" s="10" t="e">
        <f>Y58/M58</f>
        <v>#DIV/0!</v>
      </c>
      <c r="AD58" s="11">
        <f t="shared" si="7"/>
        <v>4.6711045921245219E-3</v>
      </c>
      <c r="AE58" s="40"/>
      <c r="AF58" s="25">
        <f t="shared" ref="AF58:AK58" si="64">bdRateExtend($D58:$D62,E58:E62,$P58:$P62,Q58:Q62)</f>
        <v>2.5634247840176094E-3</v>
      </c>
      <c r="AG58" s="30" t="e">
        <f t="shared" si="64"/>
        <v>#VALUE!</v>
      </c>
      <c r="AH58" s="31" t="e">
        <f t="shared" si="64"/>
        <v>#VALUE!</v>
      </c>
      <c r="AI58" s="25" t="e">
        <f t="shared" si="64"/>
        <v>#VALUE!</v>
      </c>
      <c r="AJ58" s="30" t="e">
        <f t="shared" si="64"/>
        <v>#VALUE!</v>
      </c>
      <c r="AK58" s="30" t="e">
        <f t="shared" si="64"/>
        <v>#VALUE!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1.5670477420381967E-3</v>
      </c>
      <c r="AS58" s="30" t="e">
        <f t="shared" si="65"/>
        <v>#VALUE!</v>
      </c>
      <c r="AT58" s="31" t="e">
        <f t="shared" si="65"/>
        <v>#VALUE!</v>
      </c>
      <c r="AU58" s="25" t="e">
        <f t="shared" si="65"/>
        <v>#VALUE!</v>
      </c>
      <c r="AV58" s="30" t="e">
        <f t="shared" si="65"/>
        <v>#VALUE!</v>
      </c>
      <c r="AW58" s="31" t="e">
        <f t="shared" si="65"/>
        <v>#VALUE!</v>
      </c>
      <c r="AX58" s="10"/>
      <c r="AY58" s="10"/>
      <c r="AZ58" s="10"/>
      <c r="BA58" s="10" t="e">
        <f>V58/J58</f>
        <v>#DIV/0!</v>
      </c>
      <c r="BB58" s="10" t="e">
        <f t="shared" ref="BB58:BB61" si="66">X58/L58</f>
        <v>#DIV/0!</v>
      </c>
      <c r="BC58" s="10" t="e">
        <f t="shared" si="11"/>
        <v>#DIV/0!</v>
      </c>
    </row>
    <row r="59" spans="1:55" ht="15" x14ac:dyDescent="0.2">
      <c r="A59" s="13" t="s">
        <v>21</v>
      </c>
      <c r="B59" s="13"/>
      <c r="C59" s="43">
        <v>27</v>
      </c>
      <c r="D59" s="53">
        <v>1171.8</v>
      </c>
      <c r="E59" s="53">
        <v>40.436999999999998</v>
      </c>
      <c r="F59" s="53"/>
      <c r="G59" s="53"/>
      <c r="H59" s="53"/>
      <c r="I59" s="53"/>
      <c r="J59" s="53"/>
      <c r="K59" s="15">
        <v>0</v>
      </c>
      <c r="L59" s="15">
        <v>0</v>
      </c>
      <c r="M59" s="15">
        <v>0</v>
      </c>
      <c r="N59" s="16">
        <f t="shared" si="0"/>
        <v>0</v>
      </c>
      <c r="P59" s="55">
        <v>1168.95</v>
      </c>
      <c r="Q59" s="55">
        <v>40.422499999999999</v>
      </c>
      <c r="R59" s="55"/>
      <c r="S59" s="55"/>
      <c r="T59" s="55"/>
      <c r="U59" s="55"/>
      <c r="V59" s="55"/>
      <c r="W59" s="15">
        <v>0</v>
      </c>
      <c r="X59" s="15">
        <v>0</v>
      </c>
      <c r="Y59" s="15">
        <v>0</v>
      </c>
      <c r="Z59" s="16">
        <f t="shared" si="6"/>
        <v>0</v>
      </c>
      <c r="AA59" s="15" t="e">
        <f t="shared" si="1"/>
        <v>#DIV/0!</v>
      </c>
      <c r="AB59" s="15" t="e">
        <f t="shared" ref="AB59:AC77" si="67">X59/L59</f>
        <v>#DIV/0!</v>
      </c>
      <c r="AC59" s="15" t="e">
        <f t="shared" si="67"/>
        <v>#DIV/0!</v>
      </c>
      <c r="AD59" s="16">
        <f t="shared" si="7"/>
        <v>2.4321556579620322E-3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2.9568519762688261E-3</v>
      </c>
      <c r="AM59" s="21" t="e">
        <f>bdrate($D59:$D62,F59:F62,$P59:$P62,R59:R62)</f>
        <v>#VALUE!</v>
      </c>
      <c r="AN59" s="36" t="e">
        <f t="shared" ref="AN59" si="68">bdrate($D59:$D62,G59:G62,$P59:$P62,S59:S62)</f>
        <v>#VALUE!</v>
      </c>
      <c r="AO59" s="26" t="e">
        <f>bdrate($D59:$D62,H59:H62,$P59:$P62,T59:T62)</f>
        <v>#VALUE!</v>
      </c>
      <c r="AP59" s="21" t="e">
        <f>bdrate($D59:$D62,I59:I62,$P59:$P62,U59:U62)</f>
        <v>#VALUE!</v>
      </c>
      <c r="AQ59" s="36" t="e">
        <f>bdrate($D59:$D62,J59:J62,$P59:$P62,V59:V62)</f>
        <v>#VALUE!</v>
      </c>
      <c r="AR59" s="21"/>
      <c r="AS59" s="21"/>
      <c r="AT59" s="36"/>
      <c r="AU59" s="26"/>
      <c r="AV59" s="21"/>
      <c r="AW59" s="36"/>
      <c r="AX59" s="15" t="e">
        <f>V59/J59</f>
        <v>#DIV/0!</v>
      </c>
      <c r="AY59" s="15" t="e">
        <f t="shared" ref="AY59:AY62" si="69">X59/L59</f>
        <v>#DIV/0!</v>
      </c>
      <c r="AZ59" s="15" t="e">
        <f t="shared" si="10"/>
        <v>#DIV/0!</v>
      </c>
      <c r="BA59" s="15" t="e">
        <f>V59/J59</f>
        <v>#DIV/0!</v>
      </c>
      <c r="BB59" s="15" t="e">
        <f t="shared" si="66"/>
        <v>#DIV/0!</v>
      </c>
      <c r="BC59" s="15" t="e">
        <f t="shared" si="11"/>
        <v>#DIV/0!</v>
      </c>
    </row>
    <row r="60" spans="1:55" ht="15" x14ac:dyDescent="0.2">
      <c r="A60" s="13"/>
      <c r="B60" s="13"/>
      <c r="C60" s="43">
        <v>32</v>
      </c>
      <c r="D60" s="53">
        <v>621.70000000000005</v>
      </c>
      <c r="E60" s="53">
        <v>37.616700000000002</v>
      </c>
      <c r="F60" s="53"/>
      <c r="G60" s="53"/>
      <c r="H60" s="53"/>
      <c r="I60" s="53"/>
      <c r="J60" s="53"/>
      <c r="K60" s="15">
        <v>0</v>
      </c>
      <c r="L60" s="15">
        <v>0</v>
      </c>
      <c r="M60" s="15">
        <v>0</v>
      </c>
      <c r="N60" s="16">
        <f t="shared" si="0"/>
        <v>0</v>
      </c>
      <c r="P60" s="55">
        <v>624.15</v>
      </c>
      <c r="Q60" s="55">
        <v>37.627299999999998</v>
      </c>
      <c r="R60" s="55"/>
      <c r="S60" s="55"/>
      <c r="T60" s="55"/>
      <c r="U60" s="55"/>
      <c r="V60" s="55"/>
      <c r="W60" s="15">
        <v>0</v>
      </c>
      <c r="X60" s="15">
        <v>0</v>
      </c>
      <c r="Y60" s="15">
        <v>0</v>
      </c>
      <c r="Z60" s="16">
        <f t="shared" si="6"/>
        <v>0</v>
      </c>
      <c r="AA60" s="15" t="e">
        <f t="shared" si="1"/>
        <v>#DIV/0!</v>
      </c>
      <c r="AB60" s="15" t="e">
        <f t="shared" si="67"/>
        <v>#DIV/0!</v>
      </c>
      <c r="AC60" s="15" t="e">
        <f t="shared" si="67"/>
        <v>#DIV/0!</v>
      </c>
      <c r="AD60" s="16">
        <f t="shared" si="7"/>
        <v>3.9408074634066778E-3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 t="e">
        <f>V60/J60</f>
        <v>#DIV/0!</v>
      </c>
      <c r="AY60" s="15" t="e">
        <f t="shared" si="69"/>
        <v>#DIV/0!</v>
      </c>
      <c r="AZ60" s="15" t="e">
        <f t="shared" si="10"/>
        <v>#DIV/0!</v>
      </c>
      <c r="BA60" s="15" t="e">
        <f>V60/J60</f>
        <v>#DIV/0!</v>
      </c>
      <c r="BB60" s="15" t="e">
        <f t="shared" si="66"/>
        <v>#DIV/0!</v>
      </c>
      <c r="BC60" s="15" t="e">
        <f t="shared" si="11"/>
        <v>#DIV/0!</v>
      </c>
    </row>
    <row r="61" spans="1:55" ht="15" x14ac:dyDescent="0.2">
      <c r="A61" s="13"/>
      <c r="B61" s="13"/>
      <c r="C61" s="43">
        <v>37</v>
      </c>
      <c r="D61" s="53">
        <v>340.6</v>
      </c>
      <c r="E61" s="53">
        <v>35.140900000000002</v>
      </c>
      <c r="F61" s="53"/>
      <c r="G61" s="53"/>
      <c r="H61" s="53"/>
      <c r="I61" s="53"/>
      <c r="J61" s="53"/>
      <c r="K61" s="15">
        <v>0</v>
      </c>
      <c r="L61" s="15">
        <v>0</v>
      </c>
      <c r="M61" s="15">
        <v>0</v>
      </c>
      <c r="N61" s="16">
        <f t="shared" si="0"/>
        <v>0</v>
      </c>
      <c r="P61" s="55">
        <v>340.1</v>
      </c>
      <c r="Q61" s="55">
        <v>35.122799999999998</v>
      </c>
      <c r="R61" s="55"/>
      <c r="S61" s="55"/>
      <c r="T61" s="55"/>
      <c r="U61" s="55"/>
      <c r="V61" s="55"/>
      <c r="W61" s="15">
        <v>0</v>
      </c>
      <c r="X61" s="15">
        <v>0</v>
      </c>
      <c r="Y61" s="15">
        <v>0</v>
      </c>
      <c r="Z61" s="16">
        <f t="shared" si="6"/>
        <v>0</v>
      </c>
      <c r="AA61" s="15" t="e">
        <f t="shared" si="1"/>
        <v>#DIV/0!</v>
      </c>
      <c r="AB61" s="15" t="e">
        <f t="shared" si="67"/>
        <v>#DIV/0!</v>
      </c>
      <c r="AC61" s="15" t="e">
        <f t="shared" si="67"/>
        <v>#DIV/0!</v>
      </c>
      <c r="AD61" s="16">
        <f t="shared" si="7"/>
        <v>1.467997651203758E-3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 t="e">
        <f>V61/J61</f>
        <v>#DIV/0!</v>
      </c>
      <c r="AY61" s="15" t="e">
        <f t="shared" si="69"/>
        <v>#DIV/0!</v>
      </c>
      <c r="AZ61" s="15" t="e">
        <f t="shared" si="10"/>
        <v>#DIV/0!</v>
      </c>
      <c r="BA61" s="15" t="e">
        <f>V61/J61</f>
        <v>#DIV/0!</v>
      </c>
      <c r="BB61" s="15" t="e">
        <f t="shared" si="66"/>
        <v>#DIV/0!</v>
      </c>
      <c r="BC61" s="15" t="e">
        <f t="shared" si="11"/>
        <v>#DIV/0!</v>
      </c>
    </row>
    <row r="62" spans="1:55" ht="15.75" thickBot="1" x14ac:dyDescent="0.25">
      <c r="A62" s="13"/>
      <c r="B62" s="17"/>
      <c r="C62" s="44">
        <v>42</v>
      </c>
      <c r="D62" s="53">
        <v>192.3</v>
      </c>
      <c r="E62" s="53">
        <v>32.677599999999998</v>
      </c>
      <c r="F62" s="53"/>
      <c r="G62" s="53"/>
      <c r="H62" s="53"/>
      <c r="I62" s="53"/>
      <c r="J62" s="53"/>
      <c r="K62" s="19">
        <v>0</v>
      </c>
      <c r="L62" s="19">
        <v>0</v>
      </c>
      <c r="M62" s="19">
        <v>0</v>
      </c>
      <c r="N62" s="20">
        <f t="shared" si="0"/>
        <v>0</v>
      </c>
      <c r="P62" s="55">
        <v>191.6</v>
      </c>
      <c r="Q62" s="55">
        <v>32.611800000000002</v>
      </c>
      <c r="R62" s="55"/>
      <c r="S62" s="55"/>
      <c r="T62" s="55"/>
      <c r="U62" s="55"/>
      <c r="V62" s="55"/>
      <c r="W62" s="19">
        <v>0</v>
      </c>
      <c r="X62" s="19">
        <v>0</v>
      </c>
      <c r="Y62" s="19">
        <v>0</v>
      </c>
      <c r="Z62" s="20">
        <f t="shared" si="6"/>
        <v>0</v>
      </c>
      <c r="AA62" s="15" t="e">
        <f t="shared" si="1"/>
        <v>#DIV/0!</v>
      </c>
      <c r="AB62" s="15" t="e">
        <f t="shared" si="67"/>
        <v>#DIV/0!</v>
      </c>
      <c r="AC62" s="15" t="e">
        <f t="shared" si="67"/>
        <v>#DIV/0!</v>
      </c>
      <c r="AD62" s="20">
        <f t="shared" si="7"/>
        <v>3.6401456058243213E-3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 t="e">
        <f>V62/J62</f>
        <v>#DIV/0!</v>
      </c>
      <c r="AY62" s="15" t="e">
        <f t="shared" si="69"/>
        <v>#DIV/0!</v>
      </c>
      <c r="AZ62" s="15" t="e">
        <f t="shared" si="10"/>
        <v>#DIV/0!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3">
        <v>3334.08</v>
      </c>
      <c r="E63" s="53">
        <v>43.060299999999998</v>
      </c>
      <c r="F63" s="53"/>
      <c r="G63" s="53"/>
      <c r="H63" s="53"/>
      <c r="I63" s="53"/>
      <c r="J63" s="53"/>
      <c r="K63" s="10">
        <v>0</v>
      </c>
      <c r="L63" s="10">
        <v>0</v>
      </c>
      <c r="M63" s="10">
        <v>0</v>
      </c>
      <c r="N63" s="11">
        <f t="shared" si="0"/>
        <v>0</v>
      </c>
      <c r="P63" s="55">
        <v>3333.72</v>
      </c>
      <c r="Q63" s="55">
        <v>43.062800000000003</v>
      </c>
      <c r="R63" s="55"/>
      <c r="S63" s="55"/>
      <c r="T63" s="55"/>
      <c r="U63" s="55"/>
      <c r="V63" s="55"/>
      <c r="W63" s="10">
        <v>0</v>
      </c>
      <c r="X63" s="10">
        <v>0</v>
      </c>
      <c r="Y63" s="10">
        <v>0</v>
      </c>
      <c r="Z63" s="11">
        <f t="shared" si="6"/>
        <v>0</v>
      </c>
      <c r="AA63" s="15" t="e">
        <f t="shared" si="1"/>
        <v>#DIV/0!</v>
      </c>
      <c r="AB63" s="15" t="e">
        <f t="shared" si="67"/>
        <v>#DIV/0!</v>
      </c>
      <c r="AC63" s="15" t="e">
        <f t="shared" si="67"/>
        <v>#DIV/0!</v>
      </c>
      <c r="AD63" s="11">
        <f t="shared" si="7"/>
        <v>1.0797581341783261E-4</v>
      </c>
      <c r="AE63" s="12"/>
      <c r="AF63" s="25">
        <f t="shared" ref="AF63:AK63" si="70">bdRateExtend($D63:$D67,E63:E67,$P63:$P67,Q63:Q67)</f>
        <v>-1.8977243429970647E-3</v>
      </c>
      <c r="AG63" s="30" t="e">
        <f t="shared" si="70"/>
        <v>#VALUE!</v>
      </c>
      <c r="AH63" s="31" t="e">
        <f t="shared" si="70"/>
        <v>#VALUE!</v>
      </c>
      <c r="AI63" s="25" t="e">
        <f t="shared" si="70"/>
        <v>#VALUE!</v>
      </c>
      <c r="AJ63" s="30" t="e">
        <f t="shared" si="70"/>
        <v>#VALUE!</v>
      </c>
      <c r="AK63" s="30" t="e">
        <f t="shared" si="70"/>
        <v>#VALUE!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-1.2378601558560298E-3</v>
      </c>
      <c r="AS63" s="30" t="e">
        <f t="shared" si="71"/>
        <v>#VALUE!</v>
      </c>
      <c r="AT63" s="31" t="e">
        <f t="shared" si="71"/>
        <v>#VALUE!</v>
      </c>
      <c r="AU63" s="25" t="e">
        <f t="shared" si="71"/>
        <v>#VALUE!</v>
      </c>
      <c r="AV63" s="30" t="e">
        <f t="shared" si="71"/>
        <v>#VALUE!</v>
      </c>
      <c r="AW63" s="31" t="e">
        <f t="shared" si="71"/>
        <v>#VALUE!</v>
      </c>
      <c r="AX63" s="15"/>
      <c r="AY63" s="15"/>
      <c r="AZ63" s="15"/>
      <c r="BA63" s="15" t="e">
        <f>V63/J63</f>
        <v>#DIV/0!</v>
      </c>
      <c r="BB63" s="15" t="e">
        <f t="shared" ref="BB63:BB66" si="72">X63/L63</f>
        <v>#DIV/0!</v>
      </c>
      <c r="BC63" s="15" t="e">
        <f t="shared" si="11"/>
        <v>#DIV/0!</v>
      </c>
    </row>
    <row r="64" spans="1:55" ht="11.25" customHeight="1" x14ac:dyDescent="0.2">
      <c r="A64" s="13"/>
      <c r="B64" s="13"/>
      <c r="C64" s="43">
        <v>27</v>
      </c>
      <c r="D64" s="53">
        <v>2040.36</v>
      </c>
      <c r="E64" s="53">
        <v>40.133899999999997</v>
      </c>
      <c r="F64" s="53"/>
      <c r="G64" s="53"/>
      <c r="H64" s="53"/>
      <c r="I64" s="53"/>
      <c r="J64" s="53"/>
      <c r="K64" s="15">
        <v>0</v>
      </c>
      <c r="L64" s="15">
        <v>0</v>
      </c>
      <c r="M64" s="15">
        <v>0</v>
      </c>
      <c r="N64" s="16">
        <f t="shared" si="0"/>
        <v>0</v>
      </c>
      <c r="P64" s="55">
        <v>2031.12</v>
      </c>
      <c r="Q64" s="55">
        <v>40.117600000000003</v>
      </c>
      <c r="R64" s="55"/>
      <c r="S64" s="55"/>
      <c r="T64" s="55"/>
      <c r="U64" s="55"/>
      <c r="V64" s="55"/>
      <c r="W64" s="15">
        <v>0</v>
      </c>
      <c r="X64" s="15">
        <v>0</v>
      </c>
      <c r="Y64" s="15">
        <v>0</v>
      </c>
      <c r="Z64" s="16">
        <f t="shared" si="6"/>
        <v>0</v>
      </c>
      <c r="AA64" s="15" t="e">
        <f t="shared" si="1"/>
        <v>#DIV/0!</v>
      </c>
      <c r="AB64" s="15" t="e">
        <f t="shared" si="67"/>
        <v>#DIV/0!</v>
      </c>
      <c r="AC64" s="15" t="e">
        <f t="shared" si="67"/>
        <v>#DIV/0!</v>
      </c>
      <c r="AD64" s="16">
        <f t="shared" si="7"/>
        <v>4.5286125977768675E-3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-1.9784000964977455E-3</v>
      </c>
      <c r="AM64" s="21" t="e">
        <f>bdrate($D64:$D67,F64:F67,$P64:$P67,R64:R67)</f>
        <v>#VALUE!</v>
      </c>
      <c r="AN64" s="36" t="e">
        <f t="shared" ref="AN64" si="73">bdrate($D64:$D67,G64:G67,$P64:$P67,S64:S67)</f>
        <v>#VALUE!</v>
      </c>
      <c r="AO64" s="26" t="e">
        <f>bdrate($D64:$D67,H64:H67,$P64:$P67,T64:T67)</f>
        <v>#VALUE!</v>
      </c>
      <c r="AP64" s="21" t="e">
        <f>bdrate($D64:$D67,I64:I67,$P64:$P67,U64:U67)</f>
        <v>#VALUE!</v>
      </c>
      <c r="AQ64" s="36" t="e">
        <f>bdrate($D64:$D67,J64:J67,$P64:$P67,V64:V67)</f>
        <v>#VALUE!</v>
      </c>
      <c r="AR64" s="21"/>
      <c r="AS64" s="21"/>
      <c r="AT64" s="36"/>
      <c r="AU64" s="26"/>
      <c r="AV64" s="21"/>
      <c r="AW64" s="36"/>
      <c r="AX64" s="15" t="e">
        <f>V64/J64</f>
        <v>#DIV/0!</v>
      </c>
      <c r="AY64" s="15" t="e">
        <f t="shared" ref="AY64:AY67" si="74">X64/L64</f>
        <v>#DIV/0!</v>
      </c>
      <c r="AZ64" s="15" t="e">
        <f t="shared" si="10"/>
        <v>#DIV/0!</v>
      </c>
      <c r="BA64" s="15" t="e">
        <f>V64/J64</f>
        <v>#DIV/0!</v>
      </c>
      <c r="BB64" s="15" t="e">
        <f t="shared" si="72"/>
        <v>#DIV/0!</v>
      </c>
      <c r="BC64" s="15" t="e">
        <f t="shared" si="11"/>
        <v>#DIV/0!</v>
      </c>
    </row>
    <row r="65" spans="1:55" ht="15" x14ac:dyDescent="0.2">
      <c r="A65" s="13"/>
      <c r="B65" s="13"/>
      <c r="C65" s="43">
        <v>32</v>
      </c>
      <c r="D65" s="53">
        <v>1226.0999999999999</v>
      </c>
      <c r="E65" s="53">
        <v>37.118400000000001</v>
      </c>
      <c r="F65" s="53"/>
      <c r="G65" s="53"/>
      <c r="H65" s="53"/>
      <c r="I65" s="53"/>
      <c r="J65" s="53"/>
      <c r="K65" s="15">
        <v>0</v>
      </c>
      <c r="L65" s="15">
        <v>0</v>
      </c>
      <c r="M65" s="15">
        <v>0</v>
      </c>
      <c r="N65" s="16">
        <f t="shared" si="0"/>
        <v>0</v>
      </c>
      <c r="P65" s="55">
        <v>1226.94</v>
      </c>
      <c r="Q65" s="55">
        <v>37.123899999999999</v>
      </c>
      <c r="R65" s="55"/>
      <c r="S65" s="55"/>
      <c r="T65" s="55"/>
      <c r="U65" s="55"/>
      <c r="V65" s="55"/>
      <c r="W65" s="15">
        <v>0</v>
      </c>
      <c r="X65" s="15">
        <v>0</v>
      </c>
      <c r="Y65" s="15">
        <v>0</v>
      </c>
      <c r="Z65" s="16">
        <f t="shared" si="6"/>
        <v>0</v>
      </c>
      <c r="AA65" s="15" t="e">
        <f t="shared" si="1"/>
        <v>#DIV/0!</v>
      </c>
      <c r="AB65" s="15" t="e">
        <f t="shared" si="67"/>
        <v>#DIV/0!</v>
      </c>
      <c r="AC65" s="15" t="e">
        <f t="shared" si="67"/>
        <v>#DIV/0!</v>
      </c>
      <c r="AD65" s="16">
        <f t="shared" si="7"/>
        <v>6.8509909469060073E-4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 t="e">
        <f>V65/J65</f>
        <v>#DIV/0!</v>
      </c>
      <c r="AY65" s="15" t="e">
        <f t="shared" si="74"/>
        <v>#DIV/0!</v>
      </c>
      <c r="AZ65" s="15" t="e">
        <f t="shared" si="10"/>
        <v>#DIV/0!</v>
      </c>
      <c r="BA65" s="15" t="e">
        <f>V65/J65</f>
        <v>#DIV/0!</v>
      </c>
      <c r="BB65" s="15" t="e">
        <f t="shared" si="72"/>
        <v>#DIV/0!</v>
      </c>
      <c r="BC65" s="15" t="e">
        <f t="shared" si="11"/>
        <v>#DIV/0!</v>
      </c>
    </row>
    <row r="66" spans="1:55" ht="15" x14ac:dyDescent="0.2">
      <c r="A66" s="13"/>
      <c r="B66" s="13"/>
      <c r="C66" s="43">
        <v>37</v>
      </c>
      <c r="D66" s="53">
        <v>688.32</v>
      </c>
      <c r="E66" s="53">
        <v>34.033700000000003</v>
      </c>
      <c r="F66" s="53"/>
      <c r="G66" s="53"/>
      <c r="H66" s="53"/>
      <c r="I66" s="53"/>
      <c r="J66" s="53"/>
      <c r="K66" s="15">
        <v>0</v>
      </c>
      <c r="L66" s="15">
        <v>0</v>
      </c>
      <c r="M66" s="15">
        <v>0</v>
      </c>
      <c r="N66" s="16">
        <f t="shared" si="0"/>
        <v>0</v>
      </c>
      <c r="P66" s="55">
        <v>694.62</v>
      </c>
      <c r="Q66" s="55">
        <v>34.0959</v>
      </c>
      <c r="R66" s="55"/>
      <c r="S66" s="55"/>
      <c r="T66" s="55"/>
      <c r="U66" s="55"/>
      <c r="V66" s="55"/>
      <c r="W66" s="15">
        <v>0</v>
      </c>
      <c r="X66" s="15">
        <v>0</v>
      </c>
      <c r="Y66" s="15">
        <v>0</v>
      </c>
      <c r="Z66" s="16">
        <f t="shared" si="6"/>
        <v>0</v>
      </c>
      <c r="AA66" s="15" t="e">
        <f t="shared" si="1"/>
        <v>#DIV/0!</v>
      </c>
      <c r="AB66" s="15" t="e">
        <f t="shared" si="67"/>
        <v>#DIV/0!</v>
      </c>
      <c r="AC66" s="15" t="e">
        <f t="shared" si="67"/>
        <v>#DIV/0!</v>
      </c>
      <c r="AD66" s="16">
        <f t="shared" si="7"/>
        <v>9.1527196652719002E-3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 t="e">
        <f>V66/J66</f>
        <v>#DIV/0!</v>
      </c>
      <c r="AY66" s="15" t="e">
        <f t="shared" si="74"/>
        <v>#DIV/0!</v>
      </c>
      <c r="AZ66" s="15" t="e">
        <f t="shared" si="10"/>
        <v>#DIV/0!</v>
      </c>
      <c r="BA66" s="15" t="e">
        <f>V66/J66</f>
        <v>#DIV/0!</v>
      </c>
      <c r="BB66" s="15" t="e">
        <f t="shared" si="72"/>
        <v>#DIV/0!</v>
      </c>
      <c r="BC66" s="15" t="e">
        <f t="shared" si="11"/>
        <v>#DIV/0!</v>
      </c>
    </row>
    <row r="67" spans="1:55" ht="15.75" thickBot="1" x14ac:dyDescent="0.25">
      <c r="A67" s="13"/>
      <c r="B67" s="17"/>
      <c r="C67" s="44">
        <v>42</v>
      </c>
      <c r="D67" s="53">
        <v>369.66</v>
      </c>
      <c r="E67" s="53">
        <v>31.117000000000001</v>
      </c>
      <c r="F67" s="53"/>
      <c r="G67" s="53"/>
      <c r="H67" s="53"/>
      <c r="I67" s="53"/>
      <c r="J67" s="53"/>
      <c r="K67" s="19">
        <v>0</v>
      </c>
      <c r="L67" s="19">
        <v>0</v>
      </c>
      <c r="M67" s="19">
        <v>0</v>
      </c>
      <c r="N67" s="20">
        <f t="shared" ref="N67:N130" si="75">K67/3600</f>
        <v>0</v>
      </c>
      <c r="P67" s="55">
        <v>366.9</v>
      </c>
      <c r="Q67" s="55">
        <v>31.097899999999999</v>
      </c>
      <c r="R67" s="55"/>
      <c r="S67" s="55"/>
      <c r="T67" s="55"/>
      <c r="U67" s="55"/>
      <c r="V67" s="55"/>
      <c r="W67" s="19">
        <v>0</v>
      </c>
      <c r="X67" s="19">
        <v>0</v>
      </c>
      <c r="Y67" s="19">
        <v>0</v>
      </c>
      <c r="Z67" s="20">
        <f t="shared" si="6"/>
        <v>0</v>
      </c>
      <c r="AA67" s="15" t="e">
        <f t="shared" ref="AA67:AA130" si="76">V67/J67</f>
        <v>#DIV/0!</v>
      </c>
      <c r="AB67" s="15" t="e">
        <f t="shared" si="67"/>
        <v>#DIV/0!</v>
      </c>
      <c r="AC67" s="15" t="e">
        <f t="shared" si="67"/>
        <v>#DIV/0!</v>
      </c>
      <c r="AD67" s="20">
        <f t="shared" si="7"/>
        <v>7.4663204025321849E-3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 t="e">
        <f>V67/J67</f>
        <v>#DIV/0!</v>
      </c>
      <c r="AY67" s="15" t="e">
        <f t="shared" si="74"/>
        <v>#DIV/0!</v>
      </c>
      <c r="AZ67" s="15" t="e">
        <f t="shared" si="10"/>
        <v>#DIV/0!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3">
        <v>6051.55</v>
      </c>
      <c r="E68" s="53">
        <v>42.224499999999999</v>
      </c>
      <c r="F68" s="53"/>
      <c r="G68" s="53"/>
      <c r="H68" s="53"/>
      <c r="I68" s="53"/>
      <c r="J68" s="53"/>
      <c r="K68" s="10">
        <v>0</v>
      </c>
      <c r="L68" s="10">
        <v>0</v>
      </c>
      <c r="M68" s="10">
        <v>0</v>
      </c>
      <c r="N68" s="11">
        <f t="shared" si="75"/>
        <v>0</v>
      </c>
      <c r="P68" s="55">
        <v>6049.5</v>
      </c>
      <c r="Q68" s="55">
        <v>42.225099999999998</v>
      </c>
      <c r="R68" s="55"/>
      <c r="S68" s="55"/>
      <c r="T68" s="55"/>
      <c r="U68" s="55"/>
      <c r="V68" s="55"/>
      <c r="W68" s="10">
        <v>0</v>
      </c>
      <c r="X68" s="10">
        <v>0</v>
      </c>
      <c r="Y68" s="10">
        <v>0</v>
      </c>
      <c r="Z68" s="11">
        <f t="shared" ref="Z68:Z131" si="77">W68/3600</f>
        <v>0</v>
      </c>
      <c r="AA68" s="15" t="e">
        <f t="shared" si="76"/>
        <v>#DIV/0!</v>
      </c>
      <c r="AB68" s="15" t="e">
        <f t="shared" si="67"/>
        <v>#DIV/0!</v>
      </c>
      <c r="AC68" s="15" t="e">
        <f t="shared" si="67"/>
        <v>#DIV/0!</v>
      </c>
      <c r="AD68" s="11">
        <f t="shared" ref="AD68:AD131" si="78">ABS(P68-D68)/D68</f>
        <v>3.387561864316054E-4</v>
      </c>
      <c r="AE68" s="12"/>
      <c r="AF68" s="25">
        <f t="shared" ref="AF68:AK68" si="79">bdRateExtend($D68:$D72,E68:E72,$P68:$P72,Q68:Q72)</f>
        <v>-5.6861655025264302E-4</v>
      </c>
      <c r="AG68" s="30" t="e">
        <f t="shared" si="79"/>
        <v>#VALUE!</v>
      </c>
      <c r="AH68" s="31" t="e">
        <f t="shared" si="79"/>
        <v>#VALUE!</v>
      </c>
      <c r="AI68" s="25" t="e">
        <f t="shared" si="79"/>
        <v>#VALUE!</v>
      </c>
      <c r="AJ68" s="30" t="e">
        <f t="shared" si="79"/>
        <v>#VALUE!</v>
      </c>
      <c r="AK68" s="30" t="e">
        <f t="shared" si="79"/>
        <v>#VALUE!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-4.2747613025739817E-4</v>
      </c>
      <c r="AS68" s="30" t="e">
        <f t="shared" si="80"/>
        <v>#VALUE!</v>
      </c>
      <c r="AT68" s="31" t="e">
        <f t="shared" si="80"/>
        <v>#VALUE!</v>
      </c>
      <c r="AU68" s="25" t="e">
        <f t="shared" si="80"/>
        <v>#VALUE!</v>
      </c>
      <c r="AV68" s="30" t="e">
        <f t="shared" si="80"/>
        <v>#VALUE!</v>
      </c>
      <c r="AW68" s="31" t="e">
        <f t="shared" si="80"/>
        <v>#VALUE!</v>
      </c>
      <c r="AX68" s="15"/>
      <c r="AY68" s="15"/>
      <c r="AZ68" s="15"/>
      <c r="BA68" s="15" t="e">
        <f>V68/J68</f>
        <v>#DIV/0!</v>
      </c>
      <c r="BB68" s="15" t="e">
        <f t="shared" ref="BB68:BB71" si="81">X68/L68</f>
        <v>#DIV/0!</v>
      </c>
      <c r="BC68" s="15" t="e">
        <f t="shared" ref="BC68:BC96" si="82">Z68/N68</f>
        <v>#DIV/0!</v>
      </c>
    </row>
    <row r="69" spans="1:55" ht="15" x14ac:dyDescent="0.2">
      <c r="A69" s="13"/>
      <c r="B69" s="13"/>
      <c r="C69" s="43">
        <v>27</v>
      </c>
      <c r="D69" s="53">
        <v>3809.1</v>
      </c>
      <c r="E69" s="53">
        <v>37.984299999999998</v>
      </c>
      <c r="F69" s="53"/>
      <c r="G69" s="53"/>
      <c r="H69" s="53"/>
      <c r="I69" s="53"/>
      <c r="J69" s="53"/>
      <c r="K69" s="15">
        <v>0</v>
      </c>
      <c r="L69" s="15">
        <v>0</v>
      </c>
      <c r="M69" s="15">
        <v>0</v>
      </c>
      <c r="N69" s="16">
        <f t="shared" si="75"/>
        <v>0</v>
      </c>
      <c r="P69" s="55">
        <v>3806.95</v>
      </c>
      <c r="Q69" s="55">
        <v>37.983400000000003</v>
      </c>
      <c r="R69" s="55"/>
      <c r="S69" s="55"/>
      <c r="T69" s="55"/>
      <c r="U69" s="55"/>
      <c r="V69" s="55"/>
      <c r="W69" s="15">
        <v>0</v>
      </c>
      <c r="X69" s="15">
        <v>0</v>
      </c>
      <c r="Y69" s="15">
        <v>0</v>
      </c>
      <c r="Z69" s="16">
        <f t="shared" si="77"/>
        <v>0</v>
      </c>
      <c r="AA69" s="15" t="e">
        <f t="shared" si="76"/>
        <v>#DIV/0!</v>
      </c>
      <c r="AB69" s="15" t="e">
        <f t="shared" si="67"/>
        <v>#DIV/0!</v>
      </c>
      <c r="AC69" s="15" t="e">
        <f t="shared" si="67"/>
        <v>#DIV/0!</v>
      </c>
      <c r="AD69" s="16">
        <f t="shared" si="78"/>
        <v>5.6443779370457352E-4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-6.1431869117467564E-4</v>
      </c>
      <c r="AM69" s="21" t="e">
        <f>bdrate($D69:$D72,F69:F72,$P69:$P72,R69:R72)</f>
        <v>#VALUE!</v>
      </c>
      <c r="AN69" s="36" t="e">
        <f t="shared" ref="AN69" si="83">bdrate($D69:$D72,G69:G72,$P69:$P72,S69:S72)</f>
        <v>#VALUE!</v>
      </c>
      <c r="AO69" s="26" t="e">
        <f>bdrate($D69:$D72,H69:H72,$P69:$P72,T69:T72)</f>
        <v>#VALUE!</v>
      </c>
      <c r="AP69" s="21" t="e">
        <f>bdrate($D69:$D72,I69:I72,$P69:$P72,U69:U72)</f>
        <v>#VALUE!</v>
      </c>
      <c r="AQ69" s="36" t="e">
        <f>bdrate($D69:$D72,J69:J72,$P69:$P72,V69:V72)</f>
        <v>#VALUE!</v>
      </c>
      <c r="AR69" s="21"/>
      <c r="AS69" s="21"/>
      <c r="AT69" s="36"/>
      <c r="AU69" s="26"/>
      <c r="AV69" s="21"/>
      <c r="AW69" s="36"/>
      <c r="AX69" s="15" t="e">
        <f>V69/J69</f>
        <v>#DIV/0!</v>
      </c>
      <c r="AY69" s="15" t="e">
        <f t="shared" ref="AY69:AY72" si="84">X69/L69</f>
        <v>#DIV/0!</v>
      </c>
      <c r="AZ69" s="15" t="e">
        <f t="shared" ref="AZ69:AZ97" si="85">Z69/N69</f>
        <v>#DIV/0!</v>
      </c>
      <c r="BA69" s="15" t="e">
        <f>V69/J69</f>
        <v>#DIV/0!</v>
      </c>
      <c r="BB69" s="15" t="e">
        <f t="shared" si="81"/>
        <v>#DIV/0!</v>
      </c>
      <c r="BC69" s="15" t="e">
        <f t="shared" si="82"/>
        <v>#DIV/0!</v>
      </c>
    </row>
    <row r="70" spans="1:55" ht="15" x14ac:dyDescent="0.2">
      <c r="A70" s="13"/>
      <c r="B70" s="13"/>
      <c r="C70" s="43">
        <v>32</v>
      </c>
      <c r="D70" s="53">
        <v>2298.5</v>
      </c>
      <c r="E70" s="53">
        <v>34.351399999999998</v>
      </c>
      <c r="F70" s="53"/>
      <c r="G70" s="53"/>
      <c r="H70" s="53"/>
      <c r="I70" s="53"/>
      <c r="J70" s="53"/>
      <c r="K70" s="15">
        <v>0</v>
      </c>
      <c r="L70" s="15">
        <v>0</v>
      </c>
      <c r="M70" s="15">
        <v>0</v>
      </c>
      <c r="N70" s="16">
        <f t="shared" si="75"/>
        <v>0</v>
      </c>
      <c r="P70" s="55">
        <v>2302.0500000000002</v>
      </c>
      <c r="Q70" s="55">
        <v>34.363500000000002</v>
      </c>
      <c r="R70" s="55"/>
      <c r="S70" s="55"/>
      <c r="T70" s="55"/>
      <c r="U70" s="55"/>
      <c r="V70" s="55"/>
      <c r="W70" s="15">
        <v>0</v>
      </c>
      <c r="X70" s="15">
        <v>0</v>
      </c>
      <c r="Y70" s="15">
        <v>0</v>
      </c>
      <c r="Z70" s="16">
        <f t="shared" si="77"/>
        <v>0</v>
      </c>
      <c r="AA70" s="15" t="e">
        <f t="shared" si="76"/>
        <v>#DIV/0!</v>
      </c>
      <c r="AB70" s="15" t="e">
        <f t="shared" si="67"/>
        <v>#DIV/0!</v>
      </c>
      <c r="AC70" s="15" t="e">
        <f t="shared" si="67"/>
        <v>#DIV/0!</v>
      </c>
      <c r="AD70" s="16">
        <f t="shared" si="78"/>
        <v>1.5444855340440208E-3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 t="e">
        <f>V70/J70</f>
        <v>#DIV/0!</v>
      </c>
      <c r="AY70" s="15" t="e">
        <f t="shared" si="84"/>
        <v>#DIV/0!</v>
      </c>
      <c r="AZ70" s="15" t="e">
        <f t="shared" si="85"/>
        <v>#DIV/0!</v>
      </c>
      <c r="BA70" s="15" t="e">
        <f>V70/J70</f>
        <v>#DIV/0!</v>
      </c>
      <c r="BB70" s="15" t="e">
        <f t="shared" si="81"/>
        <v>#DIV/0!</v>
      </c>
      <c r="BC70" s="15" t="e">
        <f t="shared" si="82"/>
        <v>#DIV/0!</v>
      </c>
    </row>
    <row r="71" spans="1:55" ht="15" x14ac:dyDescent="0.2">
      <c r="A71" s="13"/>
      <c r="B71" s="13"/>
      <c r="C71" s="43">
        <v>37</v>
      </c>
      <c r="D71" s="53">
        <v>1263.8499999999999</v>
      </c>
      <c r="E71" s="53">
        <v>30.9145</v>
      </c>
      <c r="F71" s="53"/>
      <c r="G71" s="53"/>
      <c r="H71" s="53"/>
      <c r="I71" s="53"/>
      <c r="J71" s="53"/>
      <c r="K71" s="15">
        <v>0</v>
      </c>
      <c r="L71" s="15">
        <v>0</v>
      </c>
      <c r="M71" s="15">
        <v>0</v>
      </c>
      <c r="N71" s="16">
        <f t="shared" si="75"/>
        <v>0</v>
      </c>
      <c r="P71" s="55">
        <v>1268.2</v>
      </c>
      <c r="Q71" s="55">
        <v>30.935600000000001</v>
      </c>
      <c r="R71" s="55"/>
      <c r="S71" s="55"/>
      <c r="T71" s="55"/>
      <c r="U71" s="55"/>
      <c r="V71" s="55"/>
      <c r="W71" s="15">
        <v>0</v>
      </c>
      <c r="X71" s="15">
        <v>0</v>
      </c>
      <c r="Y71" s="15">
        <v>0</v>
      </c>
      <c r="Z71" s="16">
        <f t="shared" si="77"/>
        <v>0</v>
      </c>
      <c r="AA71" s="15" t="e">
        <f t="shared" si="76"/>
        <v>#DIV/0!</v>
      </c>
      <c r="AB71" s="15" t="e">
        <f t="shared" si="67"/>
        <v>#DIV/0!</v>
      </c>
      <c r="AC71" s="15" t="e">
        <f t="shared" si="67"/>
        <v>#DIV/0!</v>
      </c>
      <c r="AD71" s="16">
        <f t="shared" si="78"/>
        <v>3.441864145270512E-3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 t="e">
        <f>V71/J71</f>
        <v>#DIV/0!</v>
      </c>
      <c r="AY71" s="15" t="e">
        <f t="shared" si="84"/>
        <v>#DIV/0!</v>
      </c>
      <c r="AZ71" s="15" t="e">
        <f t="shared" si="85"/>
        <v>#DIV/0!</v>
      </c>
      <c r="BA71" s="15" t="e">
        <f>V71/J71</f>
        <v>#DIV/0!</v>
      </c>
      <c r="BB71" s="15" t="e">
        <f t="shared" si="81"/>
        <v>#DIV/0!</v>
      </c>
      <c r="BC71" s="15" t="e">
        <f t="shared" si="82"/>
        <v>#DIV/0!</v>
      </c>
    </row>
    <row r="72" spans="1:55" ht="15.75" thickBot="1" x14ac:dyDescent="0.25">
      <c r="A72" s="13"/>
      <c r="B72" s="17"/>
      <c r="C72" s="44">
        <v>42</v>
      </c>
      <c r="D72" s="53">
        <v>596.45000000000005</v>
      </c>
      <c r="E72" s="53">
        <v>27.648499999999999</v>
      </c>
      <c r="F72" s="53"/>
      <c r="G72" s="53"/>
      <c r="H72" s="53"/>
      <c r="I72" s="53"/>
      <c r="J72" s="53"/>
      <c r="K72" s="19">
        <v>0</v>
      </c>
      <c r="L72" s="19">
        <v>0</v>
      </c>
      <c r="M72" s="19">
        <v>0</v>
      </c>
      <c r="N72" s="20">
        <f t="shared" si="75"/>
        <v>0</v>
      </c>
      <c r="P72" s="55">
        <v>594.95000000000005</v>
      </c>
      <c r="Q72" s="55">
        <v>27.6433</v>
      </c>
      <c r="R72" s="55"/>
      <c r="S72" s="55"/>
      <c r="T72" s="55"/>
      <c r="U72" s="55"/>
      <c r="V72" s="55"/>
      <c r="W72" s="19">
        <v>0</v>
      </c>
      <c r="X72" s="19">
        <v>0</v>
      </c>
      <c r="Y72" s="19">
        <v>0</v>
      </c>
      <c r="Z72" s="20">
        <f t="shared" si="77"/>
        <v>0</v>
      </c>
      <c r="AA72" s="15" t="e">
        <f t="shared" si="76"/>
        <v>#DIV/0!</v>
      </c>
      <c r="AB72" s="15" t="e">
        <f t="shared" si="67"/>
        <v>#DIV/0!</v>
      </c>
      <c r="AC72" s="15" t="e">
        <f t="shared" si="67"/>
        <v>#DIV/0!</v>
      </c>
      <c r="AD72" s="20">
        <f t="shared" si="78"/>
        <v>2.5148797049207813E-3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 t="e">
        <f>V72/J72</f>
        <v>#DIV/0!</v>
      </c>
      <c r="AY72" s="15" t="e">
        <f t="shared" si="84"/>
        <v>#DIV/0!</v>
      </c>
      <c r="AZ72" s="15" t="e">
        <f t="shared" si="85"/>
        <v>#DIV/0!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3">
        <v>2099.85</v>
      </c>
      <c r="E73" s="53">
        <v>43.463200000000001</v>
      </c>
      <c r="F73" s="53"/>
      <c r="G73" s="53"/>
      <c r="H73" s="53"/>
      <c r="I73" s="53"/>
      <c r="J73" s="53"/>
      <c r="K73" s="10">
        <v>0</v>
      </c>
      <c r="L73" s="10">
        <v>0</v>
      </c>
      <c r="M73" s="10">
        <v>0</v>
      </c>
      <c r="N73" s="11">
        <f t="shared" si="75"/>
        <v>0</v>
      </c>
      <c r="P73" s="55">
        <v>2102.2199999999998</v>
      </c>
      <c r="Q73" s="55">
        <v>43.473599999999998</v>
      </c>
      <c r="R73" s="55"/>
      <c r="S73" s="55"/>
      <c r="T73" s="55"/>
      <c r="U73" s="55"/>
      <c r="V73" s="55"/>
      <c r="W73" s="10">
        <v>0</v>
      </c>
      <c r="X73" s="10">
        <v>0</v>
      </c>
      <c r="Y73" s="10">
        <v>0</v>
      </c>
      <c r="Z73" s="11">
        <f t="shared" si="77"/>
        <v>0</v>
      </c>
      <c r="AA73" s="15" t="e">
        <f t="shared" si="76"/>
        <v>#DIV/0!</v>
      </c>
      <c r="AB73" s="15" t="e">
        <f t="shared" si="67"/>
        <v>#DIV/0!</v>
      </c>
      <c r="AC73" s="15" t="e">
        <f t="shared" si="67"/>
        <v>#DIV/0!</v>
      </c>
      <c r="AD73" s="11">
        <f t="shared" si="78"/>
        <v>1.1286520465747035E-3</v>
      </c>
      <c r="AE73" s="12"/>
      <c r="AF73" s="25">
        <f>bdRateExtend($D73:$D77,E73:E77,$P73:$P77,Q73:Q77)</f>
        <v>6.7449428310561999E-4</v>
      </c>
      <c r="AG73" s="30" t="e">
        <f t="shared" ref="AG73:AK73" si="86">bdRateExtend($D73:$D77,F73:F77,$P73:$P77,R73:R77)</f>
        <v>#VALUE!</v>
      </c>
      <c r="AH73" s="31" t="e">
        <f t="shared" si="86"/>
        <v>#VALUE!</v>
      </c>
      <c r="AI73" s="25" t="e">
        <f t="shared" si="86"/>
        <v>#VALUE!</v>
      </c>
      <c r="AJ73" s="30" t="e">
        <f t="shared" si="86"/>
        <v>#VALUE!</v>
      </c>
      <c r="AK73" s="30" t="e">
        <f t="shared" si="86"/>
        <v>#VALUE!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4.8954926658217879E-4</v>
      </c>
      <c r="AS73" s="30" t="e">
        <f t="shared" si="87"/>
        <v>#VALUE!</v>
      </c>
      <c r="AT73" s="31" t="e">
        <f t="shared" si="87"/>
        <v>#VALUE!</v>
      </c>
      <c r="AU73" s="25" t="e">
        <f>bdrate($D73:$D76,H73:H76,$P73:$P76,T73:T76)</f>
        <v>#VALUE!</v>
      </c>
      <c r="AV73" s="30" t="e">
        <f>bdrate($D73:$D76,H73:H76,$P73:$P76,T73:T76)</f>
        <v>#VALUE!</v>
      </c>
      <c r="AW73" s="31" t="e">
        <f>bdrate($D73:$D76,I73:I76,$P73:$P76,U73:U76)</f>
        <v>#VALUE!</v>
      </c>
      <c r="AX73" s="15"/>
      <c r="AY73" s="15"/>
      <c r="AZ73" s="15"/>
      <c r="BA73" s="15" t="e">
        <f>V73/J73</f>
        <v>#DIV/0!</v>
      </c>
      <c r="BB73" s="15" t="e">
        <f t="shared" ref="BB73:BB76" si="88">X73/L73</f>
        <v>#DIV/0!</v>
      </c>
      <c r="BC73" s="15" t="e">
        <f t="shared" si="82"/>
        <v>#DIV/0!</v>
      </c>
    </row>
    <row r="74" spans="1:55" ht="15" x14ac:dyDescent="0.2">
      <c r="A74" s="13"/>
      <c r="B74" s="13"/>
      <c r="C74" s="43">
        <v>27</v>
      </c>
      <c r="D74" s="53">
        <v>1261.56</v>
      </c>
      <c r="E74" s="53">
        <v>39.798999999999999</v>
      </c>
      <c r="F74" s="53"/>
      <c r="G74" s="53"/>
      <c r="H74" s="53"/>
      <c r="I74" s="53"/>
      <c r="J74" s="53"/>
      <c r="K74" s="15">
        <v>0</v>
      </c>
      <c r="L74" s="15">
        <v>0</v>
      </c>
      <c r="M74" s="15">
        <v>0</v>
      </c>
      <c r="N74" s="16">
        <f t="shared" si="75"/>
        <v>0</v>
      </c>
      <c r="P74" s="55">
        <v>1259.73</v>
      </c>
      <c r="Q74" s="55">
        <v>39.780200000000001</v>
      </c>
      <c r="R74" s="55"/>
      <c r="S74" s="55"/>
      <c r="T74" s="55"/>
      <c r="U74" s="55"/>
      <c r="V74" s="55"/>
      <c r="W74" s="15">
        <v>0</v>
      </c>
      <c r="X74" s="15">
        <v>0</v>
      </c>
      <c r="Y74" s="15">
        <v>0</v>
      </c>
      <c r="Z74" s="16">
        <f t="shared" si="77"/>
        <v>0</v>
      </c>
      <c r="AA74" s="15" t="e">
        <f t="shared" si="76"/>
        <v>#DIV/0!</v>
      </c>
      <c r="AB74" s="15" t="e">
        <f t="shared" si="67"/>
        <v>#DIV/0!</v>
      </c>
      <c r="AC74" s="15" t="e">
        <f t="shared" si="67"/>
        <v>#DIV/0!</v>
      </c>
      <c r="AD74" s="16">
        <f t="shared" si="78"/>
        <v>1.450584990012308E-3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5.0093205174928102E-4</v>
      </c>
      <c r="AM74" s="21" t="e">
        <f>bdrate($D74:$D77,F74:F77,$P74:$P77,R74:R77)</f>
        <v>#VALUE!</v>
      </c>
      <c r="AN74" s="36" t="e">
        <f t="shared" ref="AN74" si="89">bdrate($D74:$D77,G74:G77,$P74:$P77,S74:S77)</f>
        <v>#VALUE!</v>
      </c>
      <c r="AO74" s="26" t="e">
        <f>bdrate($D74:$D77,H74:H77,$P74:$P77,T74:T77)</f>
        <v>#VALUE!</v>
      </c>
      <c r="AP74" s="21" t="e">
        <f>bdrate($D74:$D77,I74:I77,$P74:$P77,U74:U77)</f>
        <v>#VALUE!</v>
      </c>
      <c r="AQ74" s="36" t="e">
        <f>bdrate($D74:$D77,J74:J77,$P74:$P77,V74:V77)</f>
        <v>#VALUE!</v>
      </c>
      <c r="AR74" s="21"/>
      <c r="AS74" s="21"/>
      <c r="AT74" s="36"/>
      <c r="AU74" s="26"/>
      <c r="AV74" s="21"/>
      <c r="AW74" s="36"/>
      <c r="AX74" s="15" t="e">
        <f>V74/J74</f>
        <v>#DIV/0!</v>
      </c>
      <c r="AY74" s="15" t="e">
        <f t="shared" ref="AY74:AY77" si="90">X74/L74</f>
        <v>#DIV/0!</v>
      </c>
      <c r="AZ74" s="15" t="e">
        <f t="shared" si="85"/>
        <v>#DIV/0!</v>
      </c>
      <c r="BA74" s="15" t="e">
        <f>V74/J74</f>
        <v>#DIV/0!</v>
      </c>
      <c r="BB74" s="15" t="e">
        <f t="shared" si="88"/>
        <v>#DIV/0!</v>
      </c>
      <c r="BC74" s="15" t="e">
        <f t="shared" si="82"/>
        <v>#DIV/0!</v>
      </c>
    </row>
    <row r="75" spans="1:55" ht="15" x14ac:dyDescent="0.2">
      <c r="A75" s="13"/>
      <c r="B75" s="13"/>
      <c r="C75" s="43">
        <v>32</v>
      </c>
      <c r="D75" s="53">
        <v>733.2</v>
      </c>
      <c r="E75" s="53">
        <v>36.454599999999999</v>
      </c>
      <c r="F75" s="53"/>
      <c r="G75" s="53"/>
      <c r="H75" s="53"/>
      <c r="I75" s="53"/>
      <c r="J75" s="53"/>
      <c r="K75" s="15">
        <v>0</v>
      </c>
      <c r="L75" s="15">
        <v>0</v>
      </c>
      <c r="M75" s="15">
        <v>0</v>
      </c>
      <c r="N75" s="16">
        <f t="shared" si="75"/>
        <v>0</v>
      </c>
      <c r="P75" s="55">
        <v>734.82</v>
      </c>
      <c r="Q75" s="55">
        <v>36.468299999999999</v>
      </c>
      <c r="R75" s="55"/>
      <c r="S75" s="55"/>
      <c r="T75" s="55"/>
      <c r="U75" s="55"/>
      <c r="V75" s="55"/>
      <c r="W75" s="15">
        <v>0</v>
      </c>
      <c r="X75" s="15">
        <v>0</v>
      </c>
      <c r="Y75" s="15">
        <v>0</v>
      </c>
      <c r="Z75" s="16">
        <f t="shared" si="77"/>
        <v>0</v>
      </c>
      <c r="AA75" s="15" t="e">
        <f t="shared" si="76"/>
        <v>#DIV/0!</v>
      </c>
      <c r="AB75" s="15" t="e">
        <f t="shared" si="67"/>
        <v>#DIV/0!</v>
      </c>
      <c r="AC75" s="15" t="e">
        <f t="shared" si="67"/>
        <v>#DIV/0!</v>
      </c>
      <c r="AD75" s="16">
        <f t="shared" si="78"/>
        <v>2.2094926350245559E-3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 t="e">
        <f>V75/J75</f>
        <v>#DIV/0!</v>
      </c>
      <c r="AY75" s="15" t="e">
        <f t="shared" si="90"/>
        <v>#DIV/0!</v>
      </c>
      <c r="AZ75" s="15" t="e">
        <f t="shared" si="85"/>
        <v>#DIV/0!</v>
      </c>
      <c r="BA75" s="15" t="e">
        <f>V75/J75</f>
        <v>#DIV/0!</v>
      </c>
      <c r="BB75" s="15" t="e">
        <f t="shared" si="88"/>
        <v>#DIV/0!</v>
      </c>
      <c r="BC75" s="15" t="e">
        <f t="shared" si="82"/>
        <v>#DIV/0!</v>
      </c>
    </row>
    <row r="76" spans="1:55" ht="15" x14ac:dyDescent="0.2">
      <c r="A76" s="13"/>
      <c r="B76" s="13"/>
      <c r="C76" s="43">
        <v>37</v>
      </c>
      <c r="D76" s="53">
        <v>385.53</v>
      </c>
      <c r="E76" s="53">
        <v>33.2348</v>
      </c>
      <c r="F76" s="53"/>
      <c r="G76" s="53"/>
      <c r="H76" s="53"/>
      <c r="I76" s="53"/>
      <c r="J76" s="53"/>
      <c r="K76" s="15">
        <v>0</v>
      </c>
      <c r="L76" s="15">
        <v>0</v>
      </c>
      <c r="M76" s="15">
        <v>0</v>
      </c>
      <c r="N76" s="16">
        <f t="shared" si="75"/>
        <v>0</v>
      </c>
      <c r="P76" s="55">
        <v>384.27</v>
      </c>
      <c r="Q76" s="55">
        <v>33.217199999999998</v>
      </c>
      <c r="R76" s="55"/>
      <c r="S76" s="55"/>
      <c r="T76" s="55"/>
      <c r="U76" s="55"/>
      <c r="V76" s="55"/>
      <c r="W76" s="15">
        <v>0</v>
      </c>
      <c r="X76" s="15">
        <v>0</v>
      </c>
      <c r="Y76" s="15">
        <v>0</v>
      </c>
      <c r="Z76" s="16">
        <f t="shared" si="77"/>
        <v>0</v>
      </c>
      <c r="AA76" s="15" t="e">
        <f t="shared" si="76"/>
        <v>#DIV/0!</v>
      </c>
      <c r="AB76" s="15" t="e">
        <f t="shared" si="67"/>
        <v>#DIV/0!</v>
      </c>
      <c r="AC76" s="15" t="e">
        <f t="shared" si="67"/>
        <v>#DIV/0!</v>
      </c>
      <c r="AD76" s="16">
        <f t="shared" si="78"/>
        <v>3.2682281534510698E-3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 t="e">
        <f>V76/J76</f>
        <v>#DIV/0!</v>
      </c>
      <c r="AY76" s="15" t="e">
        <f t="shared" si="90"/>
        <v>#DIV/0!</v>
      </c>
      <c r="AZ76" s="15" t="e">
        <f t="shared" si="85"/>
        <v>#DIV/0!</v>
      </c>
      <c r="BA76" s="15" t="e">
        <f>V76/J76</f>
        <v>#DIV/0!</v>
      </c>
      <c r="BB76" s="15" t="e">
        <f t="shared" si="88"/>
        <v>#DIV/0!</v>
      </c>
      <c r="BC76" s="15" t="e">
        <f t="shared" si="82"/>
        <v>#DIV/0!</v>
      </c>
    </row>
    <row r="77" spans="1:55" ht="15.75" thickBot="1" x14ac:dyDescent="0.25">
      <c r="A77" s="17"/>
      <c r="B77" s="17"/>
      <c r="C77" s="44">
        <v>42</v>
      </c>
      <c r="D77" s="53">
        <v>166.86</v>
      </c>
      <c r="E77" s="53">
        <v>30.163699999999999</v>
      </c>
      <c r="F77" s="53"/>
      <c r="G77" s="53"/>
      <c r="H77" s="53"/>
      <c r="I77" s="53"/>
      <c r="J77" s="53"/>
      <c r="K77" s="19">
        <v>0</v>
      </c>
      <c r="L77" s="19">
        <v>0</v>
      </c>
      <c r="M77" s="19">
        <v>0</v>
      </c>
      <c r="N77" s="20">
        <f t="shared" si="75"/>
        <v>0</v>
      </c>
      <c r="P77" s="55">
        <v>167.49</v>
      </c>
      <c r="Q77" s="55">
        <v>30.1722</v>
      </c>
      <c r="R77" s="55"/>
      <c r="S77" s="55"/>
      <c r="T77" s="55"/>
      <c r="U77" s="55"/>
      <c r="V77" s="55"/>
      <c r="W77" s="19">
        <v>0</v>
      </c>
      <c r="X77" s="19">
        <v>0</v>
      </c>
      <c r="Y77" s="19">
        <v>0</v>
      </c>
      <c r="Z77" s="20">
        <f t="shared" si="77"/>
        <v>0</v>
      </c>
      <c r="AA77" s="19" t="e">
        <f t="shared" si="76"/>
        <v>#DIV/0!</v>
      </c>
      <c r="AB77" s="19" t="e">
        <f t="shared" si="67"/>
        <v>#DIV/0!</v>
      </c>
      <c r="AC77" s="19" t="e">
        <f t="shared" si="67"/>
        <v>#DIV/0!</v>
      </c>
      <c r="AD77" s="20">
        <f t="shared" si="78"/>
        <v>3.7756202804746218E-3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 t="e">
        <f>V77/J77</f>
        <v>#DIV/0!</v>
      </c>
      <c r="AY77" s="19" t="e">
        <f t="shared" si="90"/>
        <v>#DIV/0!</v>
      </c>
      <c r="AZ77" s="19" t="e">
        <f t="shared" si="85"/>
        <v>#DIV/0!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3">
        <v>621.6</v>
      </c>
      <c r="E78" s="53">
        <v>44.232199999999999</v>
      </c>
      <c r="F78" s="53"/>
      <c r="G78" s="53"/>
      <c r="H78" s="53"/>
      <c r="I78" s="53"/>
      <c r="J78" s="53"/>
      <c r="K78" s="10">
        <v>0</v>
      </c>
      <c r="L78" s="10">
        <v>0</v>
      </c>
      <c r="M78" s="10">
        <v>0</v>
      </c>
      <c r="N78" s="11">
        <f t="shared" si="75"/>
        <v>0</v>
      </c>
      <c r="P78" s="55">
        <v>621</v>
      </c>
      <c r="Q78" s="55">
        <v>44.2209</v>
      </c>
      <c r="R78" s="55"/>
      <c r="S78" s="55"/>
      <c r="T78" s="55"/>
      <c r="U78" s="55"/>
      <c r="V78" s="55"/>
      <c r="W78" s="10">
        <v>0</v>
      </c>
      <c r="X78" s="10">
        <v>0</v>
      </c>
      <c r="Y78" s="10">
        <v>0</v>
      </c>
      <c r="Z78" s="11">
        <f t="shared" si="77"/>
        <v>0</v>
      </c>
      <c r="AA78" s="10" t="e">
        <f t="shared" si="76"/>
        <v>#DIV/0!</v>
      </c>
      <c r="AB78" s="10" t="e">
        <f>X78/L78</f>
        <v>#DIV/0!</v>
      </c>
      <c r="AC78" s="10" t="e">
        <f>Y78/M78</f>
        <v>#DIV/0!</v>
      </c>
      <c r="AD78" s="11">
        <f>ABS(P93-D78)/D78</f>
        <v>8.4942084942084498E-3</v>
      </c>
      <c r="AE78" s="40"/>
      <c r="AF78" s="25">
        <f>bdRateExtend($D78:$D82,E78:E82,P78:P82,Q78:Q82)</f>
        <v>-3.7070012739441882E-3</v>
      </c>
      <c r="AG78" s="30" t="e">
        <f>bdRateExtend($D78:$D82,F78:F82,$P93:$P97,R78:R82)</f>
        <v>#VALUE!</v>
      </c>
      <c r="AH78" s="31" t="e">
        <f>bdRateExtend($D78:$D82,G78:G82,$P93:$P97,S78:S82)</f>
        <v>#VALUE!</v>
      </c>
      <c r="AI78" s="25" t="e">
        <f>bdRateExtend($D78:$D82,H78:H82,$P93:$P97,T78:T82)</f>
        <v>#VALUE!</v>
      </c>
      <c r="AJ78" s="30" t="e">
        <f>bdRateExtend($D78:$D82,I78:I82,$P93:$P97,U78:U82)</f>
        <v>#VALUE!</v>
      </c>
      <c r="AK78" s="30" t="e">
        <f>bdRateExtend($D78:$D82,J78:J82,$P93:$P97,V78:V82)</f>
        <v>#VALUE!</v>
      </c>
      <c r="AL78" s="45"/>
      <c r="AM78" s="46"/>
      <c r="AN78" s="47"/>
      <c r="AO78" s="46"/>
      <c r="AP78" s="46"/>
      <c r="AQ78" s="47"/>
      <c r="AR78" s="30">
        <f>bdrate($D78:$D81,E78:E81,$P78:$P81,Q78:Q81)</f>
        <v>-1.8322750297606882E-3</v>
      </c>
      <c r="AS78" s="30" t="e">
        <f>bdrate($D78:$D81,F78:F81,$P93:$P96,R78:R81)</f>
        <v>#VALUE!</v>
      </c>
      <c r="AT78" s="31" t="e">
        <f>bdrate($D78:$D81,G78:G81,$P93:$P96,S78:S81)</f>
        <v>#VALUE!</v>
      </c>
      <c r="AU78" s="25" t="e">
        <f>bdrate($D78:$D81,H78:H81,$P93:$P96,T78:T81)</f>
        <v>#VALUE!</v>
      </c>
      <c r="AV78" s="30" t="e">
        <f>bdrate($D78:$D81,I78:I81,$P93:$P96,U78:U81)</f>
        <v>#VALUE!</v>
      </c>
      <c r="AW78" s="31" t="e">
        <f>bdrate($D78:$D81,J78:J81,$P93:$P96,V78:V81)</f>
        <v>#VALUE!</v>
      </c>
      <c r="AX78" s="10"/>
      <c r="AY78" s="10"/>
      <c r="AZ78" s="10"/>
      <c r="BA78" s="10" t="e">
        <f>V78/J78</f>
        <v>#DIV/0!</v>
      </c>
      <c r="BB78" s="10" t="e">
        <f t="shared" ref="BB78:BB81" si="91">X78/L78</f>
        <v>#DIV/0!</v>
      </c>
      <c r="BC78" s="10" t="e">
        <f t="shared" si="82"/>
        <v>#DIV/0!</v>
      </c>
    </row>
    <row r="79" spans="1:55" ht="15" x14ac:dyDescent="0.2">
      <c r="A79" s="13" t="s">
        <v>22</v>
      </c>
      <c r="B79" s="13"/>
      <c r="C79" s="43">
        <f>C74</f>
        <v>27</v>
      </c>
      <c r="D79" s="53">
        <v>367.35</v>
      </c>
      <c r="E79" s="53">
        <v>40.735599999999998</v>
      </c>
      <c r="F79" s="53"/>
      <c r="G79" s="53"/>
      <c r="H79" s="53"/>
      <c r="I79" s="53"/>
      <c r="J79" s="53"/>
      <c r="K79" s="15">
        <v>0</v>
      </c>
      <c r="L79" s="15">
        <v>0</v>
      </c>
      <c r="M79" s="15">
        <v>0</v>
      </c>
      <c r="N79" s="16">
        <f t="shared" si="75"/>
        <v>0</v>
      </c>
      <c r="P79" s="55">
        <v>367.35</v>
      </c>
      <c r="Q79" s="55">
        <v>40.735599999999998</v>
      </c>
      <c r="R79" s="55"/>
      <c r="S79" s="55"/>
      <c r="T79" s="55"/>
      <c r="U79" s="55"/>
      <c r="V79" s="55"/>
      <c r="W79" s="15">
        <v>0</v>
      </c>
      <c r="X79" s="15">
        <v>0</v>
      </c>
      <c r="Y79" s="15">
        <v>0</v>
      </c>
      <c r="Z79" s="16">
        <f t="shared" si="77"/>
        <v>0</v>
      </c>
      <c r="AA79" s="15" t="e">
        <f t="shared" si="76"/>
        <v>#DIV/0!</v>
      </c>
      <c r="AB79" s="15" t="e">
        <f t="shared" ref="AB79:AC97" si="92">X79/L79</f>
        <v>#DIV/0!</v>
      </c>
      <c r="AC79" s="15" t="e">
        <f t="shared" si="92"/>
        <v>#DIV/0!</v>
      </c>
      <c r="AD79" s="16">
        <f>ABS(P94-D79)/D79</f>
        <v>4.4671294405879865E-2</v>
      </c>
      <c r="AE79" s="12"/>
      <c r="AF79" s="26"/>
      <c r="AG79" s="21"/>
      <c r="AH79" s="36"/>
      <c r="AI79" s="26"/>
      <c r="AJ79" s="21"/>
      <c r="AK79" s="21"/>
      <c r="AL79" s="26">
        <f>bdrate($D79:$D82,E79:E82,P79:P82,Q79:Q82)</f>
        <v>-5.2655760193160983E-3</v>
      </c>
      <c r="AM79" s="21" t="e">
        <f>bdrate($D79:$D82,F79:F82,$P94:$P97,R79:R82)</f>
        <v>#VALUE!</v>
      </c>
      <c r="AN79" s="36" t="e">
        <f>bdrate($D79:$D82,G79:G82,$P94:$P97,S79:S82)</f>
        <v>#VALUE!</v>
      </c>
      <c r="AO79" s="26" t="e">
        <f>bdrate($D79:$D82,H79:H82,$P94:$P97,T79:T82)</f>
        <v>#VALUE!</v>
      </c>
      <c r="AP79" s="21" t="e">
        <f>bdrate($D79:$D82,I79:I82,$P94:$P97,U79:U82)</f>
        <v>#VALUE!</v>
      </c>
      <c r="AQ79" s="36" t="e">
        <f>bdrate($D79:$D82,J79:J82,$P94:$P97,V79:V82)</f>
        <v>#VALUE!</v>
      </c>
      <c r="AR79" s="21"/>
      <c r="AS79" s="21"/>
      <c r="AT79" s="36"/>
      <c r="AU79" s="26"/>
      <c r="AV79" s="21"/>
      <c r="AW79" s="36"/>
      <c r="AX79" s="15" t="e">
        <f>V79/J79</f>
        <v>#DIV/0!</v>
      </c>
      <c r="AY79" s="15" t="e">
        <f t="shared" ref="AY79:AY82" si="93">X79/L79</f>
        <v>#DIV/0!</v>
      </c>
      <c r="AZ79" s="15" t="e">
        <f t="shared" si="85"/>
        <v>#DIV/0!</v>
      </c>
      <c r="BA79" s="15" t="e">
        <f>V79/J79</f>
        <v>#DIV/0!</v>
      </c>
      <c r="BB79" s="15" t="e">
        <f t="shared" si="91"/>
        <v>#DIV/0!</v>
      </c>
      <c r="BC79" s="15" t="e">
        <f t="shared" si="82"/>
        <v>#DIV/0!</v>
      </c>
    </row>
    <row r="80" spans="1:55" ht="15" x14ac:dyDescent="0.2">
      <c r="A80" s="13"/>
      <c r="B80" s="13"/>
      <c r="C80" s="43">
        <f>C75</f>
        <v>32</v>
      </c>
      <c r="D80" s="53">
        <v>206</v>
      </c>
      <c r="E80" s="53">
        <v>37.418500000000002</v>
      </c>
      <c r="F80" s="53"/>
      <c r="G80" s="53"/>
      <c r="H80" s="53"/>
      <c r="I80" s="53"/>
      <c r="J80" s="53"/>
      <c r="K80" s="15">
        <v>0</v>
      </c>
      <c r="L80" s="15">
        <v>0</v>
      </c>
      <c r="M80" s="15">
        <v>0</v>
      </c>
      <c r="N80" s="16">
        <f t="shared" si="75"/>
        <v>0</v>
      </c>
      <c r="P80" s="55">
        <v>202.85</v>
      </c>
      <c r="Q80" s="55">
        <v>37.352200000000003</v>
      </c>
      <c r="R80" s="55"/>
      <c r="S80" s="55"/>
      <c r="T80" s="55"/>
      <c r="U80" s="55"/>
      <c r="V80" s="55"/>
      <c r="W80" s="15">
        <v>0</v>
      </c>
      <c r="X80" s="15">
        <v>0</v>
      </c>
      <c r="Y80" s="15">
        <v>0</v>
      </c>
      <c r="Z80" s="16">
        <f t="shared" si="77"/>
        <v>0</v>
      </c>
      <c r="AA80" s="15" t="e">
        <f t="shared" si="76"/>
        <v>#DIV/0!</v>
      </c>
      <c r="AB80" s="15" t="e">
        <f t="shared" si="92"/>
        <v>#DIV/0!</v>
      </c>
      <c r="AC80" s="15" t="e">
        <f t="shared" si="92"/>
        <v>#DIV/0!</v>
      </c>
      <c r="AD80" s="16">
        <f>ABS(P95-D80)/D80</f>
        <v>8.2912621359223365E-2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 t="e">
        <f>V80/J80</f>
        <v>#DIV/0!</v>
      </c>
      <c r="AY80" s="15" t="e">
        <f t="shared" si="93"/>
        <v>#DIV/0!</v>
      </c>
      <c r="AZ80" s="15" t="e">
        <f t="shared" si="85"/>
        <v>#DIV/0!</v>
      </c>
      <c r="BA80" s="15" t="e">
        <f>V80/J80</f>
        <v>#DIV/0!</v>
      </c>
      <c r="BB80" s="15" t="e">
        <f t="shared" si="91"/>
        <v>#DIV/0!</v>
      </c>
      <c r="BC80" s="15" t="e">
        <f t="shared" si="82"/>
        <v>#DIV/0!</v>
      </c>
    </row>
    <row r="81" spans="1:55" ht="15" x14ac:dyDescent="0.2">
      <c r="A81" s="13"/>
      <c r="B81" s="13"/>
      <c r="C81" s="43">
        <f>C76</f>
        <v>37</v>
      </c>
      <c r="D81" s="53">
        <v>111.85</v>
      </c>
      <c r="E81" s="53">
        <v>34.485399999999998</v>
      </c>
      <c r="F81" s="53"/>
      <c r="G81" s="53"/>
      <c r="H81" s="53"/>
      <c r="I81" s="53"/>
      <c r="J81" s="53"/>
      <c r="K81" s="15">
        <v>0</v>
      </c>
      <c r="L81" s="15">
        <v>0</v>
      </c>
      <c r="M81" s="15">
        <v>0</v>
      </c>
      <c r="N81" s="16">
        <f t="shared" si="75"/>
        <v>0</v>
      </c>
      <c r="P81" s="55">
        <v>111.05</v>
      </c>
      <c r="Q81" s="55">
        <v>34.493400000000001</v>
      </c>
      <c r="R81" s="55"/>
      <c r="S81" s="55"/>
      <c r="T81" s="55"/>
      <c r="U81" s="55"/>
      <c r="V81" s="55"/>
      <c r="W81" s="15">
        <v>0</v>
      </c>
      <c r="X81" s="15">
        <v>0</v>
      </c>
      <c r="Y81" s="15">
        <v>0</v>
      </c>
      <c r="Z81" s="16">
        <f t="shared" si="77"/>
        <v>0</v>
      </c>
      <c r="AA81" s="15" t="e">
        <f t="shared" si="76"/>
        <v>#DIV/0!</v>
      </c>
      <c r="AB81" s="15" t="e">
        <f t="shared" si="92"/>
        <v>#DIV/0!</v>
      </c>
      <c r="AC81" s="15" t="e">
        <f t="shared" si="92"/>
        <v>#DIV/0!</v>
      </c>
      <c r="AD81" s="16">
        <f>ABS(P96-D81)/D81</f>
        <v>7.9839070183281249E-2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 t="e">
        <f>V81/J81</f>
        <v>#DIV/0!</v>
      </c>
      <c r="AY81" s="15" t="e">
        <f t="shared" si="93"/>
        <v>#DIV/0!</v>
      </c>
      <c r="AZ81" s="15" t="e">
        <f t="shared" si="85"/>
        <v>#DIV/0!</v>
      </c>
      <c r="BA81" s="15" t="e">
        <f>V81/J81</f>
        <v>#DIV/0!</v>
      </c>
      <c r="BB81" s="15" t="e">
        <f t="shared" si="91"/>
        <v>#DIV/0!</v>
      </c>
      <c r="BC81" s="15" t="e">
        <f t="shared" si="82"/>
        <v>#DIV/0!</v>
      </c>
    </row>
    <row r="82" spans="1:55" ht="15.75" thickBot="1" x14ac:dyDescent="0.25">
      <c r="A82" s="13"/>
      <c r="B82" s="17"/>
      <c r="C82" s="44">
        <f>C77</f>
        <v>42</v>
      </c>
      <c r="D82" s="53">
        <v>61.7</v>
      </c>
      <c r="E82" s="53">
        <v>31.7728</v>
      </c>
      <c r="F82" s="53"/>
      <c r="G82" s="53"/>
      <c r="H82" s="53"/>
      <c r="I82" s="53"/>
      <c r="J82" s="53"/>
      <c r="K82" s="19">
        <v>0</v>
      </c>
      <c r="L82" s="19">
        <v>0</v>
      </c>
      <c r="M82" s="19">
        <v>0</v>
      </c>
      <c r="N82" s="20">
        <f t="shared" si="75"/>
        <v>0</v>
      </c>
      <c r="P82" s="55">
        <v>60.55</v>
      </c>
      <c r="Q82" s="55">
        <v>31.737500000000001</v>
      </c>
      <c r="R82" s="55"/>
      <c r="S82" s="55"/>
      <c r="T82" s="55"/>
      <c r="U82" s="55"/>
      <c r="V82" s="55"/>
      <c r="W82" s="19">
        <v>0</v>
      </c>
      <c r="X82" s="19">
        <v>0</v>
      </c>
      <c r="Y82" s="19">
        <v>0</v>
      </c>
      <c r="Z82" s="20">
        <f t="shared" si="77"/>
        <v>0</v>
      </c>
      <c r="AA82" s="15" t="e">
        <f t="shared" si="76"/>
        <v>#DIV/0!</v>
      </c>
      <c r="AB82" s="15" t="e">
        <f t="shared" si="92"/>
        <v>#DIV/0!</v>
      </c>
      <c r="AC82" s="15" t="e">
        <f t="shared" si="92"/>
        <v>#DIV/0!</v>
      </c>
      <c r="AD82" s="20">
        <f>ABS(P97-D82)/D82</f>
        <v>8.7196110210696842E-2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 t="e">
        <f>V82/J82</f>
        <v>#DIV/0!</v>
      </c>
      <c r="AY82" s="15" t="e">
        <f t="shared" si="93"/>
        <v>#DIV/0!</v>
      </c>
      <c r="AZ82" s="15" t="e">
        <f t="shared" si="85"/>
        <v>#DIV/0!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3">
        <v>1129.75</v>
      </c>
      <c r="E83" s="53">
        <v>42.3825</v>
      </c>
      <c r="F83" s="53"/>
      <c r="G83" s="53"/>
      <c r="H83" s="53"/>
      <c r="I83" s="53"/>
      <c r="J83" s="53"/>
      <c r="K83" s="10">
        <v>0</v>
      </c>
      <c r="L83" s="10">
        <v>0</v>
      </c>
      <c r="M83" s="10">
        <v>0</v>
      </c>
      <c r="N83" s="11">
        <f t="shared" si="75"/>
        <v>0</v>
      </c>
      <c r="P83" s="55">
        <v>1133.5999999999999</v>
      </c>
      <c r="Q83" s="55">
        <v>42.404499999999999</v>
      </c>
      <c r="R83" s="55"/>
      <c r="S83" s="55"/>
      <c r="T83" s="55"/>
      <c r="U83" s="55"/>
      <c r="V83" s="55"/>
      <c r="W83" s="10">
        <v>0</v>
      </c>
      <c r="X83" s="10">
        <v>0</v>
      </c>
      <c r="Y83" s="10">
        <v>0</v>
      </c>
      <c r="Z83" s="11">
        <f t="shared" si="77"/>
        <v>0</v>
      </c>
      <c r="AA83" s="15" t="e">
        <f t="shared" si="76"/>
        <v>#DIV/0!</v>
      </c>
      <c r="AB83" s="15" t="e">
        <f t="shared" si="92"/>
        <v>#DIV/0!</v>
      </c>
      <c r="AC83" s="15" t="e">
        <f t="shared" si="92"/>
        <v>#DIV/0!</v>
      </c>
      <c r="AD83" s="11">
        <f t="shared" si="78"/>
        <v>3.4078335915024645E-3</v>
      </c>
      <c r="AE83" s="12"/>
      <c r="AF83" s="25">
        <f t="shared" ref="AF83:AK83" si="94">bdRateExtend($D83:$D87,E83:E87,$P83:$P87,Q83:Q87)</f>
        <v>4.7354384035669383E-4</v>
      </c>
      <c r="AG83" s="30" t="e">
        <f t="shared" si="94"/>
        <v>#VALUE!</v>
      </c>
      <c r="AH83" s="31" t="e">
        <f t="shared" si="94"/>
        <v>#VALUE!</v>
      </c>
      <c r="AI83" s="25" t="e">
        <f t="shared" si="94"/>
        <v>#VALUE!</v>
      </c>
      <c r="AJ83" s="30" t="e">
        <f t="shared" si="94"/>
        <v>#VALUE!</v>
      </c>
      <c r="AK83" s="30" t="e">
        <f t="shared" si="94"/>
        <v>#VALUE!</v>
      </c>
      <c r="AL83" s="26"/>
      <c r="AM83" s="21"/>
      <c r="AN83" s="36"/>
      <c r="AO83" s="21"/>
      <c r="AP83" s="21"/>
      <c r="AQ83" s="36"/>
      <c r="AR83" s="30">
        <f t="shared" ref="AR83:AW83" si="95">bdrate($D83:$D86,E83:E86,$P83:$P86,Q83:Q86)</f>
        <v>2.0551014622460784E-4</v>
      </c>
      <c r="AS83" s="30" t="e">
        <f t="shared" si="95"/>
        <v>#VALUE!</v>
      </c>
      <c r="AT83" s="31" t="e">
        <f t="shared" si="95"/>
        <v>#VALUE!</v>
      </c>
      <c r="AU83" s="25" t="e">
        <f t="shared" si="95"/>
        <v>#VALUE!</v>
      </c>
      <c r="AV83" s="30" t="e">
        <f t="shared" si="95"/>
        <v>#VALUE!</v>
      </c>
      <c r="AW83" s="31" t="e">
        <f t="shared" si="95"/>
        <v>#VALUE!</v>
      </c>
      <c r="AX83" s="15"/>
      <c r="AY83" s="15"/>
      <c r="AZ83" s="15"/>
      <c r="BA83" s="15" t="e">
        <f>V83/J83</f>
        <v>#DIV/0!</v>
      </c>
      <c r="BB83" s="15" t="e">
        <f t="shared" ref="BB83:BB86" si="96">X83/L83</f>
        <v>#DIV/0!</v>
      </c>
      <c r="BC83" s="15" t="e">
        <f t="shared" si="82"/>
        <v>#DIV/0!</v>
      </c>
    </row>
    <row r="84" spans="1:55" ht="15" x14ac:dyDescent="0.2">
      <c r="A84" s="13"/>
      <c r="C84" s="43">
        <v>27</v>
      </c>
      <c r="D84" s="53">
        <v>655.5</v>
      </c>
      <c r="E84" s="53">
        <v>38.493099999999998</v>
      </c>
      <c r="F84" s="53"/>
      <c r="G84" s="53"/>
      <c r="H84" s="53"/>
      <c r="I84" s="53"/>
      <c r="J84" s="53"/>
      <c r="K84" s="15">
        <v>0</v>
      </c>
      <c r="L84" s="15">
        <v>0</v>
      </c>
      <c r="M84" s="15">
        <v>0</v>
      </c>
      <c r="N84" s="16">
        <f t="shared" si="75"/>
        <v>0</v>
      </c>
      <c r="P84" s="55">
        <v>654.35</v>
      </c>
      <c r="Q84" s="55">
        <v>38.479399999999998</v>
      </c>
      <c r="R84" s="55"/>
      <c r="S84" s="55"/>
      <c r="T84" s="55"/>
      <c r="U84" s="55"/>
      <c r="V84" s="55"/>
      <c r="W84" s="15">
        <v>0</v>
      </c>
      <c r="X84" s="15">
        <v>0</v>
      </c>
      <c r="Y84" s="15">
        <v>0</v>
      </c>
      <c r="Z84" s="16">
        <f t="shared" si="77"/>
        <v>0</v>
      </c>
      <c r="AA84" s="15" t="e">
        <f t="shared" si="76"/>
        <v>#DIV/0!</v>
      </c>
      <c r="AB84" s="15" t="e">
        <f t="shared" si="92"/>
        <v>#DIV/0!</v>
      </c>
      <c r="AC84" s="15" t="e">
        <f t="shared" si="92"/>
        <v>#DIV/0!</v>
      </c>
      <c r="AD84" s="16">
        <f t="shared" si="78"/>
        <v>1.754385964912246E-3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2.9610879906627474E-4</v>
      </c>
      <c r="AM84" s="21" t="e">
        <f>bdrate($D84:$D87,F84:F87,$P84:$P87,R84:R87)</f>
        <v>#VALUE!</v>
      </c>
      <c r="AN84" s="36" t="e">
        <f t="shared" ref="AN84" si="97">bdrate($D84:$D87,G84:G87,$P84:$P87,S84:S87)</f>
        <v>#VALUE!</v>
      </c>
      <c r="AO84" s="26" t="e">
        <f>bdrate($D84:$D87,H84:H87,$P84:$P87,T84:T87)</f>
        <v>#VALUE!</v>
      </c>
      <c r="AP84" s="21" t="e">
        <f>bdrate($D84:$D87,I84:I87,$P84:$P87,U84:U87)</f>
        <v>#VALUE!</v>
      </c>
      <c r="AQ84" s="36" t="e">
        <f>bdrate($D84:$D87,J84:J87,$P84:$P87,V84:V87)</f>
        <v>#VALUE!</v>
      </c>
      <c r="AR84" s="21"/>
      <c r="AS84" s="21"/>
      <c r="AT84" s="36"/>
      <c r="AU84" s="26"/>
      <c r="AV84" s="21"/>
      <c r="AW84" s="36"/>
      <c r="AX84" s="15" t="e">
        <f>V84/J84</f>
        <v>#DIV/0!</v>
      </c>
      <c r="AY84" s="15" t="e">
        <f t="shared" ref="AY84:AY87" si="98">X84/L84</f>
        <v>#DIV/0!</v>
      </c>
      <c r="AZ84" s="15" t="e">
        <f t="shared" si="85"/>
        <v>#DIV/0!</v>
      </c>
      <c r="BA84" s="15" t="e">
        <f>V84/J84</f>
        <v>#DIV/0!</v>
      </c>
      <c r="BB84" s="15" t="e">
        <f t="shared" si="96"/>
        <v>#DIV/0!</v>
      </c>
      <c r="BC84" s="15" t="e">
        <f t="shared" si="82"/>
        <v>#DIV/0!</v>
      </c>
    </row>
    <row r="85" spans="1:55" ht="15" x14ac:dyDescent="0.2">
      <c r="A85" s="13"/>
      <c r="B85" s="13"/>
      <c r="C85" s="43">
        <v>32</v>
      </c>
      <c r="D85" s="53">
        <v>361.5</v>
      </c>
      <c r="E85" s="53">
        <v>35.081299999999999</v>
      </c>
      <c r="F85" s="53"/>
      <c r="G85" s="53"/>
      <c r="H85" s="53"/>
      <c r="I85" s="53"/>
      <c r="J85" s="53"/>
      <c r="K85" s="15">
        <v>0</v>
      </c>
      <c r="L85" s="15">
        <v>0</v>
      </c>
      <c r="M85" s="15">
        <v>0</v>
      </c>
      <c r="N85" s="16">
        <f t="shared" si="75"/>
        <v>0</v>
      </c>
      <c r="P85" s="55">
        <v>362.15</v>
      </c>
      <c r="Q85" s="55">
        <v>35.094799999999999</v>
      </c>
      <c r="R85" s="55"/>
      <c r="S85" s="55"/>
      <c r="T85" s="55"/>
      <c r="U85" s="55"/>
      <c r="V85" s="55"/>
      <c r="W85" s="15">
        <v>0</v>
      </c>
      <c r="X85" s="15">
        <v>0</v>
      </c>
      <c r="Y85" s="15">
        <v>0</v>
      </c>
      <c r="Z85" s="16">
        <f t="shared" si="77"/>
        <v>0</v>
      </c>
      <c r="AA85" s="15" t="e">
        <f t="shared" si="76"/>
        <v>#DIV/0!</v>
      </c>
      <c r="AB85" s="15" t="e">
        <f t="shared" si="92"/>
        <v>#DIV/0!</v>
      </c>
      <c r="AC85" s="15" t="e">
        <f t="shared" si="92"/>
        <v>#DIV/0!</v>
      </c>
      <c r="AD85" s="16">
        <f t="shared" si="78"/>
        <v>1.7980636237897019E-3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 t="e">
        <f>V85/J85</f>
        <v>#DIV/0!</v>
      </c>
      <c r="AY85" s="15" t="e">
        <f t="shared" si="98"/>
        <v>#DIV/0!</v>
      </c>
      <c r="AZ85" s="15" t="e">
        <f t="shared" si="85"/>
        <v>#DIV/0!</v>
      </c>
      <c r="BA85" s="15" t="e">
        <f>V85/J85</f>
        <v>#DIV/0!</v>
      </c>
      <c r="BB85" s="15" t="e">
        <f t="shared" si="96"/>
        <v>#DIV/0!</v>
      </c>
      <c r="BC85" s="15" t="e">
        <f t="shared" si="82"/>
        <v>#DIV/0!</v>
      </c>
    </row>
    <row r="86" spans="1:55" ht="15" x14ac:dyDescent="0.2">
      <c r="A86" s="13"/>
      <c r="B86" s="13"/>
      <c r="C86" s="43">
        <v>37</v>
      </c>
      <c r="D86" s="53">
        <v>190.2</v>
      </c>
      <c r="E86" s="53">
        <v>32.142499999999998</v>
      </c>
      <c r="F86" s="53"/>
      <c r="G86" s="53"/>
      <c r="H86" s="53"/>
      <c r="I86" s="53"/>
      <c r="J86" s="53"/>
      <c r="K86" s="15">
        <v>0</v>
      </c>
      <c r="L86" s="15">
        <v>0</v>
      </c>
      <c r="M86" s="15">
        <v>0</v>
      </c>
      <c r="N86" s="16">
        <f t="shared" si="75"/>
        <v>0</v>
      </c>
      <c r="P86" s="55">
        <v>190.95</v>
      </c>
      <c r="Q86" s="55">
        <v>32.150199999999998</v>
      </c>
      <c r="R86" s="55"/>
      <c r="S86" s="55"/>
      <c r="T86" s="55"/>
      <c r="U86" s="55"/>
      <c r="V86" s="55"/>
      <c r="W86" s="15">
        <v>0</v>
      </c>
      <c r="X86" s="15">
        <v>0</v>
      </c>
      <c r="Y86" s="15">
        <v>0</v>
      </c>
      <c r="Z86" s="16">
        <f t="shared" si="77"/>
        <v>0</v>
      </c>
      <c r="AA86" s="15" t="e">
        <f t="shared" si="76"/>
        <v>#DIV/0!</v>
      </c>
      <c r="AB86" s="15" t="e">
        <f t="shared" si="92"/>
        <v>#DIV/0!</v>
      </c>
      <c r="AC86" s="15" t="e">
        <f t="shared" si="92"/>
        <v>#DIV/0!</v>
      </c>
      <c r="AD86" s="16">
        <f t="shared" si="78"/>
        <v>3.9432176656151426E-3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 t="e">
        <f>V86/J86</f>
        <v>#DIV/0!</v>
      </c>
      <c r="AY86" s="15" t="e">
        <f t="shared" si="98"/>
        <v>#DIV/0!</v>
      </c>
      <c r="AZ86" s="15" t="e">
        <f t="shared" si="85"/>
        <v>#DIV/0!</v>
      </c>
      <c r="BA86" s="15" t="e">
        <f>V86/J86</f>
        <v>#DIV/0!</v>
      </c>
      <c r="BB86" s="15" t="e">
        <f t="shared" si="96"/>
        <v>#DIV/0!</v>
      </c>
      <c r="BC86" s="15" t="e">
        <f t="shared" si="82"/>
        <v>#DIV/0!</v>
      </c>
    </row>
    <row r="87" spans="1:55" ht="15.75" thickBot="1" x14ac:dyDescent="0.25">
      <c r="A87" s="13"/>
      <c r="B87" s="17"/>
      <c r="C87" s="44">
        <v>42</v>
      </c>
      <c r="D87" s="53">
        <v>95.5</v>
      </c>
      <c r="E87" s="53">
        <v>29.471800000000002</v>
      </c>
      <c r="F87" s="53"/>
      <c r="G87" s="53"/>
      <c r="H87" s="53"/>
      <c r="I87" s="53"/>
      <c r="J87" s="53"/>
      <c r="K87" s="19">
        <v>0</v>
      </c>
      <c r="L87" s="19">
        <v>0</v>
      </c>
      <c r="M87" s="19">
        <v>0</v>
      </c>
      <c r="N87" s="20">
        <f t="shared" si="75"/>
        <v>0</v>
      </c>
      <c r="P87" s="55">
        <v>96</v>
      </c>
      <c r="Q87" s="55">
        <v>29.4939</v>
      </c>
      <c r="R87" s="55"/>
      <c r="S87" s="55"/>
      <c r="T87" s="55"/>
      <c r="U87" s="55"/>
      <c r="V87" s="55"/>
      <c r="W87" s="19">
        <v>0</v>
      </c>
      <c r="X87" s="19">
        <v>0</v>
      </c>
      <c r="Y87" s="19">
        <v>0</v>
      </c>
      <c r="Z87" s="20">
        <f t="shared" si="77"/>
        <v>0</v>
      </c>
      <c r="AA87" s="15" t="e">
        <f t="shared" si="76"/>
        <v>#DIV/0!</v>
      </c>
      <c r="AB87" s="15" t="e">
        <f t="shared" si="92"/>
        <v>#DIV/0!</v>
      </c>
      <c r="AC87" s="15" t="e">
        <f t="shared" si="92"/>
        <v>#DIV/0!</v>
      </c>
      <c r="AD87" s="20">
        <f t="shared" si="78"/>
        <v>5.235602094240838E-3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 t="e">
        <f>V87/J87</f>
        <v>#DIV/0!</v>
      </c>
      <c r="AY87" s="15" t="e">
        <f t="shared" si="98"/>
        <v>#DIV/0!</v>
      </c>
      <c r="AZ87" s="15" t="e">
        <f t="shared" si="85"/>
        <v>#DIV/0!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3">
        <v>1514.34</v>
      </c>
      <c r="E88" s="53">
        <v>43.217700000000001</v>
      </c>
      <c r="F88" s="53"/>
      <c r="G88" s="53"/>
      <c r="H88" s="53"/>
      <c r="I88" s="53"/>
      <c r="J88" s="53"/>
      <c r="K88" s="10">
        <v>0</v>
      </c>
      <c r="L88" s="10">
        <v>0</v>
      </c>
      <c r="M88" s="10">
        <v>0</v>
      </c>
      <c r="N88" s="11">
        <f t="shared" si="75"/>
        <v>0</v>
      </c>
      <c r="P88" s="55">
        <v>1514.1</v>
      </c>
      <c r="Q88" s="55">
        <v>43.2104</v>
      </c>
      <c r="R88" s="55"/>
      <c r="S88" s="55"/>
      <c r="T88" s="55"/>
      <c r="U88" s="55"/>
      <c r="V88" s="55"/>
      <c r="W88" s="10">
        <v>0</v>
      </c>
      <c r="X88" s="10">
        <v>0</v>
      </c>
      <c r="Y88" s="10">
        <v>0</v>
      </c>
      <c r="Z88" s="11">
        <f t="shared" si="77"/>
        <v>0</v>
      </c>
      <c r="AA88" s="15" t="e">
        <f t="shared" si="76"/>
        <v>#DIV/0!</v>
      </c>
      <c r="AB88" s="15" t="e">
        <f t="shared" si="92"/>
        <v>#DIV/0!</v>
      </c>
      <c r="AC88" s="15" t="e">
        <f t="shared" si="92"/>
        <v>#DIV/0!</v>
      </c>
      <c r="AD88" s="11">
        <f t="shared" si="78"/>
        <v>1.5848488450414644E-4</v>
      </c>
      <c r="AE88" s="12"/>
      <c r="AF88" s="25">
        <f t="shared" ref="AF88:AK88" si="99">bdRateExtend($D88:$D92,E88:E92,$P88:$P92,Q88:Q92)</f>
        <v>-1.8385112562750994E-3</v>
      </c>
      <c r="AG88" s="30" t="e">
        <f t="shared" si="99"/>
        <v>#VALUE!</v>
      </c>
      <c r="AH88" s="31" t="e">
        <f t="shared" si="99"/>
        <v>#VALUE!</v>
      </c>
      <c r="AI88" s="25" t="e">
        <f t="shared" si="99"/>
        <v>#VALUE!</v>
      </c>
      <c r="AJ88" s="30" t="e">
        <f t="shared" si="99"/>
        <v>#VALUE!</v>
      </c>
      <c r="AK88" s="30" t="e">
        <f t="shared" si="99"/>
        <v>#VALUE!</v>
      </c>
      <c r="AL88" s="45"/>
      <c r="AM88" s="46"/>
      <c r="AN88" s="47"/>
      <c r="AO88" s="46"/>
      <c r="AP88" s="46"/>
      <c r="AQ88" s="47"/>
      <c r="AR88" s="30">
        <f>bdrate($D88:$D91,E88:E91,$P88:$P91,Q88:Q91)</f>
        <v>-5.1599605993313258E-4</v>
      </c>
      <c r="AS88" s="30" t="e">
        <f t="shared" ref="AS88:AW88" si="100">bdrate($D88:$D91,F88:F91,$P88:$P91,R88:R91)</f>
        <v>#VALUE!</v>
      </c>
      <c r="AT88" s="31" t="e">
        <f t="shared" si="100"/>
        <v>#VALUE!</v>
      </c>
      <c r="AU88" s="25" t="e">
        <f t="shared" si="100"/>
        <v>#VALUE!</v>
      </c>
      <c r="AV88" s="30" t="e">
        <f t="shared" si="100"/>
        <v>#VALUE!</v>
      </c>
      <c r="AW88" s="31" t="e">
        <f t="shared" si="100"/>
        <v>#VALUE!</v>
      </c>
      <c r="AX88" s="15"/>
      <c r="AY88" s="15"/>
      <c r="AZ88" s="15"/>
      <c r="BA88" s="15" t="e">
        <f>V88/J88</f>
        <v>#DIV/0!</v>
      </c>
      <c r="BB88" s="15" t="e">
        <f t="shared" ref="BB88:BB91" si="101">X88/L88</f>
        <v>#DIV/0!</v>
      </c>
      <c r="BC88" s="15" t="e">
        <f t="shared" si="82"/>
        <v>#DIV/0!</v>
      </c>
    </row>
    <row r="89" spans="1:55" ht="15" x14ac:dyDescent="0.2">
      <c r="A89" s="13"/>
      <c r="B89" s="13"/>
      <c r="C89" s="43">
        <v>27</v>
      </c>
      <c r="D89" s="53">
        <v>1001.52</v>
      </c>
      <c r="E89" s="53">
        <v>39.125100000000003</v>
      </c>
      <c r="F89" s="53"/>
      <c r="G89" s="53"/>
      <c r="H89" s="53"/>
      <c r="I89" s="53"/>
      <c r="J89" s="53"/>
      <c r="K89" s="15">
        <v>0</v>
      </c>
      <c r="L89" s="15">
        <v>0</v>
      </c>
      <c r="M89" s="15">
        <v>0</v>
      </c>
      <c r="N89" s="16">
        <f t="shared" si="75"/>
        <v>0</v>
      </c>
      <c r="P89" s="55">
        <v>1001.88</v>
      </c>
      <c r="Q89" s="55">
        <v>39.121400000000001</v>
      </c>
      <c r="R89" s="55"/>
      <c r="S89" s="55"/>
      <c r="T89" s="55"/>
      <c r="U89" s="55"/>
      <c r="V89" s="55"/>
      <c r="W89" s="15">
        <v>0</v>
      </c>
      <c r="X89" s="15">
        <v>0</v>
      </c>
      <c r="Y89" s="15">
        <v>0</v>
      </c>
      <c r="Z89" s="16">
        <f t="shared" si="77"/>
        <v>0</v>
      </c>
      <c r="AA89" s="15" t="e">
        <f t="shared" si="76"/>
        <v>#DIV/0!</v>
      </c>
      <c r="AB89" s="15" t="e">
        <f t="shared" si="92"/>
        <v>#DIV/0!</v>
      </c>
      <c r="AC89" s="15" t="e">
        <f t="shared" si="92"/>
        <v>#DIV/0!</v>
      </c>
      <c r="AD89" s="16">
        <f t="shared" si="78"/>
        <v>3.5945363048168149E-4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-2.8178826173542726E-3</v>
      </c>
      <c r="AM89" s="21" t="e">
        <f>bdrate($D89:$D92,F89:F92,$P89:$P92,R89:R92)</f>
        <v>#VALUE!</v>
      </c>
      <c r="AN89" s="36" t="e">
        <f t="shared" ref="AN89" si="102">bdrate($D89:$D92,G89:G92,$P89:$P92,S89:S92)</f>
        <v>#VALUE!</v>
      </c>
      <c r="AO89" s="26" t="e">
        <f>bdrate($D89:$D92,H89:H92,$P89:$P92,T89:T92)</f>
        <v>#VALUE!</v>
      </c>
      <c r="AP89" s="21" t="e">
        <f>bdrate($D89:$D92,I89:I92,$P89:$P92,U89:U92)</f>
        <v>#VALUE!</v>
      </c>
      <c r="AQ89" s="36" t="e">
        <f>bdrate($D89:$D92,J89:J92,$P89:$P92,V89:V92)</f>
        <v>#VALUE!</v>
      </c>
      <c r="AR89" s="21"/>
      <c r="AS89" s="21"/>
      <c r="AT89" s="36"/>
      <c r="AU89" s="26"/>
      <c r="AV89" s="21"/>
      <c r="AW89" s="36"/>
      <c r="AX89" s="15" t="e">
        <f>V89/J89</f>
        <v>#DIV/0!</v>
      </c>
      <c r="AY89" s="15" t="e">
        <f t="shared" ref="AY89:AY92" si="103">X89/L89</f>
        <v>#DIV/0!</v>
      </c>
      <c r="AZ89" s="15" t="e">
        <f t="shared" si="85"/>
        <v>#DIV/0!</v>
      </c>
      <c r="BA89" s="15" t="e">
        <f>V89/J89</f>
        <v>#DIV/0!</v>
      </c>
      <c r="BB89" s="15" t="e">
        <f t="shared" si="101"/>
        <v>#DIV/0!</v>
      </c>
      <c r="BC89" s="15" t="e">
        <f t="shared" si="82"/>
        <v>#DIV/0!</v>
      </c>
    </row>
    <row r="90" spans="1:55" ht="15" x14ac:dyDescent="0.2">
      <c r="A90" s="13"/>
      <c r="B90" s="13"/>
      <c r="C90" s="43">
        <v>32</v>
      </c>
      <c r="D90" s="53">
        <v>625.91999999999996</v>
      </c>
      <c r="E90" s="53">
        <v>35.369999999999997</v>
      </c>
      <c r="F90" s="53"/>
      <c r="G90" s="53"/>
      <c r="H90" s="53"/>
      <c r="I90" s="53"/>
      <c r="J90" s="53"/>
      <c r="K90" s="15">
        <v>0</v>
      </c>
      <c r="L90" s="15">
        <v>0</v>
      </c>
      <c r="M90" s="15">
        <v>0</v>
      </c>
      <c r="N90" s="16">
        <f t="shared" si="75"/>
        <v>0</v>
      </c>
      <c r="P90" s="55">
        <v>625.14</v>
      </c>
      <c r="Q90" s="55">
        <v>35.366399999999999</v>
      </c>
      <c r="R90" s="55"/>
      <c r="S90" s="55"/>
      <c r="T90" s="55"/>
      <c r="U90" s="55"/>
      <c r="V90" s="55"/>
      <c r="W90" s="15">
        <v>0</v>
      </c>
      <c r="X90" s="15">
        <v>0</v>
      </c>
      <c r="Y90" s="15">
        <v>0</v>
      </c>
      <c r="Z90" s="16">
        <f t="shared" si="77"/>
        <v>0</v>
      </c>
      <c r="AA90" s="15" t="e">
        <f t="shared" si="76"/>
        <v>#DIV/0!</v>
      </c>
      <c r="AB90" s="15" t="e">
        <f t="shared" si="92"/>
        <v>#DIV/0!</v>
      </c>
      <c r="AC90" s="15" t="e">
        <f t="shared" si="92"/>
        <v>#DIV/0!</v>
      </c>
      <c r="AD90" s="16">
        <f t="shared" si="78"/>
        <v>1.2461656441717357E-3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 t="e">
        <f>V90/J90</f>
        <v>#DIV/0!</v>
      </c>
      <c r="AY90" s="15" t="e">
        <f t="shared" si="103"/>
        <v>#DIV/0!</v>
      </c>
      <c r="AZ90" s="15" t="e">
        <f t="shared" si="85"/>
        <v>#DIV/0!</v>
      </c>
      <c r="BA90" s="15" t="e">
        <f>V90/J90</f>
        <v>#DIV/0!</v>
      </c>
      <c r="BB90" s="15" t="e">
        <f t="shared" si="101"/>
        <v>#DIV/0!</v>
      </c>
      <c r="BC90" s="15" t="e">
        <f t="shared" si="82"/>
        <v>#DIV/0!</v>
      </c>
    </row>
    <row r="91" spans="1:55" ht="15" x14ac:dyDescent="0.2">
      <c r="A91" s="13"/>
      <c r="B91" s="13"/>
      <c r="C91" s="43">
        <v>37</v>
      </c>
      <c r="D91" s="53">
        <v>387.24</v>
      </c>
      <c r="E91" s="53">
        <v>32.049500000000002</v>
      </c>
      <c r="F91" s="53"/>
      <c r="G91" s="53"/>
      <c r="H91" s="53"/>
      <c r="I91" s="53"/>
      <c r="J91" s="53"/>
      <c r="K91" s="15">
        <v>0</v>
      </c>
      <c r="L91" s="15">
        <v>0</v>
      </c>
      <c r="M91" s="15">
        <v>0</v>
      </c>
      <c r="N91" s="16">
        <f t="shared" si="75"/>
        <v>0</v>
      </c>
      <c r="P91" s="55">
        <v>383.7</v>
      </c>
      <c r="Q91" s="55">
        <v>32.028399999999998</v>
      </c>
      <c r="R91" s="55"/>
      <c r="S91" s="55"/>
      <c r="T91" s="55"/>
      <c r="U91" s="55"/>
      <c r="V91" s="55"/>
      <c r="W91" s="15">
        <v>0</v>
      </c>
      <c r="X91" s="15">
        <v>0</v>
      </c>
      <c r="Y91" s="15">
        <v>0</v>
      </c>
      <c r="Z91" s="16">
        <f t="shared" si="77"/>
        <v>0</v>
      </c>
      <c r="AA91" s="15" t="e">
        <f t="shared" si="76"/>
        <v>#DIV/0!</v>
      </c>
      <c r="AB91" s="15" t="e">
        <f t="shared" si="92"/>
        <v>#DIV/0!</v>
      </c>
      <c r="AC91" s="15" t="e">
        <f t="shared" si="92"/>
        <v>#DIV/0!</v>
      </c>
      <c r="AD91" s="16">
        <f t="shared" si="78"/>
        <v>9.1416176014875016E-3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 t="e">
        <f>V91/J91</f>
        <v>#DIV/0!</v>
      </c>
      <c r="AY91" s="15" t="e">
        <f t="shared" si="103"/>
        <v>#DIV/0!</v>
      </c>
      <c r="AZ91" s="15" t="e">
        <f t="shared" si="85"/>
        <v>#DIV/0!</v>
      </c>
      <c r="BA91" s="15" t="e">
        <f>V91/J91</f>
        <v>#DIV/0!</v>
      </c>
      <c r="BB91" s="15" t="e">
        <f t="shared" si="101"/>
        <v>#DIV/0!</v>
      </c>
      <c r="BC91" s="15" t="e">
        <f t="shared" si="82"/>
        <v>#DIV/0!</v>
      </c>
    </row>
    <row r="92" spans="1:55" ht="15.75" thickBot="1" x14ac:dyDescent="0.25">
      <c r="A92" s="13"/>
      <c r="B92" s="17"/>
      <c r="C92" s="44">
        <v>42</v>
      </c>
      <c r="D92" s="53">
        <v>220.98</v>
      </c>
      <c r="E92" s="53">
        <v>28.561900000000001</v>
      </c>
      <c r="F92" s="53"/>
      <c r="G92" s="53"/>
      <c r="H92" s="53"/>
      <c r="I92" s="53"/>
      <c r="J92" s="53"/>
      <c r="K92" s="19">
        <v>0</v>
      </c>
      <c r="L92" s="19">
        <v>0</v>
      </c>
      <c r="M92" s="19">
        <v>0</v>
      </c>
      <c r="N92" s="20">
        <f t="shared" si="75"/>
        <v>0</v>
      </c>
      <c r="P92" s="55">
        <v>220.02</v>
      </c>
      <c r="Q92" s="55">
        <v>28.560400000000001</v>
      </c>
      <c r="R92" s="55"/>
      <c r="S92" s="55"/>
      <c r="T92" s="55"/>
      <c r="U92" s="55"/>
      <c r="V92" s="55"/>
      <c r="W92" s="19">
        <v>0</v>
      </c>
      <c r="X92" s="19">
        <v>0</v>
      </c>
      <c r="Y92" s="19">
        <v>0</v>
      </c>
      <c r="Z92" s="20">
        <f t="shared" si="77"/>
        <v>0</v>
      </c>
      <c r="AA92" s="15" t="e">
        <f t="shared" si="76"/>
        <v>#DIV/0!</v>
      </c>
      <c r="AB92" s="15" t="e">
        <f t="shared" si="92"/>
        <v>#DIV/0!</v>
      </c>
      <c r="AC92" s="15" t="e">
        <f t="shared" si="92"/>
        <v>#DIV/0!</v>
      </c>
      <c r="AD92" s="20">
        <f t="shared" si="78"/>
        <v>4.3442845506379748E-3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 t="e">
        <f>V92/J92</f>
        <v>#DIV/0!</v>
      </c>
      <c r="AY92" s="15" t="e">
        <f t="shared" si="103"/>
        <v>#DIV/0!</v>
      </c>
      <c r="AZ92" s="15" t="e">
        <f t="shared" si="85"/>
        <v>#DIV/0!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3">
        <v>614.88</v>
      </c>
      <c r="E93" s="53">
        <v>43.572299999999998</v>
      </c>
      <c r="F93" s="53"/>
      <c r="G93" s="53"/>
      <c r="H93" s="53"/>
      <c r="I93" s="53"/>
      <c r="J93" s="53"/>
      <c r="K93" s="10">
        <v>0</v>
      </c>
      <c r="L93" s="10">
        <v>0</v>
      </c>
      <c r="M93" s="10">
        <v>0</v>
      </c>
      <c r="N93" s="11">
        <f t="shared" si="75"/>
        <v>0</v>
      </c>
      <c r="P93" s="55">
        <v>616.32000000000005</v>
      </c>
      <c r="Q93" s="55">
        <v>43.5732</v>
      </c>
      <c r="R93" s="55"/>
      <c r="S93" s="55"/>
      <c r="T93" s="55"/>
      <c r="U93" s="55"/>
      <c r="V93" s="55"/>
      <c r="W93" s="10">
        <v>0</v>
      </c>
      <c r="X93" s="10">
        <v>0</v>
      </c>
      <c r="Y93" s="10">
        <v>0</v>
      </c>
      <c r="Z93" s="11">
        <f t="shared" si="77"/>
        <v>0</v>
      </c>
      <c r="AA93" s="15" t="e">
        <f t="shared" si="76"/>
        <v>#DIV/0!</v>
      </c>
      <c r="AB93" s="15" t="e">
        <f t="shared" si="92"/>
        <v>#DIV/0!</v>
      </c>
      <c r="AC93" s="15" t="e">
        <f t="shared" si="92"/>
        <v>#DIV/0!</v>
      </c>
      <c r="AD93" s="11" t="e">
        <f>ABS(#REF!-D93)/D93</f>
        <v>#REF!</v>
      </c>
      <c r="AE93" s="12"/>
      <c r="AF93" s="25">
        <f>bdRateExtend($D93:$D97,E93:E97,$P93:$P97,Q93:Q97)</f>
        <v>-5.7165452313323595E-4</v>
      </c>
      <c r="AG93" s="30" t="e">
        <f>bdRateExtend($D93:$D97,F93:F97,#REF!,R93:R97)</f>
        <v>#VALUE!</v>
      </c>
      <c r="AH93" s="31" t="e">
        <f>bdRateExtend($D93:$D97,G93:G97,#REF!,S93:S97)</f>
        <v>#VALUE!</v>
      </c>
      <c r="AI93" s="25" t="e">
        <f>bdRateExtend($D93:$D97,H93:H97,#REF!,T93:T97)</f>
        <v>#VALUE!</v>
      </c>
      <c r="AJ93" s="30" t="e">
        <f>bdRateExtend($D93:$D97,I93:I97,#REF!,U93:U97)</f>
        <v>#VALUE!</v>
      </c>
      <c r="AK93" s="30" t="e">
        <f>bdRateExtend($D93:$D97,J93:J97,#REF!,V93:V97)</f>
        <v>#VALUE!</v>
      </c>
      <c r="AL93" s="26"/>
      <c r="AM93" s="21"/>
      <c r="AN93" s="36"/>
      <c r="AO93" s="21"/>
      <c r="AP93" s="21"/>
      <c r="AQ93" s="36"/>
      <c r="AR93" s="30">
        <f t="shared" ref="AR93" si="104">bdrate($D93:$D96,E93:E96,$P93:$P96,Q93:Q96)</f>
        <v>-8.5064058347406046E-5</v>
      </c>
      <c r="AS93" s="30" t="e">
        <f>bdrate($D93:$D96,F93:F96,#REF!,R93:R96)</f>
        <v>#VALUE!</v>
      </c>
      <c r="AT93" s="31" t="e">
        <f>bdrate($D93:$D96,G93:G96,#REF!,S93:S96)</f>
        <v>#VALUE!</v>
      </c>
      <c r="AU93" s="25" t="e">
        <f>bdrate($D93:$D96,H93:H96,#REF!,T93:T96)</f>
        <v>#VALUE!</v>
      </c>
      <c r="AV93" s="30" t="e">
        <f>bdrate($D93:$D96,I93:I96,#REF!,U93:U96)</f>
        <v>#VALUE!</v>
      </c>
      <c r="AW93" s="31" t="e">
        <f>bdrate($D93:$D96,J93:J96,#REF!,V93:V96)</f>
        <v>#VALUE!</v>
      </c>
      <c r="AX93" s="15"/>
      <c r="AY93" s="15"/>
      <c r="AZ93" s="15"/>
      <c r="BA93" s="15" t="e">
        <f>V93/J93</f>
        <v>#DIV/0!</v>
      </c>
      <c r="BB93" s="15" t="e">
        <f t="shared" ref="BB93:BB96" si="105">X93/L93</f>
        <v>#DIV/0!</v>
      </c>
      <c r="BC93" s="15" t="e">
        <f t="shared" si="82"/>
        <v>#DIV/0!</v>
      </c>
    </row>
    <row r="94" spans="1:55" ht="15" x14ac:dyDescent="0.2">
      <c r="A94" s="13"/>
      <c r="B94" s="13"/>
      <c r="C94" s="43">
        <v>27</v>
      </c>
      <c r="D94" s="53">
        <v>381.78</v>
      </c>
      <c r="E94" s="53">
        <v>39.499299999999998</v>
      </c>
      <c r="F94" s="53"/>
      <c r="G94" s="53"/>
      <c r="H94" s="53"/>
      <c r="I94" s="53"/>
      <c r="J94" s="53"/>
      <c r="K94" s="15">
        <v>0</v>
      </c>
      <c r="L94" s="15">
        <v>0</v>
      </c>
      <c r="M94" s="15">
        <v>0</v>
      </c>
      <c r="N94" s="16">
        <f t="shared" si="75"/>
        <v>0</v>
      </c>
      <c r="P94" s="55">
        <v>383.76</v>
      </c>
      <c r="Q94" s="55">
        <v>39.561100000000003</v>
      </c>
      <c r="R94" s="55"/>
      <c r="S94" s="55"/>
      <c r="T94" s="55"/>
      <c r="U94" s="55"/>
      <c r="V94" s="55"/>
      <c r="W94" s="15">
        <v>0</v>
      </c>
      <c r="X94" s="15">
        <v>0</v>
      </c>
      <c r="Y94" s="15">
        <v>0</v>
      </c>
      <c r="Z94" s="16">
        <f t="shared" si="77"/>
        <v>0</v>
      </c>
      <c r="AA94" s="15" t="e">
        <f t="shared" si="76"/>
        <v>#DIV/0!</v>
      </c>
      <c r="AB94" s="15" t="e">
        <f t="shared" si="92"/>
        <v>#DIV/0!</v>
      </c>
      <c r="AC94" s="15" t="e">
        <f t="shared" si="92"/>
        <v>#DIV/0!</v>
      </c>
      <c r="AD94" s="16" t="e">
        <f>ABS(#REF!-D94)/D94</f>
        <v>#REF!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2.9524127522928545E-4</v>
      </c>
      <c r="AM94" s="21" t="e">
        <f>bdrate($D94:$D97,F94:F97,#REF!,R94:R97)</f>
        <v>#VALUE!</v>
      </c>
      <c r="AN94" s="36" t="e">
        <f>bdrate($D94:$D97,G94:G97,#REF!,S94:S97)</f>
        <v>#VALUE!</v>
      </c>
      <c r="AO94" s="26" t="e">
        <f>bdrate($D94:$D97,H94:H97,#REF!,T94:T97)</f>
        <v>#VALUE!</v>
      </c>
      <c r="AP94" s="21" t="e">
        <f>bdrate($D94:$D97,I94:I97,#REF!,U94:U97)</f>
        <v>#VALUE!</v>
      </c>
      <c r="AQ94" s="36" t="e">
        <f>bdrate($D94:$D97,J94:J97,#REF!,V94:V97)</f>
        <v>#VALUE!</v>
      </c>
      <c r="AR94" s="21"/>
      <c r="AS94" s="21"/>
      <c r="AT94" s="36"/>
      <c r="AU94" s="26"/>
      <c r="AV94" s="21"/>
      <c r="AW94" s="36"/>
      <c r="AX94" s="15" t="e">
        <f>V94/J94</f>
        <v>#DIV/0!</v>
      </c>
      <c r="AY94" s="15" t="e">
        <f t="shared" ref="AY94:AY97" si="106">X94/L94</f>
        <v>#DIV/0!</v>
      </c>
      <c r="AZ94" s="15" t="e">
        <f t="shared" si="85"/>
        <v>#DIV/0!</v>
      </c>
      <c r="BA94" s="15" t="e">
        <f>V94/J94</f>
        <v>#DIV/0!</v>
      </c>
      <c r="BB94" s="15" t="e">
        <f t="shared" si="105"/>
        <v>#DIV/0!</v>
      </c>
      <c r="BC94" s="15" t="e">
        <f t="shared" si="82"/>
        <v>#DIV/0!</v>
      </c>
    </row>
    <row r="95" spans="1:55" ht="15" x14ac:dyDescent="0.2">
      <c r="A95" s="13"/>
      <c r="B95" s="13"/>
      <c r="C95" s="43">
        <v>32</v>
      </c>
      <c r="D95" s="53">
        <v>223.32</v>
      </c>
      <c r="E95" s="53">
        <v>35.868400000000001</v>
      </c>
      <c r="F95" s="53"/>
      <c r="G95" s="53"/>
      <c r="H95" s="53"/>
      <c r="I95" s="53"/>
      <c r="J95" s="53"/>
      <c r="K95" s="15">
        <v>0</v>
      </c>
      <c r="L95" s="15">
        <v>0</v>
      </c>
      <c r="M95" s="15">
        <v>0</v>
      </c>
      <c r="N95" s="16">
        <f t="shared" si="75"/>
        <v>0</v>
      </c>
      <c r="P95" s="55">
        <v>223.08</v>
      </c>
      <c r="Q95" s="55">
        <v>35.840800000000002</v>
      </c>
      <c r="R95" s="55"/>
      <c r="S95" s="55"/>
      <c r="T95" s="55"/>
      <c r="U95" s="55"/>
      <c r="V95" s="55"/>
      <c r="W95" s="15">
        <v>0</v>
      </c>
      <c r="X95" s="15">
        <v>0</v>
      </c>
      <c r="Y95" s="15">
        <v>0</v>
      </c>
      <c r="Z95" s="16">
        <f t="shared" si="77"/>
        <v>0</v>
      </c>
      <c r="AA95" s="15" t="e">
        <f t="shared" si="76"/>
        <v>#DIV/0!</v>
      </c>
      <c r="AB95" s="15" t="e">
        <f t="shared" si="92"/>
        <v>#DIV/0!</v>
      </c>
      <c r="AC95" s="15" t="e">
        <f t="shared" si="92"/>
        <v>#DIV/0!</v>
      </c>
      <c r="AD95" s="16" t="e">
        <f>ABS(#REF!-D95)/D95</f>
        <v>#REF!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 t="e">
        <f>V95/J95</f>
        <v>#DIV/0!</v>
      </c>
      <c r="AY95" s="15" t="e">
        <f t="shared" si="106"/>
        <v>#DIV/0!</v>
      </c>
      <c r="AZ95" s="15" t="e">
        <f t="shared" si="85"/>
        <v>#DIV/0!</v>
      </c>
      <c r="BA95" s="15" t="e">
        <f>V95/J95</f>
        <v>#DIV/0!</v>
      </c>
      <c r="BB95" s="15" t="e">
        <f t="shared" si="105"/>
        <v>#DIV/0!</v>
      </c>
      <c r="BC95" s="15" t="e">
        <f t="shared" si="82"/>
        <v>#DIV/0!</v>
      </c>
    </row>
    <row r="96" spans="1:55" ht="15" x14ac:dyDescent="0.2">
      <c r="A96" s="13"/>
      <c r="B96" s="13"/>
      <c r="C96" s="43">
        <v>37</v>
      </c>
      <c r="D96" s="53">
        <v>121.17</v>
      </c>
      <c r="E96" s="53">
        <v>32.674900000000001</v>
      </c>
      <c r="F96" s="53"/>
      <c r="G96" s="53"/>
      <c r="H96" s="53"/>
      <c r="I96" s="53"/>
      <c r="J96" s="53"/>
      <c r="K96" s="15">
        <v>0</v>
      </c>
      <c r="L96" s="15">
        <v>0</v>
      </c>
      <c r="M96" s="15">
        <v>0</v>
      </c>
      <c r="N96" s="16">
        <f t="shared" si="75"/>
        <v>0</v>
      </c>
      <c r="P96" s="55">
        <v>120.78</v>
      </c>
      <c r="Q96" s="55">
        <v>32.677100000000003</v>
      </c>
      <c r="R96" s="55"/>
      <c r="S96" s="55"/>
      <c r="T96" s="55"/>
      <c r="U96" s="55"/>
      <c r="V96" s="55"/>
      <c r="W96" s="15">
        <v>0</v>
      </c>
      <c r="X96" s="15">
        <v>0</v>
      </c>
      <c r="Y96" s="15">
        <v>0</v>
      </c>
      <c r="Z96" s="16">
        <f t="shared" si="77"/>
        <v>0</v>
      </c>
      <c r="AA96" s="15" t="e">
        <f t="shared" si="76"/>
        <v>#DIV/0!</v>
      </c>
      <c r="AB96" s="15" t="e">
        <f t="shared" si="92"/>
        <v>#DIV/0!</v>
      </c>
      <c r="AC96" s="15" t="e">
        <f t="shared" si="92"/>
        <v>#DIV/0!</v>
      </c>
      <c r="AD96" s="16" t="e">
        <f>ABS(#REF!-D96)/D96</f>
        <v>#REF!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 t="e">
        <f>V96/J96</f>
        <v>#DIV/0!</v>
      </c>
      <c r="AY96" s="15" t="e">
        <f t="shared" si="106"/>
        <v>#DIV/0!</v>
      </c>
      <c r="AZ96" s="15" t="e">
        <f t="shared" si="85"/>
        <v>#DIV/0!</v>
      </c>
      <c r="BA96" s="15" t="e">
        <f>V96/J96</f>
        <v>#DIV/0!</v>
      </c>
      <c r="BB96" s="15" t="e">
        <f t="shared" si="105"/>
        <v>#DIV/0!</v>
      </c>
      <c r="BC96" s="15" t="e">
        <f t="shared" si="82"/>
        <v>#DIV/0!</v>
      </c>
    </row>
    <row r="97" spans="1:55" ht="15.75" thickBot="1" x14ac:dyDescent="0.25">
      <c r="A97" s="17"/>
      <c r="B97" s="17"/>
      <c r="C97" s="44">
        <v>42</v>
      </c>
      <c r="D97" s="53">
        <v>67.2</v>
      </c>
      <c r="E97" s="53">
        <v>29.976800000000001</v>
      </c>
      <c r="F97" s="53"/>
      <c r="G97" s="53"/>
      <c r="H97" s="53"/>
      <c r="I97" s="53"/>
      <c r="J97" s="53"/>
      <c r="K97" s="19">
        <v>0</v>
      </c>
      <c r="L97" s="19">
        <v>0</v>
      </c>
      <c r="M97" s="19">
        <v>0</v>
      </c>
      <c r="N97" s="20">
        <f t="shared" si="75"/>
        <v>0</v>
      </c>
      <c r="P97" s="55">
        <v>67.08</v>
      </c>
      <c r="Q97" s="55">
        <v>29.954799999999999</v>
      </c>
      <c r="R97" s="55"/>
      <c r="S97" s="55"/>
      <c r="T97" s="55"/>
      <c r="U97" s="55"/>
      <c r="V97" s="55"/>
      <c r="W97" s="19">
        <v>0</v>
      </c>
      <c r="X97" s="19">
        <v>0</v>
      </c>
      <c r="Y97" s="19">
        <v>0</v>
      </c>
      <c r="Z97" s="20">
        <f t="shared" si="77"/>
        <v>0</v>
      </c>
      <c r="AA97" s="19" t="e">
        <f t="shared" si="76"/>
        <v>#DIV/0!</v>
      </c>
      <c r="AB97" s="19" t="e">
        <f t="shared" si="92"/>
        <v>#DIV/0!</v>
      </c>
      <c r="AC97" s="19" t="e">
        <f t="shared" si="92"/>
        <v>#DIV/0!</v>
      </c>
      <c r="AD97" s="20" t="e">
        <f>ABS(#REF!-D97)/D97</f>
        <v>#REF!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 t="e">
        <f>V97/J97</f>
        <v>#DIV/0!</v>
      </c>
      <c r="AY97" s="19" t="e">
        <f t="shared" si="106"/>
        <v>#DIV/0!</v>
      </c>
      <c r="AZ97" s="19" t="e">
        <f t="shared" si="85"/>
        <v>#DIV/0!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3">
        <v>3393.9</v>
      </c>
      <c r="E98" s="53">
        <v>45.5886</v>
      </c>
      <c r="F98" s="53"/>
      <c r="G98" s="53"/>
      <c r="H98" s="53"/>
      <c r="I98" s="53"/>
      <c r="J98" s="53"/>
      <c r="K98" s="10">
        <v>0</v>
      </c>
      <c r="L98" s="10">
        <v>0</v>
      </c>
      <c r="M98" s="10">
        <v>0</v>
      </c>
      <c r="N98" s="11">
        <f t="shared" si="75"/>
        <v>0</v>
      </c>
      <c r="P98" s="55">
        <v>3392.88</v>
      </c>
      <c r="Q98" s="55">
        <v>45.575000000000003</v>
      </c>
      <c r="R98" s="55"/>
      <c r="S98" s="55"/>
      <c r="T98" s="55"/>
      <c r="U98" s="55"/>
      <c r="V98" s="55"/>
      <c r="W98" s="10">
        <v>0</v>
      </c>
      <c r="X98" s="10">
        <v>0</v>
      </c>
      <c r="Y98" s="10">
        <v>0</v>
      </c>
      <c r="Z98" s="11">
        <f t="shared" si="77"/>
        <v>0</v>
      </c>
      <c r="AA98" s="10" t="e">
        <f t="shared" si="76"/>
        <v>#DIV/0!</v>
      </c>
      <c r="AB98" s="10" t="e">
        <f>X98/L98</f>
        <v>#DIV/0!</v>
      </c>
      <c r="AC98" s="10" t="e">
        <f>Y98/M98</f>
        <v>#DIV/0!</v>
      </c>
      <c r="AD98" s="11">
        <f t="shared" si="78"/>
        <v>3.005392026871687E-4</v>
      </c>
      <c r="AE98" s="40"/>
      <c r="AF98" s="25">
        <f t="shared" ref="AF98:AK98" si="107">bdRateExtend($D98:$D102,E98:E102,$P98:$P102,Q98:Q102)</f>
        <v>1.092291028302661E-3</v>
      </c>
      <c r="AG98" s="30" t="e">
        <f t="shared" si="107"/>
        <v>#VALUE!</v>
      </c>
      <c r="AH98" s="31" t="e">
        <f t="shared" si="107"/>
        <v>#VALUE!</v>
      </c>
      <c r="AI98" s="25" t="e">
        <f t="shared" si="107"/>
        <v>#VALUE!</v>
      </c>
      <c r="AJ98" s="30" t="e">
        <f t="shared" si="107"/>
        <v>#VALUE!</v>
      </c>
      <c r="AK98" s="30" t="e">
        <f t="shared" si="107"/>
        <v>#VALUE!</v>
      </c>
      <c r="AL98" s="45"/>
      <c r="AM98" s="46"/>
      <c r="AN98" s="47"/>
      <c r="AO98" s="46"/>
      <c r="AP98" s="46"/>
      <c r="AQ98" s="47"/>
      <c r="AR98" s="30">
        <f t="shared" ref="AR98:AW98" si="108">bdrate($D98:$D101,E98:E101,$P98:$P101,Q98:Q101)</f>
        <v>9.8643651245367003E-4</v>
      </c>
      <c r="AS98" s="30" t="e">
        <f t="shared" si="108"/>
        <v>#VALUE!</v>
      </c>
      <c r="AT98" s="31" t="e">
        <f t="shared" si="108"/>
        <v>#VALUE!</v>
      </c>
      <c r="AU98" s="25" t="e">
        <f t="shared" si="108"/>
        <v>#VALUE!</v>
      </c>
      <c r="AV98" s="30" t="e">
        <f t="shared" si="108"/>
        <v>#VALUE!</v>
      </c>
      <c r="AW98" s="31" t="e">
        <f t="shared" si="108"/>
        <v>#VALUE!</v>
      </c>
      <c r="AX98" s="10"/>
      <c r="AY98" s="10"/>
      <c r="AZ98" s="10"/>
      <c r="BA98" s="10" t="e">
        <f>V98/J98</f>
        <v>#DIV/0!</v>
      </c>
      <c r="BB98" s="10" t="e">
        <f>X98/L98</f>
        <v>#DIV/0!</v>
      </c>
      <c r="BC98" s="10" t="e">
        <f t="shared" ref="BC98:BC101" si="109">Z98/N98</f>
        <v>#DIV/0!</v>
      </c>
    </row>
    <row r="99" spans="1:55" ht="15" x14ac:dyDescent="0.2">
      <c r="A99" s="13" t="s">
        <v>24</v>
      </c>
      <c r="B99" s="13"/>
      <c r="C99" s="43">
        <v>27</v>
      </c>
      <c r="D99" s="53">
        <v>2070.96</v>
      </c>
      <c r="E99" s="53">
        <v>43.236499999999999</v>
      </c>
      <c r="F99" s="53"/>
      <c r="G99" s="53"/>
      <c r="H99" s="53"/>
      <c r="I99" s="53"/>
      <c r="J99" s="53"/>
      <c r="K99" s="15">
        <v>0</v>
      </c>
      <c r="L99" s="15">
        <v>0</v>
      </c>
      <c r="M99" s="15">
        <v>0</v>
      </c>
      <c r="N99" s="16">
        <f t="shared" si="75"/>
        <v>0</v>
      </c>
      <c r="P99" s="55">
        <v>2068.7399999999998</v>
      </c>
      <c r="Q99" s="55">
        <v>43.2273</v>
      </c>
      <c r="R99" s="55"/>
      <c r="S99" s="55"/>
      <c r="T99" s="55"/>
      <c r="U99" s="55"/>
      <c r="V99" s="55"/>
      <c r="W99" s="15">
        <v>0</v>
      </c>
      <c r="X99" s="15">
        <v>0</v>
      </c>
      <c r="Y99" s="15">
        <v>0</v>
      </c>
      <c r="Z99" s="16">
        <f t="shared" si="77"/>
        <v>0</v>
      </c>
      <c r="AA99" s="15" t="e">
        <f t="shared" si="76"/>
        <v>#DIV/0!</v>
      </c>
      <c r="AB99" s="15" t="e">
        <f t="shared" ref="AB99:AC112" si="110">X99/L99</f>
        <v>#DIV/0!</v>
      </c>
      <c r="AC99" s="15" t="e">
        <f t="shared" si="110"/>
        <v>#DIV/0!</v>
      </c>
      <c r="AD99" s="16">
        <f t="shared" si="78"/>
        <v>1.0719666241744189E-3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1.029278235187725E-3</v>
      </c>
      <c r="AM99" s="21" t="e">
        <f>bdrate($D99:$D102,F99:F102,$P99:$P102,R99:R102)</f>
        <v>#VALUE!</v>
      </c>
      <c r="AN99" s="36" t="e">
        <f t="shared" ref="AN99" si="111">bdrate($D99:$D102,G99:G102,$P99:$P102,S99:S102)</f>
        <v>#VALUE!</v>
      </c>
      <c r="AO99" s="26" t="e">
        <f>bdrate($D99:$D102,H99:H102,$P99:$P102,T99:T102)</f>
        <v>#VALUE!</v>
      </c>
      <c r="AP99" s="21" t="e">
        <f>bdrate($D99:$D102,I99:I102,$P99:$P102,U99:U102)</f>
        <v>#VALUE!</v>
      </c>
      <c r="AQ99" s="36" t="e">
        <f>bdrate($D99:$D102,J99:J102,$P99:$P102,V99:V102)</f>
        <v>#VALUE!</v>
      </c>
      <c r="AR99" s="21"/>
      <c r="AS99" s="21"/>
      <c r="AT99" s="36"/>
      <c r="AU99" s="26"/>
      <c r="AV99" s="21"/>
      <c r="AW99" s="36"/>
      <c r="AX99" s="15" t="e">
        <f>V99/J99</f>
        <v>#DIV/0!</v>
      </c>
      <c r="AY99" s="15" t="e">
        <f>X99/L99</f>
        <v>#DIV/0!</v>
      </c>
      <c r="AZ99" s="15" t="e">
        <f t="shared" ref="AZ99:AZ102" si="112">Z99/N99</f>
        <v>#DIV/0!</v>
      </c>
      <c r="BA99" s="15" t="e">
        <f>V99/J99</f>
        <v>#DIV/0!</v>
      </c>
      <c r="BB99" s="15" t="e">
        <f>X99/L99</f>
        <v>#DIV/0!</v>
      </c>
      <c r="BC99" s="15" t="e">
        <f t="shared" si="109"/>
        <v>#DIV/0!</v>
      </c>
    </row>
    <row r="100" spans="1:55" ht="15" x14ac:dyDescent="0.2">
      <c r="A100" s="13"/>
      <c r="B100" s="13"/>
      <c r="C100" s="43">
        <v>32</v>
      </c>
      <c r="D100" s="53">
        <v>1285.32</v>
      </c>
      <c r="E100" s="53">
        <v>40.645299999999999</v>
      </c>
      <c r="F100" s="53"/>
      <c r="G100" s="53"/>
      <c r="H100" s="53"/>
      <c r="I100" s="53"/>
      <c r="J100" s="53"/>
      <c r="K100" s="15">
        <v>0</v>
      </c>
      <c r="L100" s="15">
        <v>0</v>
      </c>
      <c r="M100" s="15">
        <v>0</v>
      </c>
      <c r="N100" s="16">
        <f t="shared" si="75"/>
        <v>0</v>
      </c>
      <c r="P100" s="55">
        <v>1281.48</v>
      </c>
      <c r="Q100" s="55">
        <v>40.621400000000001</v>
      </c>
      <c r="R100" s="55"/>
      <c r="S100" s="55"/>
      <c r="T100" s="55"/>
      <c r="U100" s="55"/>
      <c r="V100" s="55"/>
      <c r="W100" s="15">
        <v>0</v>
      </c>
      <c r="X100" s="15">
        <v>0</v>
      </c>
      <c r="Y100" s="15">
        <v>0</v>
      </c>
      <c r="Z100" s="16">
        <f t="shared" si="77"/>
        <v>0</v>
      </c>
      <c r="AA100" s="15" t="e">
        <f t="shared" si="76"/>
        <v>#DIV/0!</v>
      </c>
      <c r="AB100" s="15" t="e">
        <f t="shared" si="110"/>
        <v>#DIV/0!</v>
      </c>
      <c r="AC100" s="15" t="e">
        <f t="shared" si="110"/>
        <v>#DIV/0!</v>
      </c>
      <c r="AD100" s="16">
        <f t="shared" si="78"/>
        <v>2.9875828587432843E-3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 t="e">
        <f>V100/J100</f>
        <v>#DIV/0!</v>
      </c>
      <c r="AY100" s="15" t="e">
        <f>X100/L100</f>
        <v>#DIV/0!</v>
      </c>
      <c r="AZ100" s="15" t="e">
        <f t="shared" si="112"/>
        <v>#DIV/0!</v>
      </c>
      <c r="BA100" s="15" t="e">
        <f>V100/J100</f>
        <v>#DIV/0!</v>
      </c>
      <c r="BB100" s="15" t="e">
        <f>X100/L100</f>
        <v>#DIV/0!</v>
      </c>
      <c r="BC100" s="15" t="e">
        <f t="shared" si="109"/>
        <v>#DIV/0!</v>
      </c>
    </row>
    <row r="101" spans="1:55" ht="15" x14ac:dyDescent="0.2">
      <c r="A101" s="13"/>
      <c r="B101" s="13"/>
      <c r="C101" s="43">
        <v>37</v>
      </c>
      <c r="D101" s="53">
        <v>786.6</v>
      </c>
      <c r="E101" s="53">
        <v>37.745800000000003</v>
      </c>
      <c r="F101" s="53"/>
      <c r="G101" s="53"/>
      <c r="H101" s="53"/>
      <c r="I101" s="53"/>
      <c r="J101" s="53"/>
      <c r="K101" s="15">
        <v>0</v>
      </c>
      <c r="L101" s="15">
        <v>0</v>
      </c>
      <c r="M101" s="15">
        <v>0</v>
      </c>
      <c r="N101" s="16">
        <f t="shared" si="75"/>
        <v>0</v>
      </c>
      <c r="P101" s="55">
        <v>782.16</v>
      </c>
      <c r="Q101" s="55">
        <v>37.713900000000002</v>
      </c>
      <c r="R101" s="55"/>
      <c r="S101" s="55"/>
      <c r="T101" s="55"/>
      <c r="U101" s="55"/>
      <c r="V101" s="55"/>
      <c r="W101" s="15">
        <v>0</v>
      </c>
      <c r="X101" s="15">
        <v>0</v>
      </c>
      <c r="Y101" s="15">
        <v>0</v>
      </c>
      <c r="Z101" s="16">
        <f t="shared" si="77"/>
        <v>0</v>
      </c>
      <c r="AA101" s="15" t="e">
        <f t="shared" si="76"/>
        <v>#DIV/0!</v>
      </c>
      <c r="AB101" s="15" t="e">
        <f t="shared" si="110"/>
        <v>#DIV/0!</v>
      </c>
      <c r="AC101" s="15" t="e">
        <f t="shared" si="110"/>
        <v>#DIV/0!</v>
      </c>
      <c r="AD101" s="16">
        <f t="shared" si="78"/>
        <v>5.6445461479787112E-3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 t="e">
        <f>V101/J101</f>
        <v>#DIV/0!</v>
      </c>
      <c r="AY101" s="15" t="e">
        <f>X101/L101</f>
        <v>#DIV/0!</v>
      </c>
      <c r="AZ101" s="15" t="e">
        <f t="shared" si="112"/>
        <v>#DIV/0!</v>
      </c>
      <c r="BA101" s="15" t="e">
        <f>V101/J101</f>
        <v>#DIV/0!</v>
      </c>
      <c r="BB101" s="15" t="e">
        <f>X101/L101</f>
        <v>#DIV/0!</v>
      </c>
      <c r="BC101" s="15" t="e">
        <f t="shared" si="109"/>
        <v>#DIV/0!</v>
      </c>
    </row>
    <row r="102" spans="1:55" ht="15.75" thickBot="1" x14ac:dyDescent="0.25">
      <c r="A102" s="13"/>
      <c r="B102" s="17"/>
      <c r="C102" s="44">
        <v>42</v>
      </c>
      <c r="D102" s="53">
        <v>460.44</v>
      </c>
      <c r="E102" s="53">
        <v>34.682600000000001</v>
      </c>
      <c r="F102" s="53"/>
      <c r="G102" s="53"/>
      <c r="H102" s="53"/>
      <c r="I102" s="53"/>
      <c r="J102" s="53"/>
      <c r="K102" s="19">
        <v>0</v>
      </c>
      <c r="L102" s="19">
        <v>0</v>
      </c>
      <c r="M102" s="19">
        <v>0</v>
      </c>
      <c r="N102" s="20">
        <f t="shared" si="75"/>
        <v>0</v>
      </c>
      <c r="P102" s="55">
        <v>457.8</v>
      </c>
      <c r="Q102" s="55">
        <v>34.623800000000003</v>
      </c>
      <c r="R102" s="55"/>
      <c r="S102" s="55"/>
      <c r="T102" s="55"/>
      <c r="U102" s="55"/>
      <c r="V102" s="55"/>
      <c r="W102" s="19">
        <v>0</v>
      </c>
      <c r="X102" s="19">
        <v>0</v>
      </c>
      <c r="Y102" s="19">
        <v>0</v>
      </c>
      <c r="Z102" s="20">
        <f t="shared" si="77"/>
        <v>0</v>
      </c>
      <c r="AA102" s="15" t="e">
        <f t="shared" si="76"/>
        <v>#DIV/0!</v>
      </c>
      <c r="AB102" s="15" t="e">
        <f t="shared" si="110"/>
        <v>#DIV/0!</v>
      </c>
      <c r="AC102" s="15" t="e">
        <f t="shared" si="110"/>
        <v>#DIV/0!</v>
      </c>
      <c r="AD102" s="20">
        <f t="shared" si="78"/>
        <v>5.7336460776648123E-3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 t="e">
        <f>V102/J102</f>
        <v>#DIV/0!</v>
      </c>
      <c r="AY102" s="15" t="e">
        <f>X102/L102</f>
        <v>#DIV/0!</v>
      </c>
      <c r="AZ102" s="15" t="e">
        <f t="shared" si="112"/>
        <v>#DIV/0!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3">
        <v>2290.56</v>
      </c>
      <c r="E103" s="53">
        <v>45.890799999999999</v>
      </c>
      <c r="F103" s="53"/>
      <c r="G103" s="53"/>
      <c r="H103" s="53"/>
      <c r="I103" s="53"/>
      <c r="J103" s="53"/>
      <c r="K103" s="10">
        <v>0</v>
      </c>
      <c r="L103" s="10">
        <v>0</v>
      </c>
      <c r="M103" s="10">
        <v>0</v>
      </c>
      <c r="N103" s="11">
        <f t="shared" si="75"/>
        <v>0</v>
      </c>
      <c r="P103" s="55">
        <v>2270.2800000000002</v>
      </c>
      <c r="Q103" s="55">
        <v>45.862000000000002</v>
      </c>
      <c r="R103" s="55"/>
      <c r="S103" s="55"/>
      <c r="T103" s="55"/>
      <c r="U103" s="55"/>
      <c r="V103" s="55"/>
      <c r="W103" s="10">
        <v>0</v>
      </c>
      <c r="X103" s="10">
        <v>0</v>
      </c>
      <c r="Y103" s="10">
        <v>0</v>
      </c>
      <c r="Z103" s="11">
        <f t="shared" si="77"/>
        <v>0</v>
      </c>
      <c r="AA103" s="15" t="e">
        <f t="shared" si="76"/>
        <v>#DIV/0!</v>
      </c>
      <c r="AB103" s="15" t="e">
        <f t="shared" si="110"/>
        <v>#DIV/0!</v>
      </c>
      <c r="AC103" s="15" t="e">
        <f t="shared" si="110"/>
        <v>#DIV/0!</v>
      </c>
      <c r="AD103" s="11">
        <f t="shared" si="78"/>
        <v>8.8537300922044149E-3</v>
      </c>
      <c r="AE103" s="12"/>
      <c r="AF103" s="25">
        <f t="shared" ref="AF103:AK103" si="113">bdRateExtend($D103:$D107,E103:E107,$P103:$P107,Q103:Q107)</f>
        <v>1.9838435982861835E-3</v>
      </c>
      <c r="AG103" s="30" t="e">
        <f t="shared" si="113"/>
        <v>#VALUE!</v>
      </c>
      <c r="AH103" s="31" t="e">
        <f t="shared" si="113"/>
        <v>#VALUE!</v>
      </c>
      <c r="AI103" s="25" t="e">
        <f t="shared" si="113"/>
        <v>#VALUE!</v>
      </c>
      <c r="AJ103" s="30" t="e">
        <f t="shared" si="113"/>
        <v>#VALUE!</v>
      </c>
      <c r="AK103" s="30" t="e">
        <f t="shared" si="113"/>
        <v>#VALUE!</v>
      </c>
      <c r="AL103" s="26"/>
      <c r="AM103" s="21"/>
      <c r="AN103" s="36"/>
      <c r="AO103" s="21"/>
      <c r="AP103" s="21"/>
      <c r="AQ103" s="36"/>
      <c r="AR103" s="30">
        <f t="shared" ref="AR103:AW103" si="114">bdrate($D103:$D106,E103:E106,$P103:$P106,Q103:Q106)</f>
        <v>2.9962656095936513E-3</v>
      </c>
      <c r="AS103" s="30" t="e">
        <f t="shared" si="114"/>
        <v>#VALUE!</v>
      </c>
      <c r="AT103" s="31" t="e">
        <f t="shared" si="114"/>
        <v>#VALUE!</v>
      </c>
      <c r="AU103" s="25" t="e">
        <f t="shared" si="114"/>
        <v>#VALUE!</v>
      </c>
      <c r="AV103" s="30" t="e">
        <f t="shared" si="114"/>
        <v>#VALUE!</v>
      </c>
      <c r="AW103" s="31" t="e">
        <f t="shared" si="114"/>
        <v>#VALUE!</v>
      </c>
      <c r="AX103" s="15"/>
      <c r="AY103" s="15"/>
      <c r="AZ103" s="15"/>
      <c r="BA103" s="15" t="e">
        <f>V103/J103</f>
        <v>#DIV/0!</v>
      </c>
      <c r="BB103" s="15" t="e">
        <f>X103/L103</f>
        <v>#DIV/0!</v>
      </c>
      <c r="BC103" s="15" t="e">
        <f t="shared" ref="BC103:BC106" si="115">Z103/N103</f>
        <v>#DIV/0!</v>
      </c>
    </row>
    <row r="104" spans="1:55" ht="15" x14ac:dyDescent="0.2">
      <c r="A104" s="13"/>
      <c r="B104" s="13"/>
      <c r="C104" s="43">
        <v>27</v>
      </c>
      <c r="D104" s="53">
        <v>1217.4000000000001</v>
      </c>
      <c r="E104" s="53">
        <v>43.857799999999997</v>
      </c>
      <c r="F104" s="53"/>
      <c r="G104" s="53"/>
      <c r="H104" s="53"/>
      <c r="I104" s="53"/>
      <c r="J104" s="53"/>
      <c r="K104" s="15">
        <v>0</v>
      </c>
      <c r="L104" s="15">
        <v>0</v>
      </c>
      <c r="M104" s="15">
        <v>0</v>
      </c>
      <c r="N104" s="16">
        <f t="shared" si="75"/>
        <v>0</v>
      </c>
      <c r="P104" s="55">
        <v>1223.46</v>
      </c>
      <c r="Q104" s="55">
        <v>43.865400000000001</v>
      </c>
      <c r="R104" s="55"/>
      <c r="S104" s="55"/>
      <c r="T104" s="55"/>
      <c r="U104" s="55"/>
      <c r="V104" s="55"/>
      <c r="W104" s="15">
        <v>0</v>
      </c>
      <c r="X104" s="15">
        <v>0</v>
      </c>
      <c r="Y104" s="15">
        <v>0</v>
      </c>
      <c r="Z104" s="16">
        <f t="shared" si="77"/>
        <v>0</v>
      </c>
      <c r="AA104" s="15" t="e">
        <f t="shared" si="76"/>
        <v>#DIV/0!</v>
      </c>
      <c r="AB104" s="15" t="e">
        <f t="shared" si="110"/>
        <v>#DIV/0!</v>
      </c>
      <c r="AC104" s="15" t="e">
        <f t="shared" si="110"/>
        <v>#DIV/0!</v>
      </c>
      <c r="AD104" s="16">
        <f t="shared" si="78"/>
        <v>4.9778215869886195E-3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2.138872259627389E-3</v>
      </c>
      <c r="AM104" s="21" t="e">
        <f>bdrate($D104:$D107,F104:F107,$P104:$P107,R104:R107)</f>
        <v>#VALUE!</v>
      </c>
      <c r="AN104" s="36" t="e">
        <f t="shared" ref="AN104" si="116">bdrate($D104:$D107,G104:G107,$P104:$P107,S104:S107)</f>
        <v>#VALUE!</v>
      </c>
      <c r="AO104" s="26" t="e">
        <f>bdrate($D104:$D107,H104:H107,$P104:$P107,T104:T107)</f>
        <v>#VALUE!</v>
      </c>
      <c r="AP104" s="21" t="e">
        <f>bdrate($D104:$D107,I104:I107,$P104:$P107,U104:U107)</f>
        <v>#VALUE!</v>
      </c>
      <c r="AQ104" s="36" t="e">
        <f>bdrate($D104:$D107,J104:J107,$P104:$P107,V104:V107)</f>
        <v>#VALUE!</v>
      </c>
      <c r="AR104" s="21"/>
      <c r="AS104" s="21"/>
      <c r="AT104" s="36"/>
      <c r="AU104" s="26"/>
      <c r="AV104" s="21"/>
      <c r="AW104" s="36"/>
      <c r="AX104" s="15" t="e">
        <f>V104/J104</f>
        <v>#DIV/0!</v>
      </c>
      <c r="AY104" s="15" t="e">
        <f>X104/L104</f>
        <v>#DIV/0!</v>
      </c>
      <c r="AZ104" s="15" t="e">
        <f t="shared" ref="AZ104:AZ107" si="117">Z104/N104</f>
        <v>#DIV/0!</v>
      </c>
      <c r="BA104" s="15" t="e">
        <f>V104/J104</f>
        <v>#DIV/0!</v>
      </c>
      <c r="BB104" s="15" t="e">
        <f>X104/L104</f>
        <v>#DIV/0!</v>
      </c>
      <c r="BC104" s="15" t="e">
        <f t="shared" si="115"/>
        <v>#DIV/0!</v>
      </c>
    </row>
    <row r="105" spans="1:55" ht="15" x14ac:dyDescent="0.2">
      <c r="A105" s="13"/>
      <c r="B105" s="13"/>
      <c r="C105" s="43">
        <v>32</v>
      </c>
      <c r="D105" s="53">
        <v>681.54</v>
      </c>
      <c r="E105" s="53">
        <v>41.746499999999997</v>
      </c>
      <c r="F105" s="53"/>
      <c r="G105" s="53"/>
      <c r="H105" s="53"/>
      <c r="I105" s="53"/>
      <c r="J105" s="53"/>
      <c r="K105" s="15">
        <v>0</v>
      </c>
      <c r="L105" s="15">
        <v>0</v>
      </c>
      <c r="M105" s="15">
        <v>0</v>
      </c>
      <c r="N105" s="16">
        <f t="shared" si="75"/>
        <v>0</v>
      </c>
      <c r="P105" s="55">
        <v>690.48</v>
      </c>
      <c r="Q105" s="55">
        <v>41.779000000000003</v>
      </c>
      <c r="R105" s="55"/>
      <c r="S105" s="55"/>
      <c r="T105" s="55"/>
      <c r="U105" s="55"/>
      <c r="V105" s="55"/>
      <c r="W105" s="15">
        <v>0</v>
      </c>
      <c r="X105" s="15">
        <v>0</v>
      </c>
      <c r="Y105" s="15">
        <v>0</v>
      </c>
      <c r="Z105" s="16">
        <f t="shared" si="77"/>
        <v>0</v>
      </c>
      <c r="AA105" s="15" t="e">
        <f t="shared" si="76"/>
        <v>#DIV/0!</v>
      </c>
      <c r="AB105" s="15" t="e">
        <f t="shared" si="110"/>
        <v>#DIV/0!</v>
      </c>
      <c r="AC105" s="15" t="e">
        <f t="shared" si="110"/>
        <v>#DIV/0!</v>
      </c>
      <c r="AD105" s="16">
        <f t="shared" si="78"/>
        <v>1.3117351879566945E-2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 t="e">
        <f>V105/J105</f>
        <v>#DIV/0!</v>
      </c>
      <c r="AY105" s="15" t="e">
        <f>X105/L105</f>
        <v>#DIV/0!</v>
      </c>
      <c r="AZ105" s="15" t="e">
        <f t="shared" si="117"/>
        <v>#DIV/0!</v>
      </c>
      <c r="BA105" s="15" t="e">
        <f>V105/J105</f>
        <v>#DIV/0!</v>
      </c>
      <c r="BB105" s="15" t="e">
        <f>X105/L105</f>
        <v>#DIV/0!</v>
      </c>
      <c r="BC105" s="15" t="e">
        <f t="shared" si="115"/>
        <v>#DIV/0!</v>
      </c>
    </row>
    <row r="106" spans="1:55" ht="15" x14ac:dyDescent="0.2">
      <c r="A106" s="13"/>
      <c r="B106" s="13"/>
      <c r="C106" s="43">
        <v>37</v>
      </c>
      <c r="D106" s="53">
        <v>398.52</v>
      </c>
      <c r="E106" s="53">
        <v>39.450400000000002</v>
      </c>
      <c r="F106" s="53"/>
      <c r="G106" s="53"/>
      <c r="H106" s="53"/>
      <c r="I106" s="53"/>
      <c r="J106" s="53"/>
      <c r="K106" s="15">
        <v>0</v>
      </c>
      <c r="L106" s="15">
        <v>0</v>
      </c>
      <c r="M106" s="15">
        <v>0</v>
      </c>
      <c r="N106" s="16">
        <f t="shared" si="75"/>
        <v>0</v>
      </c>
      <c r="P106" s="55">
        <v>401.1</v>
      </c>
      <c r="Q106" s="55">
        <v>39.477600000000002</v>
      </c>
      <c r="R106" s="55"/>
      <c r="S106" s="55"/>
      <c r="T106" s="55"/>
      <c r="U106" s="55"/>
      <c r="V106" s="55"/>
      <c r="W106" s="15">
        <v>0</v>
      </c>
      <c r="X106" s="15">
        <v>0</v>
      </c>
      <c r="Y106" s="15">
        <v>0</v>
      </c>
      <c r="Z106" s="16">
        <f t="shared" si="77"/>
        <v>0</v>
      </c>
      <c r="AA106" s="15" t="e">
        <f t="shared" si="76"/>
        <v>#DIV/0!</v>
      </c>
      <c r="AB106" s="15" t="e">
        <f t="shared" si="110"/>
        <v>#DIV/0!</v>
      </c>
      <c r="AC106" s="15" t="e">
        <f t="shared" si="110"/>
        <v>#DIV/0!</v>
      </c>
      <c r="AD106" s="16">
        <f t="shared" si="78"/>
        <v>6.4739536284252764E-3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 t="e">
        <f>V106/J106</f>
        <v>#DIV/0!</v>
      </c>
      <c r="AY106" s="15" t="e">
        <f>X106/L106</f>
        <v>#DIV/0!</v>
      </c>
      <c r="AZ106" s="15" t="e">
        <f t="shared" si="117"/>
        <v>#DIV/0!</v>
      </c>
      <c r="BA106" s="15" t="e">
        <f>V106/J106</f>
        <v>#DIV/0!</v>
      </c>
      <c r="BB106" s="15" t="e">
        <f>X106/L106</f>
        <v>#DIV/0!</v>
      </c>
      <c r="BC106" s="15" t="e">
        <f t="shared" si="115"/>
        <v>#DIV/0!</v>
      </c>
    </row>
    <row r="107" spans="1:55" ht="15.75" thickBot="1" x14ac:dyDescent="0.25">
      <c r="A107" s="13"/>
      <c r="B107" s="17"/>
      <c r="C107" s="44">
        <v>42</v>
      </c>
      <c r="D107" s="53">
        <v>234.96</v>
      </c>
      <c r="E107" s="53">
        <v>37.003999999999998</v>
      </c>
      <c r="F107" s="53"/>
      <c r="G107" s="53"/>
      <c r="H107" s="53"/>
      <c r="I107" s="53"/>
      <c r="J107" s="53"/>
      <c r="K107" s="19">
        <v>0</v>
      </c>
      <c r="L107" s="19">
        <v>0</v>
      </c>
      <c r="M107" s="19">
        <v>0</v>
      </c>
      <c r="N107" s="20">
        <f t="shared" si="75"/>
        <v>0</v>
      </c>
      <c r="P107" s="55">
        <v>231.3</v>
      </c>
      <c r="Q107" s="55">
        <v>36.927399999999999</v>
      </c>
      <c r="R107" s="55"/>
      <c r="S107" s="55"/>
      <c r="T107" s="55"/>
      <c r="U107" s="55"/>
      <c r="V107" s="55"/>
      <c r="W107" s="19">
        <v>0</v>
      </c>
      <c r="X107" s="19">
        <v>0</v>
      </c>
      <c r="Y107" s="19">
        <v>0</v>
      </c>
      <c r="Z107" s="20">
        <f t="shared" si="77"/>
        <v>0</v>
      </c>
      <c r="AA107" s="15" t="e">
        <f t="shared" si="76"/>
        <v>#DIV/0!</v>
      </c>
      <c r="AB107" s="15" t="e">
        <f t="shared" si="110"/>
        <v>#DIV/0!</v>
      </c>
      <c r="AC107" s="15" t="e">
        <f t="shared" si="110"/>
        <v>#DIV/0!</v>
      </c>
      <c r="AD107" s="20">
        <f t="shared" si="78"/>
        <v>1.5577119509703764E-2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 t="e">
        <f>V107/J107</f>
        <v>#DIV/0!</v>
      </c>
      <c r="AY107" s="15" t="e">
        <f>X107/L107</f>
        <v>#DIV/0!</v>
      </c>
      <c r="AZ107" s="15" t="e">
        <f t="shared" si="117"/>
        <v>#DIV/0!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3">
        <v>2496.06</v>
      </c>
      <c r="E108" s="53">
        <v>46.177700000000002</v>
      </c>
      <c r="F108" s="53"/>
      <c r="G108" s="53"/>
      <c r="H108" s="53"/>
      <c r="I108" s="53"/>
      <c r="J108" s="53"/>
      <c r="K108" s="10">
        <v>0</v>
      </c>
      <c r="L108" s="10">
        <v>0</v>
      </c>
      <c r="M108" s="10">
        <v>0</v>
      </c>
      <c r="N108" s="11">
        <f t="shared" si="75"/>
        <v>0</v>
      </c>
      <c r="P108" s="55">
        <v>2489.64</v>
      </c>
      <c r="Q108" s="55">
        <v>46.1678</v>
      </c>
      <c r="R108" s="55"/>
      <c r="S108" s="55"/>
      <c r="T108" s="55"/>
      <c r="U108" s="55"/>
      <c r="V108" s="55"/>
      <c r="W108" s="10">
        <v>0</v>
      </c>
      <c r="X108" s="10">
        <v>0</v>
      </c>
      <c r="Y108" s="10">
        <v>0</v>
      </c>
      <c r="Z108" s="11">
        <f t="shared" si="77"/>
        <v>0</v>
      </c>
      <c r="AA108" s="15" t="e">
        <f t="shared" si="76"/>
        <v>#DIV/0!</v>
      </c>
      <c r="AB108" s="15" t="e">
        <f t="shared" si="110"/>
        <v>#DIV/0!</v>
      </c>
      <c r="AC108" s="15" t="e">
        <f t="shared" si="110"/>
        <v>#DIV/0!</v>
      </c>
      <c r="AD108" s="11">
        <f t="shared" si="78"/>
        <v>2.5720535564049234E-3</v>
      </c>
      <c r="AE108" s="12"/>
      <c r="AF108" s="25">
        <f t="shared" ref="AF108:AK108" si="118">bdRateExtend($D108:$D112,E108:E112,$P108:$P112,Q108:Q112)</f>
        <v>3.8028936314282724E-4</v>
      </c>
      <c r="AG108" s="30" t="e">
        <f t="shared" si="118"/>
        <v>#VALUE!</v>
      </c>
      <c r="AH108" s="31" t="e">
        <f t="shared" si="118"/>
        <v>#VALUE!</v>
      </c>
      <c r="AI108" s="25" t="e">
        <f t="shared" si="118"/>
        <v>#VALUE!</v>
      </c>
      <c r="AJ108" s="30" t="e">
        <f t="shared" si="118"/>
        <v>#VALUE!</v>
      </c>
      <c r="AK108" s="30" t="e">
        <f t="shared" si="118"/>
        <v>#VALUE!</v>
      </c>
      <c r="AL108" s="45"/>
      <c r="AM108" s="46"/>
      <c r="AN108" s="47"/>
      <c r="AO108" s="46"/>
      <c r="AP108" s="46"/>
      <c r="AQ108" s="47"/>
      <c r="AR108" s="30">
        <f t="shared" ref="AR108:AW108" si="119">bdrate($D108:$D111,E108:E111,$P108:$P111,Q108:Q111)</f>
        <v>-1.8381850886517448E-4</v>
      </c>
      <c r="AS108" s="30" t="e">
        <f t="shared" si="119"/>
        <v>#VALUE!</v>
      </c>
      <c r="AT108" s="31" t="e">
        <f t="shared" si="119"/>
        <v>#VALUE!</v>
      </c>
      <c r="AU108" s="25" t="e">
        <f t="shared" si="119"/>
        <v>#VALUE!</v>
      </c>
      <c r="AV108" s="30" t="e">
        <f t="shared" si="119"/>
        <v>#VALUE!</v>
      </c>
      <c r="AW108" s="31" t="e">
        <f t="shared" si="119"/>
        <v>#VALUE!</v>
      </c>
      <c r="AX108" s="15"/>
      <c r="AY108" s="15"/>
      <c r="AZ108" s="15"/>
      <c r="BA108" s="15" t="e">
        <f>V108/J108</f>
        <v>#DIV/0!</v>
      </c>
      <c r="BB108" s="15" t="e">
        <f>X108/L108</f>
        <v>#DIV/0!</v>
      </c>
      <c r="BC108" s="15" t="e">
        <f t="shared" ref="BC108:BC111" si="120">Z108/N108</f>
        <v>#DIV/0!</v>
      </c>
    </row>
    <row r="109" spans="1:55" ht="15" x14ac:dyDescent="0.2">
      <c r="A109" s="13"/>
      <c r="B109" s="13"/>
      <c r="C109" s="43">
        <v>27</v>
      </c>
      <c r="D109" s="53">
        <v>1481.22</v>
      </c>
      <c r="E109" s="53">
        <v>44.075000000000003</v>
      </c>
      <c r="F109" s="53"/>
      <c r="G109" s="53"/>
      <c r="H109" s="53"/>
      <c r="I109" s="53"/>
      <c r="J109" s="53"/>
      <c r="K109" s="15">
        <v>0</v>
      </c>
      <c r="L109" s="15">
        <v>0</v>
      </c>
      <c r="M109" s="15">
        <v>0</v>
      </c>
      <c r="N109" s="16">
        <f t="shared" si="75"/>
        <v>0</v>
      </c>
      <c r="P109" s="55">
        <v>1481.58</v>
      </c>
      <c r="Q109" s="55">
        <v>44.080300000000001</v>
      </c>
      <c r="R109" s="55"/>
      <c r="S109" s="55"/>
      <c r="T109" s="55"/>
      <c r="U109" s="55"/>
      <c r="V109" s="55"/>
      <c r="W109" s="15">
        <v>0</v>
      </c>
      <c r="X109" s="15">
        <v>0</v>
      </c>
      <c r="Y109" s="15">
        <v>0</v>
      </c>
      <c r="Z109" s="16">
        <f t="shared" si="77"/>
        <v>0</v>
      </c>
      <c r="AA109" s="15" t="e">
        <f t="shared" si="76"/>
        <v>#DIV/0!</v>
      </c>
      <c r="AB109" s="15" t="e">
        <f t="shared" si="110"/>
        <v>#DIV/0!</v>
      </c>
      <c r="AC109" s="15" t="e">
        <f t="shared" si="110"/>
        <v>#DIV/0!</v>
      </c>
      <c r="AD109" s="16">
        <f t="shared" si="78"/>
        <v>2.4304289707126553E-4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5.833624246767144E-4</v>
      </c>
      <c r="AM109" s="21" t="e">
        <f>bdrate($D109:$D112,F109:F112,$P109:$P112,R109:R112)</f>
        <v>#VALUE!</v>
      </c>
      <c r="AN109" s="36" t="e">
        <f t="shared" ref="AN109" si="121">bdrate($D109:$D112,G109:G112,$P109:$P112,S109:S112)</f>
        <v>#VALUE!</v>
      </c>
      <c r="AO109" s="26" t="e">
        <f>bdrate($D109:$D112,H109:H112,$P109:$P112,T109:T112)</f>
        <v>#VALUE!</v>
      </c>
      <c r="AP109" s="21" t="e">
        <f>bdrate($D109:$D112,I109:I112,$P109:$P112,U109:U112)</f>
        <v>#VALUE!</v>
      </c>
      <c r="AQ109" s="36" t="e">
        <f>bdrate($D109:$D112,J109:J112,$P109:$P112,V109:V112)</f>
        <v>#VALUE!</v>
      </c>
      <c r="AR109" s="21"/>
      <c r="AS109" s="21"/>
      <c r="AT109" s="36"/>
      <c r="AU109" s="26"/>
      <c r="AV109" s="21"/>
      <c r="AW109" s="36"/>
      <c r="AX109" s="15" t="e">
        <f>V109/J109</f>
        <v>#DIV/0!</v>
      </c>
      <c r="AY109" s="15" t="e">
        <f>X109/L109</f>
        <v>#DIV/0!</v>
      </c>
      <c r="AZ109" s="15" t="e">
        <f t="shared" ref="AZ109:AZ112" si="122">Z109/N109</f>
        <v>#DIV/0!</v>
      </c>
      <c r="BA109" s="15" t="e">
        <f>V109/J109</f>
        <v>#DIV/0!</v>
      </c>
      <c r="BB109" s="15" t="e">
        <f>X109/L109</f>
        <v>#DIV/0!</v>
      </c>
      <c r="BC109" s="15" t="e">
        <f t="shared" si="120"/>
        <v>#DIV/0!</v>
      </c>
    </row>
    <row r="110" spans="1:55" ht="15" x14ac:dyDescent="0.2">
      <c r="A110" s="13"/>
      <c r="B110" s="13"/>
      <c r="C110" s="43">
        <v>32</v>
      </c>
      <c r="D110" s="53">
        <v>892.56</v>
      </c>
      <c r="E110" s="53">
        <v>41.679099999999998</v>
      </c>
      <c r="F110" s="53"/>
      <c r="G110" s="53"/>
      <c r="H110" s="53"/>
      <c r="I110" s="53"/>
      <c r="J110" s="53"/>
      <c r="K110" s="15">
        <v>0</v>
      </c>
      <c r="L110" s="15">
        <v>0</v>
      </c>
      <c r="M110" s="15">
        <v>0</v>
      </c>
      <c r="N110" s="16">
        <f t="shared" si="75"/>
        <v>0</v>
      </c>
      <c r="P110" s="55">
        <v>890.7</v>
      </c>
      <c r="Q110" s="55">
        <v>41.674100000000003</v>
      </c>
      <c r="R110" s="55"/>
      <c r="S110" s="55"/>
      <c r="T110" s="55"/>
      <c r="U110" s="55"/>
      <c r="V110" s="55"/>
      <c r="W110" s="15">
        <v>0</v>
      </c>
      <c r="X110" s="15">
        <v>0</v>
      </c>
      <c r="Y110" s="15">
        <v>0</v>
      </c>
      <c r="Z110" s="16">
        <f t="shared" si="77"/>
        <v>0</v>
      </c>
      <c r="AA110" s="15" t="e">
        <f t="shared" si="76"/>
        <v>#DIV/0!</v>
      </c>
      <c r="AB110" s="15" t="e">
        <f t="shared" si="110"/>
        <v>#DIV/0!</v>
      </c>
      <c r="AC110" s="15" t="e">
        <f t="shared" si="110"/>
        <v>#DIV/0!</v>
      </c>
      <c r="AD110" s="16">
        <f t="shared" si="78"/>
        <v>2.0838935197632653E-3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 t="e">
        <f>V110/J110</f>
        <v>#DIV/0!</v>
      </c>
      <c r="AY110" s="15" t="e">
        <f>X110/L110</f>
        <v>#DIV/0!</v>
      </c>
      <c r="AZ110" s="15" t="e">
        <f t="shared" si="122"/>
        <v>#DIV/0!</v>
      </c>
      <c r="BA110" s="15" t="e">
        <f>V110/J110</f>
        <v>#DIV/0!</v>
      </c>
      <c r="BB110" s="15" t="e">
        <f>X110/L110</f>
        <v>#DIV/0!</v>
      </c>
      <c r="BC110" s="15" t="e">
        <f t="shared" si="120"/>
        <v>#DIV/0!</v>
      </c>
    </row>
    <row r="111" spans="1:55" ht="15" x14ac:dyDescent="0.2">
      <c r="A111" s="13"/>
      <c r="B111" s="13"/>
      <c r="C111" s="43">
        <v>37</v>
      </c>
      <c r="D111" s="53">
        <v>544.38</v>
      </c>
      <c r="E111" s="53">
        <v>39.117800000000003</v>
      </c>
      <c r="F111" s="53"/>
      <c r="G111" s="53"/>
      <c r="H111" s="53"/>
      <c r="I111" s="53"/>
      <c r="J111" s="53"/>
      <c r="K111" s="15">
        <v>0</v>
      </c>
      <c r="L111" s="15">
        <v>0</v>
      </c>
      <c r="M111" s="15">
        <v>0</v>
      </c>
      <c r="N111" s="16">
        <f t="shared" si="75"/>
        <v>0</v>
      </c>
      <c r="P111" s="55">
        <v>543.72</v>
      </c>
      <c r="Q111" s="55">
        <v>39.087499999999999</v>
      </c>
      <c r="R111" s="55"/>
      <c r="S111" s="55"/>
      <c r="T111" s="55"/>
      <c r="U111" s="55"/>
      <c r="V111" s="55"/>
      <c r="W111" s="15">
        <v>0</v>
      </c>
      <c r="X111" s="15">
        <v>0</v>
      </c>
      <c r="Y111" s="15">
        <v>0</v>
      </c>
      <c r="Z111" s="16">
        <f t="shared" si="77"/>
        <v>0</v>
      </c>
      <c r="AA111" s="15" t="e">
        <f t="shared" si="76"/>
        <v>#DIV/0!</v>
      </c>
      <c r="AB111" s="15" t="e">
        <f t="shared" si="110"/>
        <v>#DIV/0!</v>
      </c>
      <c r="AC111" s="15" t="e">
        <f t="shared" si="110"/>
        <v>#DIV/0!</v>
      </c>
      <c r="AD111" s="16">
        <f t="shared" si="78"/>
        <v>1.212388405158103E-3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 t="e">
        <f>V111/J111</f>
        <v>#DIV/0!</v>
      </c>
      <c r="AY111" s="15" t="e">
        <f>X111/L111</f>
        <v>#DIV/0!</v>
      </c>
      <c r="AZ111" s="15" t="e">
        <f t="shared" si="122"/>
        <v>#DIV/0!</v>
      </c>
      <c r="BA111" s="15" t="e">
        <f>V111/J111</f>
        <v>#DIV/0!</v>
      </c>
      <c r="BB111" s="15" t="e">
        <f>X111/L111</f>
        <v>#DIV/0!</v>
      </c>
      <c r="BC111" s="15" t="e">
        <f t="shared" si="120"/>
        <v>#DIV/0!</v>
      </c>
    </row>
    <row r="112" spans="1:55" ht="15.75" thickBot="1" x14ac:dyDescent="0.25">
      <c r="A112" s="17"/>
      <c r="B112" s="17"/>
      <c r="C112" s="44">
        <v>42</v>
      </c>
      <c r="D112" s="53">
        <v>330.36</v>
      </c>
      <c r="E112" s="53">
        <v>36.384799999999998</v>
      </c>
      <c r="F112" s="53"/>
      <c r="G112" s="53"/>
      <c r="H112" s="53"/>
      <c r="I112" s="53"/>
      <c r="J112" s="53"/>
      <c r="K112" s="19">
        <v>0</v>
      </c>
      <c r="L112" s="19">
        <v>0</v>
      </c>
      <c r="M112" s="19">
        <v>0</v>
      </c>
      <c r="N112" s="20">
        <f t="shared" si="75"/>
        <v>0</v>
      </c>
      <c r="P112" s="55">
        <v>325.26</v>
      </c>
      <c r="Q112" s="55">
        <v>36.328299999999999</v>
      </c>
      <c r="R112" s="55"/>
      <c r="S112" s="55"/>
      <c r="T112" s="55"/>
      <c r="U112" s="55"/>
      <c r="V112" s="55"/>
      <c r="W112" s="19">
        <v>0</v>
      </c>
      <c r="X112" s="19">
        <v>0</v>
      </c>
      <c r="Y112" s="19">
        <v>0</v>
      </c>
      <c r="Z112" s="20">
        <f t="shared" si="77"/>
        <v>0</v>
      </c>
      <c r="AA112" s="15" t="e">
        <f t="shared" si="76"/>
        <v>#DIV/0!</v>
      </c>
      <c r="AB112" s="15" t="e">
        <f t="shared" si="110"/>
        <v>#DIV/0!</v>
      </c>
      <c r="AC112" s="15" t="e">
        <f t="shared" si="110"/>
        <v>#DIV/0!</v>
      </c>
      <c r="AD112" s="20">
        <f t="shared" si="78"/>
        <v>1.5437704322557278E-2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 t="e">
        <f>V112/J112</f>
        <v>#DIV/0!</v>
      </c>
      <c r="AY112" s="19" t="e">
        <f>X112/L112</f>
        <v>#DIV/0!</v>
      </c>
      <c r="AZ112" s="19" t="e">
        <f t="shared" si="122"/>
        <v>#DIV/0!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3">
        <v>12897.24</v>
      </c>
      <c r="E113" s="53">
        <v>45.447299999999998</v>
      </c>
      <c r="F113" s="53"/>
      <c r="G113" s="53"/>
      <c r="H113" s="53"/>
      <c r="I113" s="53"/>
      <c r="J113" s="53"/>
      <c r="K113" s="10">
        <v>0</v>
      </c>
      <c r="L113" s="10">
        <v>0</v>
      </c>
      <c r="M113" s="10">
        <v>0</v>
      </c>
      <c r="N113" s="11">
        <f t="shared" si="75"/>
        <v>0</v>
      </c>
      <c r="P113" s="55">
        <v>12910.98</v>
      </c>
      <c r="Q113" s="55">
        <v>45.448700000000002</v>
      </c>
      <c r="R113" s="55"/>
      <c r="S113" s="55"/>
      <c r="T113" s="55"/>
      <c r="U113" s="55"/>
      <c r="V113" s="55"/>
      <c r="W113" s="10">
        <v>0</v>
      </c>
      <c r="X113" s="10">
        <v>0</v>
      </c>
      <c r="Y113" s="10">
        <v>0</v>
      </c>
      <c r="Z113" s="11">
        <f t="shared" si="77"/>
        <v>0</v>
      </c>
      <c r="AA113" s="10" t="e">
        <f t="shared" si="76"/>
        <v>#DIV/0!</v>
      </c>
      <c r="AB113" s="10" t="e">
        <f>X113/L113</f>
        <v>#DIV/0!</v>
      </c>
      <c r="AC113" s="10" t="e">
        <f>Y113/M113</f>
        <v>#DIV/0!</v>
      </c>
      <c r="AD113" s="11">
        <f t="shared" si="78"/>
        <v>1.0653442131804776E-3</v>
      </c>
      <c r="AE113" s="40"/>
      <c r="AF113" s="25">
        <f>bdRateExtend($D113:$D117,E113:E117,$P113:$P117,Q113:Q117)</f>
        <v>-1.3546451946391258E-3</v>
      </c>
      <c r="AG113" s="30" t="e">
        <f t="shared" ref="AG113:AK113" si="123">bdRateExtend($D113:$D117,F113:F117,$P113:$P117,R113:R117)</f>
        <v>#VALUE!</v>
      </c>
      <c r="AH113" s="31" t="e">
        <f t="shared" si="123"/>
        <v>#VALUE!</v>
      </c>
      <c r="AI113" s="25" t="e">
        <f t="shared" si="123"/>
        <v>#VALUE!</v>
      </c>
      <c r="AJ113" s="30" t="e">
        <f t="shared" si="123"/>
        <v>#VALUE!</v>
      </c>
      <c r="AK113" s="30" t="e">
        <f t="shared" si="123"/>
        <v>#VALUE!</v>
      </c>
      <c r="AL113" s="26"/>
      <c r="AM113" s="21"/>
      <c r="AN113" s="36"/>
      <c r="AO113" s="21"/>
      <c r="AP113" s="21"/>
      <c r="AQ113" s="36"/>
      <c r="AR113" s="30">
        <f t="shared" ref="AR113:AW113" si="124">bdrate($D113:$D116,E113:E116,$P113:$P116,Q113:Q116)</f>
        <v>-1.657990862716785E-4</v>
      </c>
      <c r="AS113" s="30" t="e">
        <f t="shared" si="124"/>
        <v>#VALUE!</v>
      </c>
      <c r="AT113" s="31" t="e">
        <f t="shared" si="124"/>
        <v>#VALUE!</v>
      </c>
      <c r="AU113" s="25" t="e">
        <f t="shared" si="124"/>
        <v>#VALUE!</v>
      </c>
      <c r="AV113" s="30" t="e">
        <f t="shared" si="124"/>
        <v>#VALUE!</v>
      </c>
      <c r="AW113" s="31" t="e">
        <f t="shared" si="124"/>
        <v>#VALUE!</v>
      </c>
      <c r="AX113" s="10"/>
      <c r="AY113" s="10"/>
      <c r="AZ113" s="10"/>
      <c r="BA113" s="10" t="e">
        <f>V113/J113</f>
        <v>#DIV/0!</v>
      </c>
      <c r="BB113" s="10" t="e">
        <f t="shared" ref="BB113:BB116" si="125">X113/L113</f>
        <v>#DIV/0!</v>
      </c>
      <c r="BC113" s="10" t="e">
        <f t="shared" ref="BC113:BC151" si="126">Z113/N113</f>
        <v>#DIV/0!</v>
      </c>
    </row>
    <row r="114" spans="1:55" ht="15" x14ac:dyDescent="0.2">
      <c r="A114" s="13"/>
      <c r="C114" s="43">
        <v>27</v>
      </c>
      <c r="D114" s="53">
        <v>7534.32</v>
      </c>
      <c r="E114" s="53">
        <v>41.993699999999997</v>
      </c>
      <c r="F114" s="53"/>
      <c r="G114" s="53"/>
      <c r="H114" s="53"/>
      <c r="I114" s="53"/>
      <c r="J114" s="53"/>
      <c r="K114" s="15">
        <v>0</v>
      </c>
      <c r="L114" s="15">
        <v>0</v>
      </c>
      <c r="M114" s="15">
        <v>0</v>
      </c>
      <c r="N114" s="16">
        <f t="shared" si="75"/>
        <v>0</v>
      </c>
      <c r="P114" s="55">
        <v>7532.22</v>
      </c>
      <c r="Q114" s="55">
        <v>41.995899999999999</v>
      </c>
      <c r="R114" s="55"/>
      <c r="S114" s="55"/>
      <c r="T114" s="55"/>
      <c r="U114" s="55"/>
      <c r="V114" s="55"/>
      <c r="W114" s="15">
        <v>0</v>
      </c>
      <c r="X114" s="15">
        <v>0</v>
      </c>
      <c r="Y114" s="15">
        <v>0</v>
      </c>
      <c r="Z114" s="16">
        <f t="shared" si="77"/>
        <v>0</v>
      </c>
      <c r="AA114" s="15" t="e">
        <f t="shared" si="76"/>
        <v>#DIV/0!</v>
      </c>
      <c r="AB114" s="15" t="e">
        <f t="shared" ref="AB114:AC132" si="127">X114/L114</f>
        <v>#DIV/0!</v>
      </c>
      <c r="AC114" s="15" t="e">
        <f t="shared" si="127"/>
        <v>#DIV/0!</v>
      </c>
      <c r="AD114" s="16">
        <f t="shared" si="78"/>
        <v>2.7872455642970493E-4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-1.5867116901020495E-3</v>
      </c>
      <c r="AM114" s="21" t="e">
        <f>bdrate($D114:$D117,F114:F117,$P114:$P117,R114:R117)</f>
        <v>#VALUE!</v>
      </c>
      <c r="AN114" s="36" t="e">
        <f t="shared" ref="AN114" si="128">bdrate($D114:$D117,G114:G117,$P114:$P117,S114:S117)</f>
        <v>#VALUE!</v>
      </c>
      <c r="AO114" s="26" t="e">
        <f>bdrate($D114:$D117,H114:H117,$P114:$P117,T114:T117)</f>
        <v>#VALUE!</v>
      </c>
      <c r="AP114" s="21" t="e">
        <f>bdrate($D114:$D117,I114:I117,$P114:$P117,U114:U117)</f>
        <v>#VALUE!</v>
      </c>
      <c r="AQ114" s="36" t="e">
        <f>bdrate($D114:$D117,J114:J117,$P114:$P117,V114:V117)</f>
        <v>#VALUE!</v>
      </c>
      <c r="AR114" s="21"/>
      <c r="AS114" s="21"/>
      <c r="AT114" s="36"/>
      <c r="AU114" s="26"/>
      <c r="AV114" s="21"/>
      <c r="AW114" s="36"/>
      <c r="AX114" s="15" t="e">
        <f>V114/J114</f>
        <v>#DIV/0!</v>
      </c>
      <c r="AY114" s="15" t="e">
        <f t="shared" ref="AY114:AY117" si="129">X114/L114</f>
        <v>#DIV/0!</v>
      </c>
      <c r="AZ114" s="15" t="e">
        <f t="shared" ref="AZ114:AZ152" si="130">Z114/N114</f>
        <v>#DIV/0!</v>
      </c>
      <c r="BA114" s="15" t="e">
        <f>V114/J114</f>
        <v>#DIV/0!</v>
      </c>
      <c r="BB114" s="15" t="e">
        <f t="shared" si="125"/>
        <v>#DIV/0!</v>
      </c>
      <c r="BC114" s="15" t="e">
        <f t="shared" si="126"/>
        <v>#DIV/0!</v>
      </c>
    </row>
    <row r="115" spans="1:55" ht="15" x14ac:dyDescent="0.2">
      <c r="A115" s="13"/>
      <c r="B115" s="13"/>
      <c r="C115" s="43">
        <v>32</v>
      </c>
      <c r="D115" s="53">
        <v>4293.3599999999997</v>
      </c>
      <c r="E115" s="53">
        <v>38.840699999999998</v>
      </c>
      <c r="F115" s="53"/>
      <c r="G115" s="53"/>
      <c r="H115" s="53"/>
      <c r="I115" s="53"/>
      <c r="J115" s="53"/>
      <c r="K115" s="15">
        <v>0</v>
      </c>
      <c r="L115" s="15">
        <v>0</v>
      </c>
      <c r="M115" s="15">
        <v>0</v>
      </c>
      <c r="N115" s="16">
        <f t="shared" si="75"/>
        <v>0</v>
      </c>
      <c r="P115" s="55">
        <v>4297.92</v>
      </c>
      <c r="Q115" s="55">
        <v>38.837800000000001</v>
      </c>
      <c r="R115" s="55"/>
      <c r="S115" s="55"/>
      <c r="T115" s="55"/>
      <c r="U115" s="55"/>
      <c r="V115" s="55"/>
      <c r="W115" s="15">
        <v>0</v>
      </c>
      <c r="X115" s="15">
        <v>0</v>
      </c>
      <c r="Y115" s="15">
        <v>0</v>
      </c>
      <c r="Z115" s="16">
        <f t="shared" si="77"/>
        <v>0</v>
      </c>
      <c r="AA115" s="15" t="e">
        <f t="shared" si="76"/>
        <v>#DIV/0!</v>
      </c>
      <c r="AB115" s="15" t="e">
        <f t="shared" si="127"/>
        <v>#DIV/0!</v>
      </c>
      <c r="AC115" s="15" t="e">
        <f t="shared" si="127"/>
        <v>#DIV/0!</v>
      </c>
      <c r="AD115" s="16">
        <f t="shared" si="78"/>
        <v>1.0621052043155944E-3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 t="e">
        <f>V115/J115</f>
        <v>#DIV/0!</v>
      </c>
      <c r="AY115" s="15" t="e">
        <f t="shared" si="129"/>
        <v>#DIV/0!</v>
      </c>
      <c r="AZ115" s="15" t="e">
        <f t="shared" si="130"/>
        <v>#DIV/0!</v>
      </c>
      <c r="BA115" s="15" t="e">
        <f>V115/J115</f>
        <v>#DIV/0!</v>
      </c>
      <c r="BB115" s="15" t="e">
        <f t="shared" si="125"/>
        <v>#DIV/0!</v>
      </c>
      <c r="BC115" s="15" t="e">
        <f t="shared" si="126"/>
        <v>#DIV/0!</v>
      </c>
    </row>
    <row r="116" spans="1:55" ht="15" x14ac:dyDescent="0.2">
      <c r="A116" s="13"/>
      <c r="B116" s="13"/>
      <c r="C116" s="43">
        <v>37</v>
      </c>
      <c r="D116" s="53">
        <v>2448.96</v>
      </c>
      <c r="E116" s="53">
        <v>36.020099999999999</v>
      </c>
      <c r="F116" s="53"/>
      <c r="G116" s="53"/>
      <c r="H116" s="53"/>
      <c r="I116" s="53"/>
      <c r="J116" s="53"/>
      <c r="K116" s="15">
        <v>0</v>
      </c>
      <c r="L116" s="15">
        <v>0</v>
      </c>
      <c r="M116" s="15">
        <v>0</v>
      </c>
      <c r="N116" s="16">
        <f t="shared" si="75"/>
        <v>0</v>
      </c>
      <c r="P116" s="55">
        <v>2438.94</v>
      </c>
      <c r="Q116" s="55">
        <v>36.025599999999997</v>
      </c>
      <c r="R116" s="55"/>
      <c r="S116" s="55"/>
      <c r="T116" s="55"/>
      <c r="U116" s="55"/>
      <c r="V116" s="55"/>
      <c r="W116" s="15">
        <v>0</v>
      </c>
      <c r="X116" s="15">
        <v>0</v>
      </c>
      <c r="Y116" s="15">
        <v>0</v>
      </c>
      <c r="Z116" s="16">
        <f t="shared" si="77"/>
        <v>0</v>
      </c>
      <c r="AA116" s="15" t="e">
        <f t="shared" si="76"/>
        <v>#DIV/0!</v>
      </c>
      <c r="AB116" s="15" t="e">
        <f t="shared" si="127"/>
        <v>#DIV/0!</v>
      </c>
      <c r="AC116" s="15" t="e">
        <f t="shared" si="127"/>
        <v>#DIV/0!</v>
      </c>
      <c r="AD116" s="16">
        <f t="shared" si="78"/>
        <v>4.0915327322618503E-3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 t="e">
        <f>V116/J116</f>
        <v>#DIV/0!</v>
      </c>
      <c r="AY116" s="15" t="e">
        <f t="shared" si="129"/>
        <v>#DIV/0!</v>
      </c>
      <c r="AZ116" s="15" t="e">
        <f t="shared" si="130"/>
        <v>#DIV/0!</v>
      </c>
      <c r="BA116" s="15" t="e">
        <f>V116/J116</f>
        <v>#DIV/0!</v>
      </c>
      <c r="BB116" s="15" t="e">
        <f t="shared" si="125"/>
        <v>#DIV/0!</v>
      </c>
      <c r="BC116" s="15" t="e">
        <f t="shared" si="126"/>
        <v>#DIV/0!</v>
      </c>
    </row>
    <row r="117" spans="1:55" ht="15.75" thickBot="1" x14ac:dyDescent="0.25">
      <c r="A117" s="13"/>
      <c r="B117" s="17"/>
      <c r="C117" s="44">
        <v>42</v>
      </c>
      <c r="D117" s="53">
        <v>1360.26</v>
      </c>
      <c r="E117" s="53">
        <v>33.252800000000001</v>
      </c>
      <c r="F117" s="53"/>
      <c r="G117" s="53"/>
      <c r="H117" s="53"/>
      <c r="I117" s="53"/>
      <c r="J117" s="53"/>
      <c r="K117" s="19">
        <v>0</v>
      </c>
      <c r="L117" s="19">
        <v>0</v>
      </c>
      <c r="M117" s="19">
        <v>0</v>
      </c>
      <c r="N117" s="20">
        <f t="shared" si="75"/>
        <v>0</v>
      </c>
      <c r="P117" s="55">
        <v>1355.1</v>
      </c>
      <c r="Q117" s="55">
        <v>33.246699999999997</v>
      </c>
      <c r="R117" s="55"/>
      <c r="S117" s="55"/>
      <c r="T117" s="55"/>
      <c r="U117" s="55"/>
      <c r="V117" s="55"/>
      <c r="W117" s="19">
        <v>0</v>
      </c>
      <c r="X117" s="19">
        <v>0</v>
      </c>
      <c r="Y117" s="19">
        <v>0</v>
      </c>
      <c r="Z117" s="20">
        <f t="shared" si="77"/>
        <v>0</v>
      </c>
      <c r="AA117" s="15" t="e">
        <f t="shared" si="76"/>
        <v>#DIV/0!</v>
      </c>
      <c r="AB117" s="15" t="e">
        <f t="shared" si="127"/>
        <v>#DIV/0!</v>
      </c>
      <c r="AC117" s="15" t="e">
        <f t="shared" si="127"/>
        <v>#DIV/0!</v>
      </c>
      <c r="AD117" s="20">
        <f t="shared" si="78"/>
        <v>3.7933924396807094E-3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 t="e">
        <f>V117/J117</f>
        <v>#DIV/0!</v>
      </c>
      <c r="AY117" s="15" t="e">
        <f t="shared" si="129"/>
        <v>#DIV/0!</v>
      </c>
      <c r="AZ117" s="15" t="e">
        <f t="shared" si="130"/>
        <v>#DIV/0!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3">
        <v>2025.35</v>
      </c>
      <c r="E118" s="53">
        <v>43.294400000000003</v>
      </c>
      <c r="F118" s="53"/>
      <c r="G118" s="53"/>
      <c r="H118" s="53"/>
      <c r="I118" s="53"/>
      <c r="J118" s="53"/>
      <c r="K118" s="10">
        <v>0</v>
      </c>
      <c r="L118" s="10">
        <v>0</v>
      </c>
      <c r="M118" s="10">
        <v>0</v>
      </c>
      <c r="N118" s="11">
        <f t="shared" si="75"/>
        <v>0</v>
      </c>
      <c r="P118" s="55">
        <v>2042.85</v>
      </c>
      <c r="Q118" s="55">
        <v>43.321599999999997</v>
      </c>
      <c r="R118" s="55"/>
      <c r="S118" s="55"/>
      <c r="T118" s="55"/>
      <c r="U118" s="55"/>
      <c r="V118" s="55"/>
      <c r="W118" s="10">
        <v>0</v>
      </c>
      <c r="X118" s="10">
        <v>0</v>
      </c>
      <c r="Y118" s="10">
        <v>0</v>
      </c>
      <c r="Z118" s="11">
        <f t="shared" si="77"/>
        <v>0</v>
      </c>
      <c r="AA118" s="15" t="e">
        <f t="shared" si="76"/>
        <v>#DIV/0!</v>
      </c>
      <c r="AB118" s="15" t="e">
        <f t="shared" si="127"/>
        <v>#DIV/0!</v>
      </c>
      <c r="AC118" s="15" t="e">
        <f t="shared" si="127"/>
        <v>#DIV/0!</v>
      </c>
      <c r="AD118" s="11">
        <f t="shared" si="78"/>
        <v>8.640481892018664E-3</v>
      </c>
      <c r="AE118" s="12"/>
      <c r="AF118" s="25">
        <f t="shared" ref="AF118:AK118" si="131">bdRateExtend($D118:$D122,E118:E122,$P118:$P122,Q118:Q122)</f>
        <v>-2.232640015865206E-3</v>
      </c>
      <c r="AG118" s="30" t="e">
        <f t="shared" si="131"/>
        <v>#VALUE!</v>
      </c>
      <c r="AH118" s="31" t="e">
        <f t="shared" si="131"/>
        <v>#VALUE!</v>
      </c>
      <c r="AI118" s="25" t="e">
        <f t="shared" si="131"/>
        <v>#VALUE!</v>
      </c>
      <c r="AJ118" s="30" t="e">
        <f t="shared" si="131"/>
        <v>#VALUE!</v>
      </c>
      <c r="AK118" s="30" t="e">
        <f t="shared" si="131"/>
        <v>#VALUE!</v>
      </c>
      <c r="AL118" s="45"/>
      <c r="AM118" s="46"/>
      <c r="AN118" s="47"/>
      <c r="AO118" s="46"/>
      <c r="AP118" s="46"/>
      <c r="AQ118" s="47"/>
      <c r="AR118" s="30">
        <f t="shared" ref="AR118:AW118" si="132">bdrate($D118:$D121,E118:E121,$P118:$P121,Q118:Q121)</f>
        <v>-1.5173004764702513E-3</v>
      </c>
      <c r="AS118" s="30" t="e">
        <f t="shared" si="132"/>
        <v>#VALUE!</v>
      </c>
      <c r="AT118" s="31" t="e">
        <f t="shared" si="132"/>
        <v>#VALUE!</v>
      </c>
      <c r="AU118" s="25" t="e">
        <f t="shared" si="132"/>
        <v>#VALUE!</v>
      </c>
      <c r="AV118" s="30" t="e">
        <f t="shared" si="132"/>
        <v>#VALUE!</v>
      </c>
      <c r="AW118" s="31" t="e">
        <f t="shared" si="132"/>
        <v>#VALUE!</v>
      </c>
      <c r="AX118" s="15"/>
      <c r="AY118" s="15"/>
      <c r="AZ118" s="15"/>
      <c r="BA118" s="15" t="e">
        <f>V118/J118</f>
        <v>#DIV/0!</v>
      </c>
      <c r="BB118" s="15" t="e">
        <f t="shared" ref="BB118:BB121" si="133">X118/L118</f>
        <v>#DIV/0!</v>
      </c>
      <c r="BC118" s="15" t="e">
        <f t="shared" si="126"/>
        <v>#DIV/0!</v>
      </c>
    </row>
    <row r="119" spans="1:55" ht="15" x14ac:dyDescent="0.2">
      <c r="A119" s="13"/>
      <c r="B119" s="13"/>
      <c r="C119" s="43">
        <v>27</v>
      </c>
      <c r="D119" s="53">
        <v>1106.8499999999999</v>
      </c>
      <c r="E119" s="53">
        <v>40.146999999999998</v>
      </c>
      <c r="F119" s="53"/>
      <c r="G119" s="53"/>
      <c r="H119" s="53"/>
      <c r="I119" s="53"/>
      <c r="J119" s="53"/>
      <c r="K119" s="15">
        <v>0</v>
      </c>
      <c r="L119" s="15">
        <v>0</v>
      </c>
      <c r="M119" s="15">
        <v>0</v>
      </c>
      <c r="N119" s="16">
        <f t="shared" si="75"/>
        <v>0</v>
      </c>
      <c r="P119" s="55">
        <v>1102.8</v>
      </c>
      <c r="Q119" s="55">
        <v>40.145899999999997</v>
      </c>
      <c r="R119" s="55"/>
      <c r="S119" s="55"/>
      <c r="T119" s="55"/>
      <c r="U119" s="55"/>
      <c r="V119" s="55"/>
      <c r="W119" s="15">
        <v>0</v>
      </c>
      <c r="X119" s="15">
        <v>0</v>
      </c>
      <c r="Y119" s="15">
        <v>0</v>
      </c>
      <c r="Z119" s="16">
        <f t="shared" si="77"/>
        <v>0</v>
      </c>
      <c r="AA119" s="15" t="e">
        <f t="shared" si="76"/>
        <v>#DIV/0!</v>
      </c>
      <c r="AB119" s="15" t="e">
        <f t="shared" si="127"/>
        <v>#DIV/0!</v>
      </c>
      <c r="AC119" s="15" t="e">
        <f t="shared" si="127"/>
        <v>#DIV/0!</v>
      </c>
      <c r="AD119" s="16">
        <f t="shared" si="78"/>
        <v>3.6590323892125897E-3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-2.7137760734423644E-3</v>
      </c>
      <c r="AM119" s="21" t="e">
        <f>bdrate($D119:$D122,F119:F122,$P119:$P122,R119:R122)</f>
        <v>#VALUE!</v>
      </c>
      <c r="AN119" s="36" t="e">
        <f t="shared" ref="AN119" si="134">bdrate($D119:$D122,G119:G122,$P119:$P122,S119:S122)</f>
        <v>#VALUE!</v>
      </c>
      <c r="AO119" s="26" t="e">
        <f>bdrate($D119:$D122,H119:H122,$P119:$P122,T119:T122)</f>
        <v>#VALUE!</v>
      </c>
      <c r="AP119" s="21" t="e">
        <f>bdrate($D119:$D122,I119:I122,$P119:$P122,U119:U122)</f>
        <v>#VALUE!</v>
      </c>
      <c r="AQ119" s="36" t="e">
        <f>bdrate($D119:$D122,J119:J122,$P119:$P122,V119:V122)</f>
        <v>#VALUE!</v>
      </c>
      <c r="AR119" s="21"/>
      <c r="AS119" s="21"/>
      <c r="AT119" s="36"/>
      <c r="AU119" s="26"/>
      <c r="AV119" s="21"/>
      <c r="AW119" s="36"/>
      <c r="AX119" s="15" t="e">
        <f>V119/J119</f>
        <v>#DIV/0!</v>
      </c>
      <c r="AY119" s="15" t="e">
        <f t="shared" ref="AY119:AY122" si="135">X119/L119</f>
        <v>#DIV/0!</v>
      </c>
      <c r="AZ119" s="15" t="e">
        <f t="shared" si="130"/>
        <v>#DIV/0!</v>
      </c>
      <c r="BA119" s="15" t="e">
        <f>V119/J119</f>
        <v>#DIV/0!</v>
      </c>
      <c r="BB119" s="15" t="e">
        <f t="shared" si="133"/>
        <v>#DIV/0!</v>
      </c>
      <c r="BC119" s="15" t="e">
        <f t="shared" si="126"/>
        <v>#DIV/0!</v>
      </c>
    </row>
    <row r="120" spans="1:55" ht="15" x14ac:dyDescent="0.2">
      <c r="A120" s="13"/>
      <c r="B120" s="13"/>
      <c r="C120" s="43">
        <v>32</v>
      </c>
      <c r="D120" s="53">
        <v>608.95000000000005</v>
      </c>
      <c r="E120" s="53">
        <v>37.295400000000001</v>
      </c>
      <c r="F120" s="53"/>
      <c r="G120" s="53"/>
      <c r="H120" s="53"/>
      <c r="I120" s="53"/>
      <c r="J120" s="53"/>
      <c r="K120" s="15">
        <v>0</v>
      </c>
      <c r="L120" s="15">
        <v>0</v>
      </c>
      <c r="M120" s="15">
        <v>0</v>
      </c>
      <c r="N120" s="16">
        <f t="shared" si="75"/>
        <v>0</v>
      </c>
      <c r="P120" s="55">
        <v>604.1</v>
      </c>
      <c r="Q120" s="55">
        <v>37.266199999999998</v>
      </c>
      <c r="R120" s="55"/>
      <c r="S120" s="55"/>
      <c r="T120" s="55"/>
      <c r="U120" s="55"/>
      <c r="V120" s="55"/>
      <c r="W120" s="15">
        <v>0</v>
      </c>
      <c r="X120" s="15">
        <v>0</v>
      </c>
      <c r="Y120" s="15">
        <v>0</v>
      </c>
      <c r="Z120" s="16">
        <f t="shared" si="77"/>
        <v>0</v>
      </c>
      <c r="AA120" s="15" t="e">
        <f t="shared" si="76"/>
        <v>#DIV/0!</v>
      </c>
      <c r="AB120" s="15" t="e">
        <f t="shared" si="127"/>
        <v>#DIV/0!</v>
      </c>
      <c r="AC120" s="15" t="e">
        <f t="shared" si="127"/>
        <v>#DIV/0!</v>
      </c>
      <c r="AD120" s="16">
        <f t="shared" si="78"/>
        <v>7.9645291074801252E-3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 t="e">
        <f>V120/J120</f>
        <v>#DIV/0!</v>
      </c>
      <c r="AY120" s="15" t="e">
        <f t="shared" si="135"/>
        <v>#DIV/0!</v>
      </c>
      <c r="AZ120" s="15" t="e">
        <f t="shared" si="130"/>
        <v>#DIV/0!</v>
      </c>
      <c r="BA120" s="15" t="e">
        <f>V120/J120</f>
        <v>#DIV/0!</v>
      </c>
      <c r="BB120" s="15" t="e">
        <f t="shared" si="133"/>
        <v>#DIV/0!</v>
      </c>
      <c r="BC120" s="15" t="e">
        <f t="shared" si="126"/>
        <v>#DIV/0!</v>
      </c>
    </row>
    <row r="121" spans="1:55" ht="15" x14ac:dyDescent="0.2">
      <c r="A121" s="13"/>
      <c r="B121" s="13"/>
      <c r="C121" s="43">
        <v>37</v>
      </c>
      <c r="D121" s="53">
        <v>352.45</v>
      </c>
      <c r="E121" s="53">
        <v>34.793700000000001</v>
      </c>
      <c r="F121" s="53"/>
      <c r="G121" s="53"/>
      <c r="H121" s="53"/>
      <c r="I121" s="53"/>
      <c r="J121" s="53"/>
      <c r="K121" s="15">
        <v>0</v>
      </c>
      <c r="L121" s="15">
        <v>0</v>
      </c>
      <c r="M121" s="15">
        <v>0</v>
      </c>
      <c r="N121" s="16">
        <f t="shared" si="75"/>
        <v>0</v>
      </c>
      <c r="P121" s="55">
        <v>352.3</v>
      </c>
      <c r="Q121" s="55">
        <v>34.792000000000002</v>
      </c>
      <c r="R121" s="55"/>
      <c r="S121" s="55"/>
      <c r="T121" s="55"/>
      <c r="U121" s="55"/>
      <c r="V121" s="55"/>
      <c r="W121" s="15">
        <v>0</v>
      </c>
      <c r="X121" s="15">
        <v>0</v>
      </c>
      <c r="Y121" s="15">
        <v>0</v>
      </c>
      <c r="Z121" s="16">
        <f t="shared" si="77"/>
        <v>0</v>
      </c>
      <c r="AA121" s="15" t="e">
        <f t="shared" si="76"/>
        <v>#DIV/0!</v>
      </c>
      <c r="AB121" s="15" t="e">
        <f t="shared" si="127"/>
        <v>#DIV/0!</v>
      </c>
      <c r="AC121" s="15" t="e">
        <f t="shared" si="127"/>
        <v>#DIV/0!</v>
      </c>
      <c r="AD121" s="16">
        <f t="shared" si="78"/>
        <v>4.2559228259321112E-4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 t="e">
        <f>V121/J121</f>
        <v>#DIV/0!</v>
      </c>
      <c r="AY121" s="15" t="e">
        <f t="shared" si="135"/>
        <v>#DIV/0!</v>
      </c>
      <c r="AZ121" s="15" t="e">
        <f t="shared" si="130"/>
        <v>#DIV/0!</v>
      </c>
      <c r="BA121" s="15" t="e">
        <f>V121/J121</f>
        <v>#DIV/0!</v>
      </c>
      <c r="BB121" s="15" t="e">
        <f t="shared" si="133"/>
        <v>#DIV/0!</v>
      </c>
      <c r="BC121" s="15" t="e">
        <f t="shared" si="126"/>
        <v>#DIV/0!</v>
      </c>
    </row>
    <row r="122" spans="1:55" ht="15.75" thickBot="1" x14ac:dyDescent="0.25">
      <c r="A122" s="13"/>
      <c r="B122" s="17"/>
      <c r="C122" s="44">
        <v>42</v>
      </c>
      <c r="D122" s="53">
        <v>200</v>
      </c>
      <c r="E122" s="53">
        <v>32.0398</v>
      </c>
      <c r="F122" s="53"/>
      <c r="G122" s="53"/>
      <c r="H122" s="53"/>
      <c r="I122" s="53"/>
      <c r="J122" s="53"/>
      <c r="K122" s="19">
        <v>0</v>
      </c>
      <c r="L122" s="19">
        <v>0</v>
      </c>
      <c r="M122" s="19">
        <v>0</v>
      </c>
      <c r="N122" s="20">
        <f t="shared" si="75"/>
        <v>0</v>
      </c>
      <c r="P122" s="55">
        <v>197.35</v>
      </c>
      <c r="Q122" s="55">
        <v>32.034500000000001</v>
      </c>
      <c r="R122" s="55"/>
      <c r="S122" s="55"/>
      <c r="T122" s="55"/>
      <c r="U122" s="55"/>
      <c r="V122" s="55"/>
      <c r="W122" s="19">
        <v>0</v>
      </c>
      <c r="X122" s="19">
        <v>0</v>
      </c>
      <c r="Y122" s="19">
        <v>0</v>
      </c>
      <c r="Z122" s="20">
        <f t="shared" si="77"/>
        <v>0</v>
      </c>
      <c r="AA122" s="15" t="e">
        <f t="shared" si="76"/>
        <v>#DIV/0!</v>
      </c>
      <c r="AB122" s="15" t="e">
        <f t="shared" si="127"/>
        <v>#DIV/0!</v>
      </c>
      <c r="AC122" s="15" t="e">
        <f t="shared" si="127"/>
        <v>#DIV/0!</v>
      </c>
      <c r="AD122" s="20">
        <f t="shared" si="78"/>
        <v>1.3250000000000029E-2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 t="e">
        <f>V122/J122</f>
        <v>#DIV/0!</v>
      </c>
      <c r="AY122" s="15" t="e">
        <f t="shared" si="135"/>
        <v>#DIV/0!</v>
      </c>
      <c r="AZ122" s="15" t="e">
        <f t="shared" si="130"/>
        <v>#DIV/0!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3">
        <v>3163.41</v>
      </c>
      <c r="E123" s="53">
        <v>47.649299999999997</v>
      </c>
      <c r="F123" s="53"/>
      <c r="G123" s="53"/>
      <c r="H123" s="53"/>
      <c r="I123" s="53"/>
      <c r="J123" s="53"/>
      <c r="K123" s="10">
        <v>0</v>
      </c>
      <c r="L123" s="10">
        <v>0</v>
      </c>
      <c r="M123" s="10">
        <v>0</v>
      </c>
      <c r="N123" s="11">
        <f t="shared" si="75"/>
        <v>0</v>
      </c>
      <c r="P123" s="55">
        <v>3159.27</v>
      </c>
      <c r="Q123" s="55">
        <v>47.633899999999997</v>
      </c>
      <c r="R123" s="55"/>
      <c r="S123" s="55"/>
      <c r="T123" s="55"/>
      <c r="U123" s="55"/>
      <c r="V123" s="55"/>
      <c r="W123" s="10">
        <v>0</v>
      </c>
      <c r="X123" s="10">
        <v>0</v>
      </c>
      <c r="Y123" s="10">
        <v>0</v>
      </c>
      <c r="Z123" s="11">
        <f t="shared" si="77"/>
        <v>0</v>
      </c>
      <c r="AA123" s="15" t="e">
        <f t="shared" si="76"/>
        <v>#DIV/0!</v>
      </c>
      <c r="AB123" s="15" t="e">
        <f t="shared" si="127"/>
        <v>#DIV/0!</v>
      </c>
      <c r="AC123" s="15" t="e">
        <f t="shared" si="127"/>
        <v>#DIV/0!</v>
      </c>
      <c r="AD123" s="11">
        <f t="shared" si="78"/>
        <v>1.3087143304218779E-3</v>
      </c>
      <c r="AE123" s="12"/>
      <c r="AF123" s="25">
        <f t="shared" ref="AF123:AK123" si="136">bdRateExtend($D123:$D127,E123:E127,$P123:$P127,Q123:Q127)</f>
        <v>-2.8316814336225571E-3</v>
      </c>
      <c r="AG123" s="30" t="e">
        <f t="shared" si="136"/>
        <v>#VALUE!</v>
      </c>
      <c r="AH123" s="31" t="e">
        <f t="shared" si="136"/>
        <v>#VALUE!</v>
      </c>
      <c r="AI123" s="25" t="e">
        <f t="shared" si="136"/>
        <v>#VALUE!</v>
      </c>
      <c r="AJ123" s="30" t="e">
        <f t="shared" si="136"/>
        <v>#VALUE!</v>
      </c>
      <c r="AK123" s="30" t="e">
        <f t="shared" si="136"/>
        <v>#VALUE!</v>
      </c>
      <c r="AL123" s="26"/>
      <c r="AM123" s="21"/>
      <c r="AN123" s="36"/>
      <c r="AO123" s="21"/>
      <c r="AP123" s="21"/>
      <c r="AQ123" s="36"/>
      <c r="AR123" s="30">
        <f t="shared" ref="AR123:AW123" si="137">bdrate($D123:$D126,E123:E126,$P123:$P126,Q123:Q126)</f>
        <v>-2.5894220281700298E-3</v>
      </c>
      <c r="AS123" s="30" t="e">
        <f t="shared" si="137"/>
        <v>#VALUE!</v>
      </c>
      <c r="AT123" s="31" t="e">
        <f t="shared" si="137"/>
        <v>#VALUE!</v>
      </c>
      <c r="AU123" s="25" t="e">
        <f t="shared" si="137"/>
        <v>#VALUE!</v>
      </c>
      <c r="AV123" s="30" t="e">
        <f t="shared" si="137"/>
        <v>#VALUE!</v>
      </c>
      <c r="AW123" s="31" t="e">
        <f t="shared" si="137"/>
        <v>#VALUE!</v>
      </c>
      <c r="AX123" s="15"/>
      <c r="AY123" s="15"/>
      <c r="AZ123" s="15"/>
      <c r="BA123" s="15" t="e">
        <f>V123/J123</f>
        <v>#DIV/0!</v>
      </c>
      <c r="BB123" s="15" t="e">
        <f t="shared" ref="BB123:BB126" si="138">X123/L123</f>
        <v>#DIV/0!</v>
      </c>
      <c r="BC123" s="15" t="e">
        <f t="shared" si="126"/>
        <v>#DIV/0!</v>
      </c>
    </row>
    <row r="124" spans="1:55" ht="15" x14ac:dyDescent="0.2">
      <c r="A124" s="13"/>
      <c r="B124" s="13"/>
      <c r="C124" s="43">
        <v>27</v>
      </c>
      <c r="D124" s="53">
        <v>2318.61</v>
      </c>
      <c r="E124" s="53">
        <v>43.750599999999999</v>
      </c>
      <c r="F124" s="53"/>
      <c r="G124" s="53"/>
      <c r="H124" s="53"/>
      <c r="I124" s="53"/>
      <c r="J124" s="53"/>
      <c r="K124" s="15">
        <v>0</v>
      </c>
      <c r="L124" s="15">
        <v>0</v>
      </c>
      <c r="M124" s="15">
        <v>0</v>
      </c>
      <c r="N124" s="16">
        <f t="shared" si="75"/>
        <v>0</v>
      </c>
      <c r="P124" s="55">
        <v>2311.8000000000002</v>
      </c>
      <c r="Q124" s="55">
        <v>43.7941</v>
      </c>
      <c r="R124" s="55"/>
      <c r="S124" s="55"/>
      <c r="T124" s="55"/>
      <c r="U124" s="55"/>
      <c r="V124" s="55"/>
      <c r="W124" s="15">
        <v>0</v>
      </c>
      <c r="X124" s="15">
        <v>0</v>
      </c>
      <c r="Y124" s="15">
        <v>0</v>
      </c>
      <c r="Z124" s="16">
        <f t="shared" si="77"/>
        <v>0</v>
      </c>
      <c r="AA124" s="15" t="e">
        <f t="shared" si="76"/>
        <v>#DIV/0!</v>
      </c>
      <c r="AB124" s="15" t="e">
        <f t="shared" si="127"/>
        <v>#DIV/0!</v>
      </c>
      <c r="AC124" s="15" t="e">
        <f t="shared" si="127"/>
        <v>#DIV/0!</v>
      </c>
      <c r="AD124" s="16">
        <f t="shared" si="78"/>
        <v>2.9371045583344957E-3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-2.0432085021961921E-3</v>
      </c>
      <c r="AM124" s="21" t="e">
        <f>bdrate($D124:$D127,F124:F127,$P124:$P127,R124:R127)</f>
        <v>#VALUE!</v>
      </c>
      <c r="AN124" s="36" t="e">
        <f t="shared" ref="AN124" si="139">bdrate($D124:$D127,G124:G127,$P124:$P127,S124:S127)</f>
        <v>#VALUE!</v>
      </c>
      <c r="AO124" s="26" t="e">
        <f>bdrate($D124:$D127,H124:H127,$P124:$P127,T124:T127)</f>
        <v>#VALUE!</v>
      </c>
      <c r="AP124" s="21" t="e">
        <f>bdrate($D124:$D127,I124:I127,$P124:$P127,U124:U127)</f>
        <v>#VALUE!</v>
      </c>
      <c r="AQ124" s="36" t="e">
        <f>bdrate($D124:$D127,J124:J127,$P124:$P127,V124:V127)</f>
        <v>#VALUE!</v>
      </c>
      <c r="AR124" s="21"/>
      <c r="AS124" s="21"/>
      <c r="AT124" s="36"/>
      <c r="AU124" s="26"/>
      <c r="AV124" s="21"/>
      <c r="AW124" s="36"/>
      <c r="AX124" s="15" t="e">
        <f>V124/J124</f>
        <v>#DIV/0!</v>
      </c>
      <c r="AY124" s="15" t="e">
        <f t="shared" ref="AY124:AY127" si="140">X124/L124</f>
        <v>#DIV/0!</v>
      </c>
      <c r="AZ124" s="15" t="e">
        <f t="shared" si="130"/>
        <v>#DIV/0!</v>
      </c>
      <c r="BA124" s="15" t="e">
        <f>V124/J124</f>
        <v>#DIV/0!</v>
      </c>
      <c r="BB124" s="15" t="e">
        <f t="shared" si="138"/>
        <v>#DIV/0!</v>
      </c>
      <c r="BC124" s="15" t="e">
        <f t="shared" si="126"/>
        <v>#DIV/0!</v>
      </c>
    </row>
    <row r="125" spans="1:55" ht="15" x14ac:dyDescent="0.2">
      <c r="A125" s="13"/>
      <c r="B125" s="13"/>
      <c r="C125" s="43">
        <v>32</v>
      </c>
      <c r="D125" s="53">
        <v>1738.71</v>
      </c>
      <c r="E125" s="53">
        <v>40.601100000000002</v>
      </c>
      <c r="F125" s="53"/>
      <c r="G125" s="53"/>
      <c r="H125" s="53"/>
      <c r="I125" s="53"/>
      <c r="J125" s="53"/>
      <c r="K125" s="15">
        <v>0</v>
      </c>
      <c r="L125" s="15">
        <v>0</v>
      </c>
      <c r="M125" s="15">
        <v>0</v>
      </c>
      <c r="N125" s="16">
        <f t="shared" si="75"/>
        <v>0</v>
      </c>
      <c r="P125" s="55">
        <v>1740.33</v>
      </c>
      <c r="Q125" s="55">
        <v>40.612400000000001</v>
      </c>
      <c r="R125" s="55"/>
      <c r="S125" s="55"/>
      <c r="T125" s="55"/>
      <c r="U125" s="55"/>
      <c r="V125" s="55"/>
      <c r="W125" s="15">
        <v>0</v>
      </c>
      <c r="X125" s="15">
        <v>0</v>
      </c>
      <c r="Y125" s="15">
        <v>0</v>
      </c>
      <c r="Z125" s="16">
        <f t="shared" si="77"/>
        <v>0</v>
      </c>
      <c r="AA125" s="15" t="e">
        <f t="shared" si="76"/>
        <v>#DIV/0!</v>
      </c>
      <c r="AB125" s="15" t="e">
        <f t="shared" si="127"/>
        <v>#DIV/0!</v>
      </c>
      <c r="AC125" s="15" t="e">
        <f t="shared" si="127"/>
        <v>#DIV/0!</v>
      </c>
      <c r="AD125" s="16">
        <f t="shared" si="78"/>
        <v>9.3172524457781395E-4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 t="e">
        <f>V125/J125</f>
        <v>#DIV/0!</v>
      </c>
      <c r="AY125" s="15" t="e">
        <f t="shared" si="140"/>
        <v>#DIV/0!</v>
      </c>
      <c r="AZ125" s="15" t="e">
        <f t="shared" si="130"/>
        <v>#DIV/0!</v>
      </c>
      <c r="BA125" s="15" t="e">
        <f>V125/J125</f>
        <v>#DIV/0!</v>
      </c>
      <c r="BB125" s="15" t="e">
        <f t="shared" si="138"/>
        <v>#DIV/0!</v>
      </c>
      <c r="BC125" s="15" t="e">
        <f t="shared" si="126"/>
        <v>#DIV/0!</v>
      </c>
    </row>
    <row r="126" spans="1:55" ht="15" x14ac:dyDescent="0.2">
      <c r="A126" s="13"/>
      <c r="B126" s="13"/>
      <c r="C126" s="43">
        <v>37</v>
      </c>
      <c r="D126" s="53">
        <v>1309.1400000000001</v>
      </c>
      <c r="E126" s="53">
        <v>36.205800000000004</v>
      </c>
      <c r="F126" s="53"/>
      <c r="G126" s="53"/>
      <c r="H126" s="53"/>
      <c r="I126" s="53"/>
      <c r="J126" s="53"/>
      <c r="K126" s="15">
        <v>0</v>
      </c>
      <c r="L126" s="15">
        <v>0</v>
      </c>
      <c r="M126" s="15">
        <v>0</v>
      </c>
      <c r="N126" s="16">
        <f t="shared" si="75"/>
        <v>0</v>
      </c>
      <c r="P126" s="55">
        <v>1305.8699999999999</v>
      </c>
      <c r="Q126" s="55">
        <v>36.199199999999998</v>
      </c>
      <c r="R126" s="55"/>
      <c r="S126" s="55"/>
      <c r="T126" s="55"/>
      <c r="U126" s="55"/>
      <c r="V126" s="55"/>
      <c r="W126" s="15">
        <v>0</v>
      </c>
      <c r="X126" s="15">
        <v>0</v>
      </c>
      <c r="Y126" s="15">
        <v>0</v>
      </c>
      <c r="Z126" s="16">
        <f t="shared" si="77"/>
        <v>0</v>
      </c>
      <c r="AA126" s="15" t="e">
        <f t="shared" si="76"/>
        <v>#DIV/0!</v>
      </c>
      <c r="AB126" s="15" t="e">
        <f t="shared" si="127"/>
        <v>#DIV/0!</v>
      </c>
      <c r="AC126" s="15" t="e">
        <f t="shared" si="127"/>
        <v>#DIV/0!</v>
      </c>
      <c r="AD126" s="16">
        <f t="shared" si="78"/>
        <v>2.4978229983043899E-3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 t="e">
        <f>V126/J126</f>
        <v>#DIV/0!</v>
      </c>
      <c r="AY126" s="15" t="e">
        <f t="shared" si="140"/>
        <v>#DIV/0!</v>
      </c>
      <c r="AZ126" s="15" t="e">
        <f t="shared" si="130"/>
        <v>#DIV/0!</v>
      </c>
      <c r="BA126" s="15" t="e">
        <f>V126/J126</f>
        <v>#DIV/0!</v>
      </c>
      <c r="BB126" s="15" t="e">
        <f t="shared" si="138"/>
        <v>#DIV/0!</v>
      </c>
      <c r="BC126" s="15" t="e">
        <f t="shared" si="126"/>
        <v>#DIV/0!</v>
      </c>
    </row>
    <row r="127" spans="1:55" ht="15.75" thickBot="1" x14ac:dyDescent="0.25">
      <c r="A127" s="13"/>
      <c r="B127" s="17"/>
      <c r="C127" s="44">
        <v>42</v>
      </c>
      <c r="D127" s="53">
        <v>952.92</v>
      </c>
      <c r="E127" s="53">
        <v>31.9192</v>
      </c>
      <c r="F127" s="53"/>
      <c r="G127" s="53"/>
      <c r="H127" s="53"/>
      <c r="I127" s="53"/>
      <c r="J127" s="53"/>
      <c r="K127" s="19">
        <v>0</v>
      </c>
      <c r="L127" s="19">
        <v>0</v>
      </c>
      <c r="M127" s="19">
        <v>0</v>
      </c>
      <c r="N127" s="20">
        <f t="shared" si="75"/>
        <v>0</v>
      </c>
      <c r="P127" s="55">
        <v>951.39</v>
      </c>
      <c r="Q127" s="55">
        <v>31.946100000000001</v>
      </c>
      <c r="R127" s="55"/>
      <c r="S127" s="55"/>
      <c r="T127" s="55"/>
      <c r="U127" s="55"/>
      <c r="V127" s="55"/>
      <c r="W127" s="19">
        <v>0</v>
      </c>
      <c r="X127" s="19">
        <v>0</v>
      </c>
      <c r="Y127" s="19">
        <v>0</v>
      </c>
      <c r="Z127" s="20">
        <f t="shared" si="77"/>
        <v>0</v>
      </c>
      <c r="AA127" s="15" t="e">
        <f t="shared" si="76"/>
        <v>#DIV/0!</v>
      </c>
      <c r="AB127" s="15" t="e">
        <f t="shared" si="127"/>
        <v>#DIV/0!</v>
      </c>
      <c r="AC127" s="15" t="e">
        <f t="shared" si="127"/>
        <v>#DIV/0!</v>
      </c>
      <c r="AD127" s="20">
        <f t="shared" si="78"/>
        <v>1.6055912353607573E-3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 t="e">
        <f>V127/J127</f>
        <v>#DIV/0!</v>
      </c>
      <c r="AY127" s="15" t="e">
        <f t="shared" si="140"/>
        <v>#DIV/0!</v>
      </c>
      <c r="AZ127" s="15" t="e">
        <f t="shared" si="130"/>
        <v>#DIV/0!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3">
        <v>830.86</v>
      </c>
      <c r="E128" s="53">
        <v>49.002800000000001</v>
      </c>
      <c r="F128" s="53"/>
      <c r="G128" s="53"/>
      <c r="H128" s="53"/>
      <c r="I128" s="53"/>
      <c r="J128" s="53"/>
      <c r="K128" s="10">
        <v>0</v>
      </c>
      <c r="L128" s="10">
        <v>0</v>
      </c>
      <c r="M128" s="10">
        <v>0</v>
      </c>
      <c r="N128" s="11">
        <f t="shared" si="75"/>
        <v>0</v>
      </c>
      <c r="P128" s="55">
        <v>831.7</v>
      </c>
      <c r="Q128" s="55">
        <v>49.048400000000001</v>
      </c>
      <c r="R128" s="55"/>
      <c r="S128" s="55"/>
      <c r="T128" s="55"/>
      <c r="U128" s="55"/>
      <c r="V128" s="55"/>
      <c r="W128" s="10">
        <v>0</v>
      </c>
      <c r="X128" s="10">
        <v>0</v>
      </c>
      <c r="Y128" s="10">
        <v>0</v>
      </c>
      <c r="Z128" s="11">
        <f t="shared" si="77"/>
        <v>0</v>
      </c>
      <c r="AA128" s="15" t="e">
        <f t="shared" si="76"/>
        <v>#DIV/0!</v>
      </c>
      <c r="AB128" s="15" t="e">
        <f t="shared" si="127"/>
        <v>#DIV/0!</v>
      </c>
      <c r="AC128" s="15" t="e">
        <f t="shared" si="127"/>
        <v>#DIV/0!</v>
      </c>
      <c r="AD128" s="11">
        <f t="shared" si="78"/>
        <v>1.0110006499290274E-3</v>
      </c>
      <c r="AE128" s="12"/>
      <c r="AF128" s="25">
        <f t="shared" ref="AF128:AK128" si="141">bdRateExtend($D128:$D132,E128:E132,$P128:$P132,Q128:Q132)</f>
        <v>-2.4003952357823932E-3</v>
      </c>
      <c r="AG128" s="30" t="e">
        <f t="shared" si="141"/>
        <v>#VALUE!</v>
      </c>
      <c r="AH128" s="31" t="e">
        <f t="shared" si="141"/>
        <v>#VALUE!</v>
      </c>
      <c r="AI128" s="25" t="e">
        <f t="shared" si="141"/>
        <v>#VALUE!</v>
      </c>
      <c r="AJ128" s="30" t="e">
        <f t="shared" si="141"/>
        <v>#VALUE!</v>
      </c>
      <c r="AK128" s="30" t="e">
        <f t="shared" si="141"/>
        <v>#VALUE!</v>
      </c>
      <c r="AL128" s="45"/>
      <c r="AM128" s="46"/>
      <c r="AN128" s="47"/>
      <c r="AO128" s="46"/>
      <c r="AP128" s="46"/>
      <c r="AQ128" s="47"/>
      <c r="AR128" s="30">
        <f t="shared" ref="AR128:AW128" si="142">bdrate($D128:$D131,E128:E131,$P128:$P131,Q128:Q131)</f>
        <v>-1.5798020880347652E-3</v>
      </c>
      <c r="AS128" s="30" t="e">
        <f t="shared" si="142"/>
        <v>#VALUE!</v>
      </c>
      <c r="AT128" s="31" t="e">
        <f t="shared" si="142"/>
        <v>#VALUE!</v>
      </c>
      <c r="AU128" s="25" t="e">
        <f t="shared" si="142"/>
        <v>#VALUE!</v>
      </c>
      <c r="AV128" s="30" t="e">
        <f t="shared" si="142"/>
        <v>#VALUE!</v>
      </c>
      <c r="AW128" s="31" t="e">
        <f t="shared" si="142"/>
        <v>#VALUE!</v>
      </c>
      <c r="AX128" s="15"/>
      <c r="AY128" s="15"/>
      <c r="AZ128" s="15"/>
      <c r="BA128" s="15" t="e">
        <f>V128/J128</f>
        <v>#DIV/0!</v>
      </c>
      <c r="BB128" s="15" t="e">
        <f t="shared" ref="BB128:BB131" si="143">X128/L128</f>
        <v>#DIV/0!</v>
      </c>
      <c r="BC128" s="15" t="e">
        <f t="shared" si="126"/>
        <v>#DIV/0!</v>
      </c>
    </row>
    <row r="129" spans="1:55" ht="15" x14ac:dyDescent="0.2">
      <c r="A129" s="13"/>
      <c r="B129" s="13"/>
      <c r="C129" s="43">
        <v>27</v>
      </c>
      <c r="D129" s="53">
        <v>588.34</v>
      </c>
      <c r="E129" s="53">
        <v>45.736600000000003</v>
      </c>
      <c r="F129" s="53"/>
      <c r="G129" s="53"/>
      <c r="H129" s="53"/>
      <c r="I129" s="53"/>
      <c r="J129" s="53"/>
      <c r="K129" s="15">
        <v>0</v>
      </c>
      <c r="L129" s="15">
        <v>0</v>
      </c>
      <c r="M129" s="15">
        <v>0</v>
      </c>
      <c r="N129" s="16">
        <f t="shared" si="75"/>
        <v>0</v>
      </c>
      <c r="P129" s="55">
        <v>588.67999999999995</v>
      </c>
      <c r="Q129" s="55">
        <v>45.754399999999997</v>
      </c>
      <c r="R129" s="55"/>
      <c r="S129" s="55"/>
      <c r="T129" s="55"/>
      <c r="U129" s="55"/>
      <c r="V129" s="55"/>
      <c r="W129" s="15">
        <v>0</v>
      </c>
      <c r="X129" s="15">
        <v>0</v>
      </c>
      <c r="Y129" s="15">
        <v>0</v>
      </c>
      <c r="Z129" s="16">
        <f t="shared" si="77"/>
        <v>0</v>
      </c>
      <c r="AA129" s="15" t="e">
        <f t="shared" si="76"/>
        <v>#DIV/0!</v>
      </c>
      <c r="AB129" s="15" t="e">
        <f t="shared" si="127"/>
        <v>#DIV/0!</v>
      </c>
      <c r="AC129" s="15" t="e">
        <f t="shared" si="127"/>
        <v>#DIV/0!</v>
      </c>
      <c r="AD129" s="16">
        <f t="shared" si="78"/>
        <v>5.7789713430995363E-4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-2.4076167794189196E-3</v>
      </c>
      <c r="AM129" s="21" t="e">
        <f>bdrate($D129:$D132,F129:F132,$P129:$P132,R129:R132)</f>
        <v>#VALUE!</v>
      </c>
      <c r="AN129" s="36" t="e">
        <f t="shared" ref="AN129" si="144">bdrate($D129:$D132,G129:G132,$P129:$P132,S129:S132)</f>
        <v>#VALUE!</v>
      </c>
      <c r="AO129" s="26" t="e">
        <f>bdrate($D129:$D132,H129:H132,$P129:$P132,T129:T132)</f>
        <v>#VALUE!</v>
      </c>
      <c r="AP129" s="21" t="e">
        <f>bdrate($D129:$D132,I129:I132,$P129:$P132,U129:U132)</f>
        <v>#VALUE!</v>
      </c>
      <c r="AQ129" s="36" t="e">
        <f>bdrate($D129:$D132,J129:J132,$P129:$P132,V129:V132)</f>
        <v>#VALUE!</v>
      </c>
      <c r="AR129" s="21"/>
      <c r="AS129" s="21"/>
      <c r="AT129" s="36"/>
      <c r="AU129" s="26"/>
      <c r="AV129" s="21"/>
      <c r="AW129" s="36"/>
      <c r="AX129" s="15" t="e">
        <f>V129/J129</f>
        <v>#DIV/0!</v>
      </c>
      <c r="AY129" s="15" t="e">
        <f t="shared" ref="AY129:AY132" si="145">X129/L129</f>
        <v>#DIV/0!</v>
      </c>
      <c r="AZ129" s="15" t="e">
        <f t="shared" si="130"/>
        <v>#DIV/0!</v>
      </c>
      <c r="BA129" s="15" t="e">
        <f>V129/J129</f>
        <v>#DIV/0!</v>
      </c>
      <c r="BB129" s="15" t="e">
        <f t="shared" si="143"/>
        <v>#DIV/0!</v>
      </c>
      <c r="BC129" s="15" t="e">
        <f t="shared" si="126"/>
        <v>#DIV/0!</v>
      </c>
    </row>
    <row r="130" spans="1:55" ht="15" x14ac:dyDescent="0.2">
      <c r="A130" s="13"/>
      <c r="B130" s="13"/>
      <c r="C130" s="43">
        <v>32</v>
      </c>
      <c r="D130" s="53">
        <v>432.76</v>
      </c>
      <c r="E130" s="53">
        <v>42.479399999999998</v>
      </c>
      <c r="F130" s="53"/>
      <c r="G130" s="53"/>
      <c r="H130" s="53"/>
      <c r="I130" s="53"/>
      <c r="J130" s="53"/>
      <c r="K130" s="15">
        <v>0</v>
      </c>
      <c r="L130" s="15">
        <v>0</v>
      </c>
      <c r="M130" s="15">
        <v>0</v>
      </c>
      <c r="N130" s="16">
        <f t="shared" si="75"/>
        <v>0</v>
      </c>
      <c r="P130" s="55">
        <v>432.3</v>
      </c>
      <c r="Q130" s="55">
        <v>42.476399999999998</v>
      </c>
      <c r="R130" s="55"/>
      <c r="S130" s="55"/>
      <c r="T130" s="55"/>
      <c r="U130" s="55"/>
      <c r="V130" s="55"/>
      <c r="W130" s="15">
        <v>0</v>
      </c>
      <c r="X130" s="15">
        <v>0</v>
      </c>
      <c r="Y130" s="15">
        <v>0</v>
      </c>
      <c r="Z130" s="16">
        <f t="shared" si="77"/>
        <v>0</v>
      </c>
      <c r="AA130" s="15" t="e">
        <f t="shared" si="76"/>
        <v>#DIV/0!</v>
      </c>
      <c r="AB130" s="15" t="e">
        <f t="shared" si="127"/>
        <v>#DIV/0!</v>
      </c>
      <c r="AC130" s="15" t="e">
        <f t="shared" si="127"/>
        <v>#DIV/0!</v>
      </c>
      <c r="AD130" s="16">
        <f t="shared" si="78"/>
        <v>1.0629448192993334E-3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 t="e">
        <f>V130/J130</f>
        <v>#DIV/0!</v>
      </c>
      <c r="AY130" s="15" t="e">
        <f t="shared" si="145"/>
        <v>#DIV/0!</v>
      </c>
      <c r="AZ130" s="15" t="e">
        <f t="shared" si="130"/>
        <v>#DIV/0!</v>
      </c>
      <c r="BA130" s="15" t="e">
        <f>V130/J130</f>
        <v>#DIV/0!</v>
      </c>
      <c r="BB130" s="15" t="e">
        <f t="shared" si="143"/>
        <v>#DIV/0!</v>
      </c>
      <c r="BC130" s="15" t="e">
        <f t="shared" si="126"/>
        <v>#DIV/0!</v>
      </c>
    </row>
    <row r="131" spans="1:55" ht="15" x14ac:dyDescent="0.2">
      <c r="A131" s="13"/>
      <c r="B131" s="13"/>
      <c r="C131" s="43">
        <v>37</v>
      </c>
      <c r="D131" s="53">
        <v>318.45999999999998</v>
      </c>
      <c r="E131" s="53">
        <v>38.731299999999997</v>
      </c>
      <c r="F131" s="53"/>
      <c r="G131" s="53"/>
      <c r="H131" s="53"/>
      <c r="I131" s="53"/>
      <c r="J131" s="53"/>
      <c r="K131" s="15">
        <v>0</v>
      </c>
      <c r="L131" s="15">
        <v>0</v>
      </c>
      <c r="M131" s="15">
        <v>0</v>
      </c>
      <c r="N131" s="16">
        <f t="shared" ref="N131:N152" si="146">K131/3600</f>
        <v>0</v>
      </c>
      <c r="P131" s="55">
        <v>316.60000000000002</v>
      </c>
      <c r="Q131" s="55">
        <v>38.689399999999999</v>
      </c>
      <c r="R131" s="55"/>
      <c r="S131" s="55"/>
      <c r="T131" s="55"/>
      <c r="U131" s="55"/>
      <c r="V131" s="55"/>
      <c r="W131" s="15">
        <v>0</v>
      </c>
      <c r="X131" s="15">
        <v>0</v>
      </c>
      <c r="Y131" s="15">
        <v>0</v>
      </c>
      <c r="Z131" s="16">
        <f t="shared" si="77"/>
        <v>0</v>
      </c>
      <c r="AA131" s="15" t="e">
        <f t="shared" ref="AA131:AA152" si="147">V131/J131</f>
        <v>#DIV/0!</v>
      </c>
      <c r="AB131" s="15" t="e">
        <f t="shared" si="127"/>
        <v>#DIV/0!</v>
      </c>
      <c r="AC131" s="15" t="e">
        <f t="shared" si="127"/>
        <v>#DIV/0!</v>
      </c>
      <c r="AD131" s="16">
        <f t="shared" si="78"/>
        <v>5.8406079256420173E-3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 t="e">
        <f>V131/J131</f>
        <v>#DIV/0!</v>
      </c>
      <c r="AY131" s="15" t="e">
        <f t="shared" si="145"/>
        <v>#DIV/0!</v>
      </c>
      <c r="AZ131" s="15" t="e">
        <f t="shared" si="130"/>
        <v>#DIV/0!</v>
      </c>
      <c r="BA131" s="15" t="e">
        <f>V131/J131</f>
        <v>#DIV/0!</v>
      </c>
      <c r="BB131" s="15" t="e">
        <f t="shared" si="143"/>
        <v>#DIV/0!</v>
      </c>
      <c r="BC131" s="15" t="e">
        <f t="shared" si="126"/>
        <v>#DIV/0!</v>
      </c>
    </row>
    <row r="132" spans="1:55" ht="15.75" thickBot="1" x14ac:dyDescent="0.25">
      <c r="A132" s="17"/>
      <c r="B132" s="17"/>
      <c r="C132" s="44">
        <v>42</v>
      </c>
      <c r="D132" s="53">
        <v>228.22</v>
      </c>
      <c r="E132" s="53">
        <v>35.075600000000001</v>
      </c>
      <c r="F132" s="53"/>
      <c r="G132" s="53"/>
      <c r="H132" s="53"/>
      <c r="I132" s="53"/>
      <c r="J132" s="53"/>
      <c r="K132" s="19">
        <v>0</v>
      </c>
      <c r="L132" s="19">
        <v>0</v>
      </c>
      <c r="M132" s="19">
        <v>0</v>
      </c>
      <c r="N132" s="20">
        <f t="shared" si="146"/>
        <v>0</v>
      </c>
      <c r="P132" s="55">
        <v>226.4</v>
      </c>
      <c r="Q132" s="55">
        <v>35.081000000000003</v>
      </c>
      <c r="R132" s="55"/>
      <c r="S132" s="55"/>
      <c r="T132" s="55"/>
      <c r="U132" s="55"/>
      <c r="V132" s="55"/>
      <c r="W132" s="19">
        <v>0</v>
      </c>
      <c r="X132" s="19">
        <v>0</v>
      </c>
      <c r="Y132" s="19">
        <v>0</v>
      </c>
      <c r="Z132" s="20">
        <f t="shared" ref="Z132:Z152" si="148">W132/3600</f>
        <v>0</v>
      </c>
      <c r="AA132" s="19" t="e">
        <f t="shared" si="147"/>
        <v>#DIV/0!</v>
      </c>
      <c r="AB132" s="19" t="e">
        <f t="shared" si="127"/>
        <v>#DIV/0!</v>
      </c>
      <c r="AC132" s="19" t="e">
        <f t="shared" si="127"/>
        <v>#DIV/0!</v>
      </c>
      <c r="AD132" s="20">
        <f t="shared" ref="AD132:AD152" si="149">ABS(P132-D132)/D132</f>
        <v>7.9747611953378018E-3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 t="e">
        <f>V132/J132</f>
        <v>#DIV/0!</v>
      </c>
      <c r="AY132" s="19" t="e">
        <f t="shared" si="145"/>
        <v>#DIV/0!</v>
      </c>
      <c r="AZ132" s="19" t="e">
        <f t="shared" si="130"/>
        <v>#DIV/0!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>
        <v>0</v>
      </c>
      <c r="E133" s="10">
        <v>0</v>
      </c>
      <c r="F133" s="10">
        <v>0</v>
      </c>
      <c r="G133" s="10">
        <v>0</v>
      </c>
      <c r="H133" s="10">
        <v>0</v>
      </c>
      <c r="I133" s="10">
        <v>0</v>
      </c>
      <c r="J133" s="10">
        <v>0</v>
      </c>
      <c r="K133" s="10">
        <v>0</v>
      </c>
      <c r="L133" s="10">
        <v>0</v>
      </c>
      <c r="M133" s="10">
        <v>0</v>
      </c>
      <c r="N133" s="11">
        <f t="shared" si="146"/>
        <v>0</v>
      </c>
      <c r="P133" s="9">
        <v>0</v>
      </c>
      <c r="Q133" s="10">
        <v>0</v>
      </c>
      <c r="R133" s="10">
        <v>0</v>
      </c>
      <c r="S133" s="10">
        <v>0</v>
      </c>
      <c r="T133" s="10">
        <v>0</v>
      </c>
      <c r="U133" s="50">
        <v>0</v>
      </c>
      <c r="V133" s="10">
        <v>0</v>
      </c>
      <c r="W133" s="10">
        <v>0</v>
      </c>
      <c r="X133" s="10">
        <v>0</v>
      </c>
      <c r="Y133" s="10">
        <v>0</v>
      </c>
      <c r="Z133" s="11">
        <f t="shared" si="148"/>
        <v>0</v>
      </c>
      <c r="AA133" s="10" t="e">
        <f t="shared" si="147"/>
        <v>#DIV/0!</v>
      </c>
      <c r="AB133" s="10" t="e">
        <f>X133/L133</f>
        <v>#DIV/0!</v>
      </c>
      <c r="AC133" s="10" t="e">
        <f>Y133/M133</f>
        <v>#DIV/0!</v>
      </c>
      <c r="AD133" s="11" t="e">
        <f t="shared" si="149"/>
        <v>#DIV/0!</v>
      </c>
      <c r="AE133" s="40"/>
      <c r="AF133" s="25" t="e">
        <f t="shared" ref="AF133:AH133" si="150">bdRateExtend($D133:$D137,E133:E137,$P133:$P137,Q133:Q137)</f>
        <v>#VALUE!</v>
      </c>
      <c r="AG133" s="30" t="e">
        <f t="shared" si="150"/>
        <v>#VALUE!</v>
      </c>
      <c r="AH133" s="31" t="e">
        <f t="shared" si="150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1">bdrate($D133:$D136,F133:F136,$P133:$P136,R133:R136)</f>
        <v>#VALUE!</v>
      </c>
      <c r="AT133" s="31" t="e">
        <f t="shared" si="151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#DIV/0!</v>
      </c>
      <c r="BB133" s="10" t="e">
        <f t="shared" ref="BB133:BB136" si="152">X133/L133</f>
        <v>#DIV/0!</v>
      </c>
      <c r="BC133" s="10" t="e">
        <f t="shared" si="126"/>
        <v>#DIV/0!</v>
      </c>
    </row>
    <row r="134" spans="1:55" ht="12.75" hidden="1" thickBot="1" x14ac:dyDescent="0.25">
      <c r="A134" s="13"/>
      <c r="B134" s="13"/>
      <c r="C134" s="43">
        <v>27</v>
      </c>
      <c r="D134" s="14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6">
        <f t="shared" si="146"/>
        <v>0</v>
      </c>
      <c r="P134" s="14">
        <v>0</v>
      </c>
      <c r="Q134" s="15">
        <v>0</v>
      </c>
      <c r="R134" s="15">
        <v>0</v>
      </c>
      <c r="S134" s="15">
        <v>0</v>
      </c>
      <c r="T134" s="15">
        <v>0</v>
      </c>
      <c r="U134" s="51">
        <v>0</v>
      </c>
      <c r="V134" s="15">
        <v>0</v>
      </c>
      <c r="W134" s="15">
        <v>0</v>
      </c>
      <c r="X134" s="15">
        <v>0</v>
      </c>
      <c r="Y134" s="15">
        <v>0</v>
      </c>
      <c r="Z134" s="16">
        <f t="shared" si="148"/>
        <v>0</v>
      </c>
      <c r="AA134" s="15" t="e">
        <f t="shared" si="147"/>
        <v>#DIV/0!</v>
      </c>
      <c r="AB134" s="15" t="e">
        <f t="shared" ref="AB134:AC152" si="153">X134/L134</f>
        <v>#DIV/0!</v>
      </c>
      <c r="AC134" s="15" t="e">
        <f t="shared" si="153"/>
        <v>#DIV/0!</v>
      </c>
      <c r="AD134" s="16" t="e">
        <f t="shared" si="149"/>
        <v>#DIV/0!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4">bdrate($D134:$D137,E134:E137,$P134:$P137,Q134:Q137)</f>
        <v>#VALUE!</v>
      </c>
      <c r="AM134" s="21" t="e">
        <f t="shared" si="154"/>
        <v>#VALUE!</v>
      </c>
      <c r="AN134" s="36" t="e">
        <f t="shared" si="154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#DIV/0!</v>
      </c>
      <c r="AY134" s="15" t="e">
        <f t="shared" ref="AY134:AY137" si="155">X134/L134</f>
        <v>#DIV/0!</v>
      </c>
      <c r="AZ134" s="15" t="e">
        <f t="shared" si="130"/>
        <v>#DIV/0!</v>
      </c>
      <c r="BA134" s="15" t="e">
        <f>V134/J134</f>
        <v>#DIV/0!</v>
      </c>
      <c r="BB134" s="15" t="e">
        <f t="shared" si="152"/>
        <v>#DIV/0!</v>
      </c>
      <c r="BC134" s="15" t="e">
        <f t="shared" si="126"/>
        <v>#DIV/0!</v>
      </c>
    </row>
    <row r="135" spans="1:55" ht="12.75" hidden="1" thickBot="1" x14ac:dyDescent="0.25">
      <c r="A135" s="13"/>
      <c r="B135" s="13"/>
      <c r="C135" s="43">
        <v>32</v>
      </c>
      <c r="D135" s="14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6">
        <f t="shared" si="146"/>
        <v>0</v>
      </c>
      <c r="P135" s="14">
        <v>0</v>
      </c>
      <c r="Q135" s="15">
        <v>0</v>
      </c>
      <c r="R135" s="15">
        <v>0</v>
      </c>
      <c r="S135" s="15">
        <v>0</v>
      </c>
      <c r="T135" s="15">
        <v>0</v>
      </c>
      <c r="U135" s="51">
        <v>0</v>
      </c>
      <c r="V135" s="15">
        <v>0</v>
      </c>
      <c r="W135" s="15">
        <v>0</v>
      </c>
      <c r="X135" s="15">
        <v>0</v>
      </c>
      <c r="Y135" s="15">
        <v>0</v>
      </c>
      <c r="Z135" s="16">
        <f t="shared" si="148"/>
        <v>0</v>
      </c>
      <c r="AA135" s="15" t="e">
        <f t="shared" si="147"/>
        <v>#DIV/0!</v>
      </c>
      <c r="AB135" s="15" t="e">
        <f t="shared" si="153"/>
        <v>#DIV/0!</v>
      </c>
      <c r="AC135" s="15" t="e">
        <f t="shared" si="153"/>
        <v>#DIV/0!</v>
      </c>
      <c r="AD135" s="16" t="e">
        <f t="shared" si="149"/>
        <v>#DIV/0!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#DIV/0!</v>
      </c>
      <c r="AY135" s="15" t="e">
        <f t="shared" si="155"/>
        <v>#DIV/0!</v>
      </c>
      <c r="AZ135" s="15" t="e">
        <f t="shared" si="130"/>
        <v>#DIV/0!</v>
      </c>
      <c r="BA135" s="15" t="e">
        <f>V135/J135</f>
        <v>#DIV/0!</v>
      </c>
      <c r="BB135" s="15" t="e">
        <f t="shared" si="152"/>
        <v>#DIV/0!</v>
      </c>
      <c r="BC135" s="15" t="e">
        <f t="shared" si="126"/>
        <v>#DIV/0!</v>
      </c>
    </row>
    <row r="136" spans="1:55" ht="12.75" hidden="1" thickBot="1" x14ac:dyDescent="0.25">
      <c r="A136" s="13"/>
      <c r="B136" s="13"/>
      <c r="C136" s="43">
        <v>37</v>
      </c>
      <c r="D136" s="14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6">
        <f t="shared" si="146"/>
        <v>0</v>
      </c>
      <c r="P136" s="14">
        <v>0</v>
      </c>
      <c r="Q136" s="15">
        <v>0</v>
      </c>
      <c r="R136" s="15">
        <v>0</v>
      </c>
      <c r="S136" s="15">
        <v>0</v>
      </c>
      <c r="T136" s="15">
        <v>0</v>
      </c>
      <c r="U136" s="51">
        <v>0</v>
      </c>
      <c r="V136" s="15">
        <v>0</v>
      </c>
      <c r="W136" s="15">
        <v>0</v>
      </c>
      <c r="X136" s="15">
        <v>0</v>
      </c>
      <c r="Y136" s="15">
        <v>0</v>
      </c>
      <c r="Z136" s="16">
        <f t="shared" si="148"/>
        <v>0</v>
      </c>
      <c r="AA136" s="15" t="e">
        <f t="shared" si="147"/>
        <v>#DIV/0!</v>
      </c>
      <c r="AB136" s="15" t="e">
        <f t="shared" si="153"/>
        <v>#DIV/0!</v>
      </c>
      <c r="AC136" s="15" t="e">
        <f t="shared" si="153"/>
        <v>#DIV/0!</v>
      </c>
      <c r="AD136" s="16" t="e">
        <f t="shared" si="149"/>
        <v>#DIV/0!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#DIV/0!</v>
      </c>
      <c r="AY136" s="15" t="e">
        <f t="shared" si="155"/>
        <v>#DIV/0!</v>
      </c>
      <c r="AZ136" s="15" t="e">
        <f t="shared" si="130"/>
        <v>#DIV/0!</v>
      </c>
      <c r="BA136" s="15" t="e">
        <f>V136/J136</f>
        <v>#DIV/0!</v>
      </c>
      <c r="BB136" s="15" t="e">
        <f t="shared" si="152"/>
        <v>#DIV/0!</v>
      </c>
      <c r="BC136" s="15" t="e">
        <f t="shared" si="126"/>
        <v>#DIV/0!</v>
      </c>
    </row>
    <row r="137" spans="1:55" ht="12.75" hidden="1" thickBot="1" x14ac:dyDescent="0.25">
      <c r="A137" s="13"/>
      <c r="B137" s="17"/>
      <c r="C137" s="44">
        <v>42</v>
      </c>
      <c r="D137" s="18">
        <v>0</v>
      </c>
      <c r="E137" s="19">
        <v>0</v>
      </c>
      <c r="F137" s="19">
        <v>0</v>
      </c>
      <c r="G137" s="19">
        <v>0</v>
      </c>
      <c r="H137" s="19">
        <v>0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20">
        <f t="shared" si="146"/>
        <v>0</v>
      </c>
      <c r="P137" s="18">
        <v>0</v>
      </c>
      <c r="Q137" s="19">
        <v>0</v>
      </c>
      <c r="R137" s="19">
        <v>0</v>
      </c>
      <c r="S137" s="19">
        <v>0</v>
      </c>
      <c r="T137" s="19">
        <v>0</v>
      </c>
      <c r="U137" s="52">
        <v>0</v>
      </c>
      <c r="V137" s="19">
        <v>0</v>
      </c>
      <c r="W137" s="19">
        <v>0</v>
      </c>
      <c r="X137" s="19">
        <v>0</v>
      </c>
      <c r="Y137" s="19">
        <v>0</v>
      </c>
      <c r="Z137" s="20">
        <f t="shared" si="148"/>
        <v>0</v>
      </c>
      <c r="AA137" s="15" t="e">
        <f t="shared" si="147"/>
        <v>#DIV/0!</v>
      </c>
      <c r="AB137" s="15" t="e">
        <f t="shared" si="153"/>
        <v>#DIV/0!</v>
      </c>
      <c r="AC137" s="15" t="e">
        <f t="shared" si="153"/>
        <v>#DIV/0!</v>
      </c>
      <c r="AD137" s="20" t="e">
        <f t="shared" si="149"/>
        <v>#DIV/0!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#DIV/0!</v>
      </c>
      <c r="AY137" s="15" t="e">
        <f t="shared" si="155"/>
        <v>#DIV/0!</v>
      </c>
      <c r="AZ137" s="15" t="e">
        <f t="shared" si="130"/>
        <v>#DIV/0!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>
        <v>0</v>
      </c>
      <c r="E138" s="10">
        <v>0</v>
      </c>
      <c r="F138" s="10">
        <v>0</v>
      </c>
      <c r="G138" s="10">
        <v>0</v>
      </c>
      <c r="H138" s="10">
        <v>0</v>
      </c>
      <c r="I138" s="10">
        <v>0</v>
      </c>
      <c r="J138" s="10">
        <v>0</v>
      </c>
      <c r="K138" s="10">
        <v>0</v>
      </c>
      <c r="L138" s="10">
        <v>0</v>
      </c>
      <c r="M138" s="10">
        <v>0</v>
      </c>
      <c r="N138" s="11">
        <f t="shared" si="146"/>
        <v>0</v>
      </c>
      <c r="P138" s="9">
        <v>0</v>
      </c>
      <c r="Q138" s="10">
        <v>0</v>
      </c>
      <c r="R138" s="10">
        <v>0</v>
      </c>
      <c r="S138" s="10">
        <v>0</v>
      </c>
      <c r="T138" s="10">
        <v>0</v>
      </c>
      <c r="U138" s="50">
        <v>0</v>
      </c>
      <c r="V138" s="10">
        <v>0</v>
      </c>
      <c r="W138" s="10">
        <v>0</v>
      </c>
      <c r="X138" s="10">
        <v>0</v>
      </c>
      <c r="Y138" s="10">
        <v>0</v>
      </c>
      <c r="Z138" s="11">
        <f t="shared" si="148"/>
        <v>0</v>
      </c>
      <c r="AA138" s="15" t="e">
        <f t="shared" si="147"/>
        <v>#DIV/0!</v>
      </c>
      <c r="AB138" s="15" t="e">
        <f t="shared" si="153"/>
        <v>#DIV/0!</v>
      </c>
      <c r="AC138" s="15" t="e">
        <f t="shared" si="153"/>
        <v>#DIV/0!</v>
      </c>
      <c r="AD138" s="11" t="e">
        <f t="shared" si="149"/>
        <v>#DIV/0!</v>
      </c>
      <c r="AE138" s="12"/>
      <c r="AF138" s="25" t="e">
        <f t="shared" ref="AF138:AH138" si="156">bdRateExtend($D138:$D142,E138:E142,$P138:$P142,Q138:Q142)</f>
        <v>#VALUE!</v>
      </c>
      <c r="AG138" s="30" t="e">
        <f t="shared" si="156"/>
        <v>#VALUE!</v>
      </c>
      <c r="AH138" s="31" t="e">
        <f t="shared" si="156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57">bdrate($D138:$D141,E138:E141,$P138:$P141,Q138:Q141)</f>
        <v>#VALUE!</v>
      </c>
      <c r="AS138" s="30" t="e">
        <f t="shared" si="157"/>
        <v>#VALUE!</v>
      </c>
      <c r="AT138" s="31" t="e">
        <f t="shared" si="157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#DIV/0!</v>
      </c>
      <c r="BB138" s="15" t="e">
        <f t="shared" ref="BB138:BB141" si="158">X138/L138</f>
        <v>#DIV/0!</v>
      </c>
      <c r="BC138" s="15" t="e">
        <f t="shared" si="126"/>
        <v>#DIV/0!</v>
      </c>
    </row>
    <row r="139" spans="1:55" ht="12.75" hidden="1" thickBot="1" x14ac:dyDescent="0.25">
      <c r="A139" s="13"/>
      <c r="B139" s="13"/>
      <c r="C139" s="43">
        <v>27</v>
      </c>
      <c r="D139" s="14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6">
        <f t="shared" si="146"/>
        <v>0</v>
      </c>
      <c r="P139" s="14">
        <v>0</v>
      </c>
      <c r="Q139" s="15">
        <v>0</v>
      </c>
      <c r="R139" s="15">
        <v>0</v>
      </c>
      <c r="S139" s="15">
        <v>0</v>
      </c>
      <c r="T139" s="15">
        <v>0</v>
      </c>
      <c r="U139" s="51">
        <v>0</v>
      </c>
      <c r="V139" s="15">
        <v>0</v>
      </c>
      <c r="W139" s="15">
        <v>0</v>
      </c>
      <c r="X139" s="15">
        <v>0</v>
      </c>
      <c r="Y139" s="15">
        <v>0</v>
      </c>
      <c r="Z139" s="16">
        <f t="shared" si="148"/>
        <v>0</v>
      </c>
      <c r="AA139" s="15" t="e">
        <f t="shared" si="147"/>
        <v>#DIV/0!</v>
      </c>
      <c r="AB139" s="15" t="e">
        <f t="shared" si="153"/>
        <v>#DIV/0!</v>
      </c>
      <c r="AC139" s="15" t="e">
        <f t="shared" si="153"/>
        <v>#DIV/0!</v>
      </c>
      <c r="AD139" s="16" t="e">
        <f t="shared" si="149"/>
        <v>#DIV/0!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59">bdrate($D139:$D142,E139:E142,$P139:$P142,Q139:Q142)</f>
        <v>#VALUE!</v>
      </c>
      <c r="AM139" s="21" t="e">
        <f t="shared" si="159"/>
        <v>#VALUE!</v>
      </c>
      <c r="AN139" s="36" t="e">
        <f t="shared" si="159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#DIV/0!</v>
      </c>
      <c r="AY139" s="15" t="e">
        <f t="shared" ref="AY139:AY142" si="160">X139/L139</f>
        <v>#DIV/0!</v>
      </c>
      <c r="AZ139" s="15" t="e">
        <f t="shared" si="130"/>
        <v>#DIV/0!</v>
      </c>
      <c r="BA139" s="15" t="e">
        <f>V139/J139</f>
        <v>#DIV/0!</v>
      </c>
      <c r="BB139" s="15" t="e">
        <f t="shared" si="158"/>
        <v>#DIV/0!</v>
      </c>
      <c r="BC139" s="15" t="e">
        <f t="shared" si="126"/>
        <v>#DIV/0!</v>
      </c>
    </row>
    <row r="140" spans="1:55" ht="12.75" hidden="1" thickBot="1" x14ac:dyDescent="0.25">
      <c r="A140" s="13"/>
      <c r="B140" s="13"/>
      <c r="C140" s="43">
        <v>32</v>
      </c>
      <c r="D140" s="14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6">
        <f t="shared" si="146"/>
        <v>0</v>
      </c>
      <c r="P140" s="14">
        <v>0</v>
      </c>
      <c r="Q140" s="15">
        <v>0</v>
      </c>
      <c r="R140" s="15">
        <v>0</v>
      </c>
      <c r="S140" s="15">
        <v>0</v>
      </c>
      <c r="T140" s="15">
        <v>0</v>
      </c>
      <c r="U140" s="51">
        <v>0</v>
      </c>
      <c r="V140" s="15">
        <v>0</v>
      </c>
      <c r="W140" s="15">
        <v>0</v>
      </c>
      <c r="X140" s="15">
        <v>0</v>
      </c>
      <c r="Y140" s="15">
        <v>0</v>
      </c>
      <c r="Z140" s="16">
        <f t="shared" si="148"/>
        <v>0</v>
      </c>
      <c r="AA140" s="15" t="e">
        <f t="shared" si="147"/>
        <v>#DIV/0!</v>
      </c>
      <c r="AB140" s="15" t="e">
        <f t="shared" si="153"/>
        <v>#DIV/0!</v>
      </c>
      <c r="AC140" s="15" t="e">
        <f t="shared" si="153"/>
        <v>#DIV/0!</v>
      </c>
      <c r="AD140" s="16" t="e">
        <f t="shared" si="149"/>
        <v>#DIV/0!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#DIV/0!</v>
      </c>
      <c r="AY140" s="15" t="e">
        <f t="shared" si="160"/>
        <v>#DIV/0!</v>
      </c>
      <c r="AZ140" s="15" t="e">
        <f t="shared" si="130"/>
        <v>#DIV/0!</v>
      </c>
      <c r="BA140" s="15" t="e">
        <f>V140/J140</f>
        <v>#DIV/0!</v>
      </c>
      <c r="BB140" s="15" t="e">
        <f t="shared" si="158"/>
        <v>#DIV/0!</v>
      </c>
      <c r="BC140" s="15" t="e">
        <f t="shared" si="126"/>
        <v>#DIV/0!</v>
      </c>
    </row>
    <row r="141" spans="1:55" ht="12.75" hidden="1" thickBot="1" x14ac:dyDescent="0.25">
      <c r="A141" s="13"/>
      <c r="B141" s="13"/>
      <c r="C141" s="43">
        <v>37</v>
      </c>
      <c r="D141" s="14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6">
        <f t="shared" si="146"/>
        <v>0</v>
      </c>
      <c r="P141" s="14">
        <v>0</v>
      </c>
      <c r="Q141" s="15">
        <v>0</v>
      </c>
      <c r="R141" s="15">
        <v>0</v>
      </c>
      <c r="S141" s="15">
        <v>0</v>
      </c>
      <c r="T141" s="15">
        <v>0</v>
      </c>
      <c r="U141" s="51">
        <v>0</v>
      </c>
      <c r="V141" s="15">
        <v>0</v>
      </c>
      <c r="W141" s="15">
        <v>0</v>
      </c>
      <c r="X141" s="15">
        <v>0</v>
      </c>
      <c r="Y141" s="15">
        <v>0</v>
      </c>
      <c r="Z141" s="16">
        <f t="shared" si="148"/>
        <v>0</v>
      </c>
      <c r="AA141" s="15" t="e">
        <f t="shared" si="147"/>
        <v>#DIV/0!</v>
      </c>
      <c r="AB141" s="15" t="e">
        <f t="shared" si="153"/>
        <v>#DIV/0!</v>
      </c>
      <c r="AC141" s="15" t="e">
        <f t="shared" si="153"/>
        <v>#DIV/0!</v>
      </c>
      <c r="AD141" s="16" t="e">
        <f t="shared" si="149"/>
        <v>#DIV/0!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#DIV/0!</v>
      </c>
      <c r="AY141" s="15" t="e">
        <f t="shared" si="160"/>
        <v>#DIV/0!</v>
      </c>
      <c r="AZ141" s="15" t="e">
        <f t="shared" si="130"/>
        <v>#DIV/0!</v>
      </c>
      <c r="BA141" s="15" t="e">
        <f>V141/J141</f>
        <v>#DIV/0!</v>
      </c>
      <c r="BB141" s="15" t="e">
        <f t="shared" si="158"/>
        <v>#DIV/0!</v>
      </c>
      <c r="BC141" s="15" t="e">
        <f t="shared" si="126"/>
        <v>#DIV/0!</v>
      </c>
    </row>
    <row r="142" spans="1:55" ht="12.75" hidden="1" thickBot="1" x14ac:dyDescent="0.25">
      <c r="A142" s="13"/>
      <c r="B142" s="17"/>
      <c r="C142" s="44">
        <v>42</v>
      </c>
      <c r="D142" s="18">
        <v>0</v>
      </c>
      <c r="E142" s="19">
        <v>0</v>
      </c>
      <c r="F142" s="19">
        <v>0</v>
      </c>
      <c r="G142" s="19">
        <v>0</v>
      </c>
      <c r="H142" s="19">
        <v>0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20">
        <f t="shared" si="146"/>
        <v>0</v>
      </c>
      <c r="P142" s="18">
        <v>0</v>
      </c>
      <c r="Q142" s="19">
        <v>0</v>
      </c>
      <c r="R142" s="19">
        <v>0</v>
      </c>
      <c r="S142" s="19">
        <v>0</v>
      </c>
      <c r="T142" s="19">
        <v>0</v>
      </c>
      <c r="U142" s="52">
        <v>0</v>
      </c>
      <c r="V142" s="19">
        <v>0</v>
      </c>
      <c r="W142" s="19">
        <v>0</v>
      </c>
      <c r="X142" s="19">
        <v>0</v>
      </c>
      <c r="Y142" s="19">
        <v>0</v>
      </c>
      <c r="Z142" s="20">
        <f t="shared" si="148"/>
        <v>0</v>
      </c>
      <c r="AA142" s="15" t="e">
        <f t="shared" si="147"/>
        <v>#DIV/0!</v>
      </c>
      <c r="AB142" s="15" t="e">
        <f t="shared" si="153"/>
        <v>#DIV/0!</v>
      </c>
      <c r="AC142" s="15" t="e">
        <f t="shared" si="153"/>
        <v>#DIV/0!</v>
      </c>
      <c r="AD142" s="20" t="e">
        <f t="shared" si="149"/>
        <v>#DIV/0!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#DIV/0!</v>
      </c>
      <c r="AY142" s="15" t="e">
        <f t="shared" si="160"/>
        <v>#DIV/0!</v>
      </c>
      <c r="AZ142" s="15" t="e">
        <f t="shared" si="130"/>
        <v>#DIV/0!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>
        <v>0</v>
      </c>
      <c r="E143" s="10">
        <v>0</v>
      </c>
      <c r="F143" s="10">
        <v>0</v>
      </c>
      <c r="G143" s="10">
        <v>0</v>
      </c>
      <c r="H143" s="10">
        <v>0</v>
      </c>
      <c r="I143" s="10">
        <v>0</v>
      </c>
      <c r="J143" s="10">
        <v>0</v>
      </c>
      <c r="K143" s="10">
        <v>0</v>
      </c>
      <c r="L143" s="10">
        <v>0</v>
      </c>
      <c r="M143" s="10">
        <v>0</v>
      </c>
      <c r="N143" s="11">
        <f t="shared" si="146"/>
        <v>0</v>
      </c>
      <c r="P143" s="9">
        <v>0</v>
      </c>
      <c r="Q143" s="10">
        <v>0</v>
      </c>
      <c r="R143" s="10">
        <v>0</v>
      </c>
      <c r="S143" s="10">
        <v>0</v>
      </c>
      <c r="T143" s="10">
        <v>0</v>
      </c>
      <c r="U143" s="50">
        <v>0</v>
      </c>
      <c r="V143" s="10">
        <v>0</v>
      </c>
      <c r="W143" s="10">
        <v>0</v>
      </c>
      <c r="X143" s="10">
        <v>0</v>
      </c>
      <c r="Y143" s="10">
        <v>0</v>
      </c>
      <c r="Z143" s="11">
        <f t="shared" si="148"/>
        <v>0</v>
      </c>
      <c r="AA143" s="15" t="e">
        <f t="shared" si="147"/>
        <v>#DIV/0!</v>
      </c>
      <c r="AB143" s="15" t="e">
        <f t="shared" si="153"/>
        <v>#DIV/0!</v>
      </c>
      <c r="AC143" s="15" t="e">
        <f t="shared" si="153"/>
        <v>#DIV/0!</v>
      </c>
      <c r="AD143" s="11" t="e">
        <f t="shared" si="149"/>
        <v>#DIV/0!</v>
      </c>
      <c r="AE143" s="12"/>
      <c r="AF143" s="25" t="e">
        <f t="shared" ref="AF143:AH143" si="161">bdRateExtend($D143:$D147,E143:E147,$P143:$P147,Q143:Q147)</f>
        <v>#VALUE!</v>
      </c>
      <c r="AG143" s="30" t="e">
        <f t="shared" si="161"/>
        <v>#VALUE!</v>
      </c>
      <c r="AH143" s="31" t="e">
        <f t="shared" si="161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2">bdrate($D143:$D146,E143:E146,$P143:$P146,Q143:Q146)</f>
        <v>#VALUE!</v>
      </c>
      <c r="AS143" s="30" t="e">
        <f t="shared" si="162"/>
        <v>#VALUE!</v>
      </c>
      <c r="AT143" s="31" t="e">
        <f t="shared" si="162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#DIV/0!</v>
      </c>
      <c r="BB143" s="15" t="e">
        <f t="shared" ref="BB143:BB146" si="163">X143/L143</f>
        <v>#DIV/0!</v>
      </c>
      <c r="BC143" s="15" t="e">
        <f t="shared" si="126"/>
        <v>#DIV/0!</v>
      </c>
    </row>
    <row r="144" spans="1:55" ht="12.75" hidden="1" thickBot="1" x14ac:dyDescent="0.25">
      <c r="A144" s="13"/>
      <c r="B144" s="13"/>
      <c r="C144" s="43">
        <v>27</v>
      </c>
      <c r="D144" s="14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6">
        <f t="shared" si="146"/>
        <v>0</v>
      </c>
      <c r="P144" s="14">
        <v>0</v>
      </c>
      <c r="Q144" s="15">
        <v>0</v>
      </c>
      <c r="R144" s="15">
        <v>0</v>
      </c>
      <c r="S144" s="15">
        <v>0</v>
      </c>
      <c r="T144" s="15">
        <v>0</v>
      </c>
      <c r="U144" s="51">
        <v>0</v>
      </c>
      <c r="V144" s="15">
        <v>0</v>
      </c>
      <c r="W144" s="15">
        <v>0</v>
      </c>
      <c r="X144" s="15">
        <v>0</v>
      </c>
      <c r="Y144" s="15">
        <v>0</v>
      </c>
      <c r="Z144" s="16">
        <f t="shared" si="148"/>
        <v>0</v>
      </c>
      <c r="AA144" s="15" t="e">
        <f t="shared" si="147"/>
        <v>#DIV/0!</v>
      </c>
      <c r="AB144" s="15" t="e">
        <f t="shared" si="153"/>
        <v>#DIV/0!</v>
      </c>
      <c r="AC144" s="15" t="e">
        <f t="shared" si="153"/>
        <v>#DIV/0!</v>
      </c>
      <c r="AD144" s="16" t="e">
        <f t="shared" si="149"/>
        <v>#DIV/0!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4">bdrate($D144:$D147,E144:E147,$P144:$P147,Q144:Q147)</f>
        <v>#VALUE!</v>
      </c>
      <c r="AM144" s="21" t="e">
        <f t="shared" si="164"/>
        <v>#VALUE!</v>
      </c>
      <c r="AN144" s="36" t="e">
        <f t="shared" si="164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#DIV/0!</v>
      </c>
      <c r="AY144" s="15" t="e">
        <f t="shared" ref="AY144:AY147" si="165">X144/L144</f>
        <v>#DIV/0!</v>
      </c>
      <c r="AZ144" s="15" t="e">
        <f t="shared" si="130"/>
        <v>#DIV/0!</v>
      </c>
      <c r="BA144" s="15" t="e">
        <f>V144/J144</f>
        <v>#DIV/0!</v>
      </c>
      <c r="BB144" s="15" t="e">
        <f t="shared" si="163"/>
        <v>#DIV/0!</v>
      </c>
      <c r="BC144" s="15" t="e">
        <f t="shared" si="126"/>
        <v>#DIV/0!</v>
      </c>
    </row>
    <row r="145" spans="1:55" ht="12.75" hidden="1" thickBot="1" x14ac:dyDescent="0.25">
      <c r="A145" s="13"/>
      <c r="B145" s="13"/>
      <c r="C145" s="43">
        <v>32</v>
      </c>
      <c r="D145" s="14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6">
        <f t="shared" si="146"/>
        <v>0</v>
      </c>
      <c r="P145" s="14">
        <v>0</v>
      </c>
      <c r="Q145" s="15">
        <v>0</v>
      </c>
      <c r="R145" s="15">
        <v>0</v>
      </c>
      <c r="S145" s="15">
        <v>0</v>
      </c>
      <c r="T145" s="15">
        <v>0</v>
      </c>
      <c r="U145" s="51">
        <v>0</v>
      </c>
      <c r="V145" s="15">
        <v>0</v>
      </c>
      <c r="W145" s="15">
        <v>0</v>
      </c>
      <c r="X145" s="15">
        <v>0</v>
      </c>
      <c r="Y145" s="15">
        <v>0</v>
      </c>
      <c r="Z145" s="16">
        <f t="shared" si="148"/>
        <v>0</v>
      </c>
      <c r="AA145" s="15" t="e">
        <f t="shared" si="147"/>
        <v>#DIV/0!</v>
      </c>
      <c r="AB145" s="15" t="e">
        <f t="shared" si="153"/>
        <v>#DIV/0!</v>
      </c>
      <c r="AC145" s="15" t="e">
        <f t="shared" si="153"/>
        <v>#DIV/0!</v>
      </c>
      <c r="AD145" s="16" t="e">
        <f t="shared" si="149"/>
        <v>#DIV/0!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#DIV/0!</v>
      </c>
      <c r="AY145" s="15" t="e">
        <f t="shared" si="165"/>
        <v>#DIV/0!</v>
      </c>
      <c r="AZ145" s="15" t="e">
        <f t="shared" si="130"/>
        <v>#DIV/0!</v>
      </c>
      <c r="BA145" s="15" t="e">
        <f>V145/J145</f>
        <v>#DIV/0!</v>
      </c>
      <c r="BB145" s="15" t="e">
        <f t="shared" si="163"/>
        <v>#DIV/0!</v>
      </c>
      <c r="BC145" s="15" t="e">
        <f t="shared" si="126"/>
        <v>#DIV/0!</v>
      </c>
    </row>
    <row r="146" spans="1:55" ht="12.75" hidden="1" thickBot="1" x14ac:dyDescent="0.25">
      <c r="A146" s="13"/>
      <c r="B146" s="13"/>
      <c r="C146" s="43">
        <v>37</v>
      </c>
      <c r="D146" s="14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6">
        <f t="shared" si="146"/>
        <v>0</v>
      </c>
      <c r="P146" s="14">
        <v>0</v>
      </c>
      <c r="Q146" s="15">
        <v>0</v>
      </c>
      <c r="R146" s="15">
        <v>0</v>
      </c>
      <c r="S146" s="15">
        <v>0</v>
      </c>
      <c r="T146" s="15">
        <v>0</v>
      </c>
      <c r="U146" s="51">
        <v>0</v>
      </c>
      <c r="V146" s="15">
        <v>0</v>
      </c>
      <c r="W146" s="15">
        <v>0</v>
      </c>
      <c r="X146" s="15">
        <v>0</v>
      </c>
      <c r="Y146" s="15">
        <v>0</v>
      </c>
      <c r="Z146" s="16">
        <f t="shared" si="148"/>
        <v>0</v>
      </c>
      <c r="AA146" s="15" t="e">
        <f t="shared" si="147"/>
        <v>#DIV/0!</v>
      </c>
      <c r="AB146" s="15" t="e">
        <f t="shared" si="153"/>
        <v>#DIV/0!</v>
      </c>
      <c r="AC146" s="15" t="e">
        <f t="shared" si="153"/>
        <v>#DIV/0!</v>
      </c>
      <c r="AD146" s="16" t="e">
        <f t="shared" si="149"/>
        <v>#DIV/0!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#DIV/0!</v>
      </c>
      <c r="AY146" s="15" t="e">
        <f t="shared" si="165"/>
        <v>#DIV/0!</v>
      </c>
      <c r="AZ146" s="15" t="e">
        <f t="shared" si="130"/>
        <v>#DIV/0!</v>
      </c>
      <c r="BA146" s="15" t="e">
        <f>V146/J146</f>
        <v>#DIV/0!</v>
      </c>
      <c r="BB146" s="15" t="e">
        <f t="shared" si="163"/>
        <v>#DIV/0!</v>
      </c>
      <c r="BC146" s="15" t="e">
        <f t="shared" si="126"/>
        <v>#DIV/0!</v>
      </c>
    </row>
    <row r="147" spans="1:55" ht="12.75" hidden="1" thickBot="1" x14ac:dyDescent="0.25">
      <c r="A147" s="13"/>
      <c r="B147" s="17"/>
      <c r="C147" s="44">
        <v>42</v>
      </c>
      <c r="D147" s="18">
        <v>0</v>
      </c>
      <c r="E147" s="19">
        <v>0</v>
      </c>
      <c r="F147" s="19">
        <v>0</v>
      </c>
      <c r="G147" s="19">
        <v>0</v>
      </c>
      <c r="H147" s="19">
        <v>0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20">
        <f t="shared" si="146"/>
        <v>0</v>
      </c>
      <c r="P147" s="18">
        <v>0</v>
      </c>
      <c r="Q147" s="19">
        <v>0</v>
      </c>
      <c r="R147" s="19">
        <v>0</v>
      </c>
      <c r="S147" s="19">
        <v>0</v>
      </c>
      <c r="T147" s="19">
        <v>0</v>
      </c>
      <c r="U147" s="52">
        <v>0</v>
      </c>
      <c r="V147" s="19">
        <v>0</v>
      </c>
      <c r="W147" s="19">
        <v>0</v>
      </c>
      <c r="X147" s="19">
        <v>0</v>
      </c>
      <c r="Y147" s="19">
        <v>0</v>
      </c>
      <c r="Z147" s="20">
        <f t="shared" si="148"/>
        <v>0</v>
      </c>
      <c r="AA147" s="15" t="e">
        <f t="shared" si="147"/>
        <v>#DIV/0!</v>
      </c>
      <c r="AB147" s="15" t="e">
        <f t="shared" si="153"/>
        <v>#DIV/0!</v>
      </c>
      <c r="AC147" s="15" t="e">
        <f t="shared" si="153"/>
        <v>#DIV/0!</v>
      </c>
      <c r="AD147" s="20" t="e">
        <f t="shared" si="149"/>
        <v>#DIV/0!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#DIV/0!</v>
      </c>
      <c r="AY147" s="15" t="e">
        <f t="shared" si="165"/>
        <v>#DIV/0!</v>
      </c>
      <c r="AZ147" s="15" t="e">
        <f t="shared" si="130"/>
        <v>#DIV/0!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>
        <v>0</v>
      </c>
      <c r="E148" s="10">
        <v>0</v>
      </c>
      <c r="F148" s="10">
        <v>0</v>
      </c>
      <c r="G148" s="10">
        <v>0</v>
      </c>
      <c r="H148" s="10">
        <v>0</v>
      </c>
      <c r="I148" s="10">
        <v>0</v>
      </c>
      <c r="J148" s="10">
        <v>0</v>
      </c>
      <c r="K148" s="10">
        <v>0</v>
      </c>
      <c r="L148" s="10">
        <v>0</v>
      </c>
      <c r="M148" s="10">
        <v>0</v>
      </c>
      <c r="N148" s="11">
        <f t="shared" si="146"/>
        <v>0</v>
      </c>
      <c r="P148" s="9">
        <v>0</v>
      </c>
      <c r="Q148" s="10">
        <v>0</v>
      </c>
      <c r="R148" s="10">
        <v>0</v>
      </c>
      <c r="S148" s="10">
        <v>0</v>
      </c>
      <c r="T148" s="10">
        <v>0</v>
      </c>
      <c r="U148" s="50">
        <v>0</v>
      </c>
      <c r="V148" s="10">
        <v>0</v>
      </c>
      <c r="W148" s="10">
        <v>0</v>
      </c>
      <c r="X148" s="10">
        <v>0</v>
      </c>
      <c r="Y148" s="10">
        <v>0</v>
      </c>
      <c r="Z148" s="11">
        <f t="shared" si="148"/>
        <v>0</v>
      </c>
      <c r="AA148" s="15" t="e">
        <f t="shared" si="147"/>
        <v>#DIV/0!</v>
      </c>
      <c r="AB148" s="15" t="e">
        <f t="shared" si="153"/>
        <v>#DIV/0!</v>
      </c>
      <c r="AC148" s="15" t="e">
        <f t="shared" si="153"/>
        <v>#DIV/0!</v>
      </c>
      <c r="AD148" s="11" t="e">
        <f t="shared" si="149"/>
        <v>#DIV/0!</v>
      </c>
      <c r="AE148" s="12"/>
      <c r="AF148" s="25" t="e">
        <f t="shared" ref="AF148:AH148" si="166">bdRateExtend($D148:$D152,E148:E152,$P148:$P152,Q148:Q152)</f>
        <v>#VALUE!</v>
      </c>
      <c r="AG148" s="30" t="e">
        <f t="shared" si="166"/>
        <v>#VALUE!</v>
      </c>
      <c r="AH148" s="31" t="e">
        <f t="shared" si="166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67">bdrate($D148:$D151,E148:E151,$P148:$P151,Q148:Q151)</f>
        <v>#VALUE!</v>
      </c>
      <c r="AS148" s="30" t="e">
        <f t="shared" si="167"/>
        <v>#VALUE!</v>
      </c>
      <c r="AT148" s="31" t="e">
        <f t="shared" si="167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#DIV/0!</v>
      </c>
      <c r="BB148" s="15" t="e">
        <f t="shared" ref="BB148:BB151" si="168">X148/L148</f>
        <v>#DIV/0!</v>
      </c>
      <c r="BC148" s="15" t="e">
        <f t="shared" si="126"/>
        <v>#DIV/0!</v>
      </c>
    </row>
    <row r="149" spans="1:55" ht="12.75" hidden="1" thickBot="1" x14ac:dyDescent="0.25">
      <c r="A149" s="13"/>
      <c r="B149" s="13"/>
      <c r="C149" s="43">
        <v>27</v>
      </c>
      <c r="D149" s="14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6">
        <f t="shared" si="146"/>
        <v>0</v>
      </c>
      <c r="P149" s="14">
        <v>0</v>
      </c>
      <c r="Q149" s="15">
        <v>0</v>
      </c>
      <c r="R149" s="15">
        <v>0</v>
      </c>
      <c r="S149" s="15">
        <v>0</v>
      </c>
      <c r="T149" s="15">
        <v>0</v>
      </c>
      <c r="U149" s="51">
        <v>0</v>
      </c>
      <c r="V149" s="15">
        <v>0</v>
      </c>
      <c r="W149" s="15">
        <v>0</v>
      </c>
      <c r="X149" s="15">
        <v>0</v>
      </c>
      <c r="Y149" s="15">
        <v>0</v>
      </c>
      <c r="Z149" s="16">
        <f t="shared" si="148"/>
        <v>0</v>
      </c>
      <c r="AA149" s="15" t="e">
        <f t="shared" si="147"/>
        <v>#DIV/0!</v>
      </c>
      <c r="AB149" s="15" t="e">
        <f t="shared" si="153"/>
        <v>#DIV/0!</v>
      </c>
      <c r="AC149" s="15" t="e">
        <f t="shared" si="153"/>
        <v>#DIV/0!</v>
      </c>
      <c r="AD149" s="16" t="e">
        <f t="shared" si="149"/>
        <v>#DIV/0!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69">bdrate($D149:$D152,E149:E152,$P149:$P152,Q149:Q152)</f>
        <v>#VALUE!</v>
      </c>
      <c r="AM149" s="21" t="e">
        <f t="shared" si="169"/>
        <v>#VALUE!</v>
      </c>
      <c r="AN149" s="36" t="e">
        <f t="shared" si="169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#DIV/0!</v>
      </c>
      <c r="AY149" s="15" t="e">
        <f t="shared" ref="AY149:AY152" si="170">X149/L149</f>
        <v>#DIV/0!</v>
      </c>
      <c r="AZ149" s="15" t="e">
        <f t="shared" si="130"/>
        <v>#DIV/0!</v>
      </c>
      <c r="BA149" s="15" t="e">
        <f>V149/J149</f>
        <v>#DIV/0!</v>
      </c>
      <c r="BB149" s="15" t="e">
        <f t="shared" si="168"/>
        <v>#DIV/0!</v>
      </c>
      <c r="BC149" s="15" t="e">
        <f t="shared" si="126"/>
        <v>#DIV/0!</v>
      </c>
    </row>
    <row r="150" spans="1:55" ht="12.75" hidden="1" thickBot="1" x14ac:dyDescent="0.25">
      <c r="A150" s="13"/>
      <c r="B150" s="13"/>
      <c r="C150" s="43">
        <v>32</v>
      </c>
      <c r="D150" s="14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6">
        <f t="shared" si="146"/>
        <v>0</v>
      </c>
      <c r="P150" s="14">
        <v>0</v>
      </c>
      <c r="Q150" s="15">
        <v>0</v>
      </c>
      <c r="R150" s="15">
        <v>0</v>
      </c>
      <c r="S150" s="15">
        <v>0</v>
      </c>
      <c r="T150" s="15">
        <v>0</v>
      </c>
      <c r="U150" s="51">
        <v>0</v>
      </c>
      <c r="V150" s="15">
        <v>0</v>
      </c>
      <c r="W150" s="15">
        <v>0</v>
      </c>
      <c r="X150" s="15">
        <v>0</v>
      </c>
      <c r="Y150" s="15">
        <v>0</v>
      </c>
      <c r="Z150" s="16">
        <f t="shared" si="148"/>
        <v>0</v>
      </c>
      <c r="AA150" s="15" t="e">
        <f t="shared" si="147"/>
        <v>#DIV/0!</v>
      </c>
      <c r="AB150" s="15" t="e">
        <f t="shared" si="153"/>
        <v>#DIV/0!</v>
      </c>
      <c r="AC150" s="15" t="e">
        <f t="shared" si="153"/>
        <v>#DIV/0!</v>
      </c>
      <c r="AD150" s="16" t="e">
        <f t="shared" si="149"/>
        <v>#DIV/0!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#DIV/0!</v>
      </c>
      <c r="AY150" s="15" t="e">
        <f t="shared" si="170"/>
        <v>#DIV/0!</v>
      </c>
      <c r="AZ150" s="15" t="e">
        <f t="shared" si="130"/>
        <v>#DIV/0!</v>
      </c>
      <c r="BA150" s="15" t="e">
        <f>V150/J150</f>
        <v>#DIV/0!</v>
      </c>
      <c r="BB150" s="15" t="e">
        <f t="shared" si="168"/>
        <v>#DIV/0!</v>
      </c>
      <c r="BC150" s="15" t="e">
        <f t="shared" si="126"/>
        <v>#DIV/0!</v>
      </c>
    </row>
    <row r="151" spans="1:55" ht="12.75" hidden="1" thickBot="1" x14ac:dyDescent="0.25">
      <c r="A151" s="13"/>
      <c r="B151" s="13"/>
      <c r="C151" s="43">
        <v>37</v>
      </c>
      <c r="D151" s="14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6">
        <f t="shared" si="146"/>
        <v>0</v>
      </c>
      <c r="P151" s="14">
        <v>0</v>
      </c>
      <c r="Q151" s="15">
        <v>0</v>
      </c>
      <c r="R151" s="15">
        <v>0</v>
      </c>
      <c r="S151" s="15">
        <v>0</v>
      </c>
      <c r="T151" s="15">
        <v>0</v>
      </c>
      <c r="U151" s="51">
        <v>0</v>
      </c>
      <c r="V151" s="15">
        <v>0</v>
      </c>
      <c r="W151" s="15">
        <v>0</v>
      </c>
      <c r="X151" s="15">
        <v>0</v>
      </c>
      <c r="Y151" s="15">
        <v>0</v>
      </c>
      <c r="Z151" s="16">
        <f t="shared" si="148"/>
        <v>0</v>
      </c>
      <c r="AA151" s="15" t="e">
        <f t="shared" si="147"/>
        <v>#DIV/0!</v>
      </c>
      <c r="AB151" s="15" t="e">
        <f t="shared" si="153"/>
        <v>#DIV/0!</v>
      </c>
      <c r="AC151" s="15" t="e">
        <f t="shared" si="153"/>
        <v>#DIV/0!</v>
      </c>
      <c r="AD151" s="16" t="e">
        <f t="shared" si="149"/>
        <v>#DIV/0!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#DIV/0!</v>
      </c>
      <c r="AY151" s="15" t="e">
        <f t="shared" si="170"/>
        <v>#DIV/0!</v>
      </c>
      <c r="AZ151" s="15" t="e">
        <f t="shared" si="130"/>
        <v>#DIV/0!</v>
      </c>
      <c r="BA151" s="15" t="e">
        <f>V151/J151</f>
        <v>#DIV/0!</v>
      </c>
      <c r="BB151" s="15" t="e">
        <f t="shared" si="168"/>
        <v>#DIV/0!</v>
      </c>
      <c r="BC151" s="15" t="e">
        <f t="shared" si="126"/>
        <v>#DIV/0!</v>
      </c>
    </row>
    <row r="152" spans="1:55" ht="12.75" hidden="1" thickBot="1" x14ac:dyDescent="0.25">
      <c r="A152" s="17"/>
      <c r="B152" s="17"/>
      <c r="C152" s="44">
        <v>42</v>
      </c>
      <c r="D152" s="18">
        <v>0</v>
      </c>
      <c r="E152" s="19">
        <v>0</v>
      </c>
      <c r="F152" s="19">
        <v>0</v>
      </c>
      <c r="G152" s="19">
        <v>0</v>
      </c>
      <c r="H152" s="19">
        <v>0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20">
        <f t="shared" si="146"/>
        <v>0</v>
      </c>
      <c r="P152" s="18">
        <v>0</v>
      </c>
      <c r="Q152" s="19">
        <v>0</v>
      </c>
      <c r="R152" s="19">
        <v>0</v>
      </c>
      <c r="S152" s="19">
        <v>0</v>
      </c>
      <c r="T152" s="19">
        <v>0</v>
      </c>
      <c r="U152" s="52">
        <v>0</v>
      </c>
      <c r="V152" s="19">
        <v>0</v>
      </c>
      <c r="W152" s="19">
        <v>0</v>
      </c>
      <c r="X152" s="19">
        <v>0</v>
      </c>
      <c r="Y152" s="19">
        <v>0</v>
      </c>
      <c r="Z152" s="20">
        <f t="shared" si="148"/>
        <v>0</v>
      </c>
      <c r="AA152" s="19" t="e">
        <f t="shared" si="147"/>
        <v>#DIV/0!</v>
      </c>
      <c r="AB152" s="19" t="e">
        <f t="shared" si="153"/>
        <v>#DIV/0!</v>
      </c>
      <c r="AC152" s="19" t="e">
        <f t="shared" si="153"/>
        <v>#DIV/0!</v>
      </c>
      <c r="AD152" s="20" t="e">
        <f t="shared" si="149"/>
        <v>#DIV/0!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#DIV/0!</v>
      </c>
      <c r="AY152" s="19" t="e">
        <f t="shared" si="170"/>
        <v>#DIV/0!</v>
      </c>
      <c r="AZ152" s="19" t="e">
        <f t="shared" si="130"/>
        <v>#DIV/0!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#NUM!</v>
      </c>
      <c r="M153" s="12" t="e">
        <f>GEOMEAN(M3:M17)</f>
        <v>#NUM!</v>
      </c>
      <c r="N153" s="12" t="e">
        <f>GEOMEAN(N3:N17)</f>
        <v>#NUM!</v>
      </c>
      <c r="X153" s="12" t="e">
        <f t="shared" ref="X153:AC153" si="171">GEOMEAN(X3:X17)</f>
        <v>#NUM!</v>
      </c>
      <c r="Y153" s="12" t="e">
        <f t="shared" si="171"/>
        <v>#NUM!</v>
      </c>
      <c r="Z153" s="12" t="e">
        <f t="shared" si="171"/>
        <v>#NUM!</v>
      </c>
      <c r="AA153" s="12" t="e">
        <f t="shared" si="171"/>
        <v>#DIV/0!</v>
      </c>
      <c r="AB153" s="12" t="e">
        <f t="shared" si="171"/>
        <v>#DIV/0!</v>
      </c>
      <c r="AC153" s="12" t="e">
        <f t="shared" si="171"/>
        <v>#DIV/0!</v>
      </c>
      <c r="AD153" s="12">
        <f t="shared" ref="AD153" si="172">AVERAGE(AD3:AD17)</f>
        <v>1.9728215510778874E-3</v>
      </c>
      <c r="AF153" s="25">
        <f t="shared" ref="AF153:AW153" si="173">AVERAGE(AF3:AF17)</f>
        <v>6.0044449825613633E-4</v>
      </c>
      <c r="AG153" s="30" t="e">
        <f t="shared" si="173"/>
        <v>#VALUE!</v>
      </c>
      <c r="AH153" s="30" t="e">
        <f t="shared" si="173"/>
        <v>#VALUE!</v>
      </c>
      <c r="AI153" s="25" t="e">
        <f t="shared" si="173"/>
        <v>#VALUE!</v>
      </c>
      <c r="AJ153" s="30" t="e">
        <f t="shared" si="173"/>
        <v>#VALUE!</v>
      </c>
      <c r="AK153" s="30" t="e">
        <f t="shared" si="173"/>
        <v>#VALUE!</v>
      </c>
      <c r="AL153" s="25">
        <f t="shared" ref="AL153:AQ153" si="174">AVERAGE(AL4:AL18)</f>
        <v>8.932171225283595E-4</v>
      </c>
      <c r="AM153" s="30" t="e">
        <f t="shared" si="174"/>
        <v>#VALUE!</v>
      </c>
      <c r="AN153" s="30" t="e">
        <f t="shared" si="174"/>
        <v>#VALUE!</v>
      </c>
      <c r="AO153" s="25" t="e">
        <f t="shared" si="174"/>
        <v>#VALUE!</v>
      </c>
      <c r="AP153" s="30" t="e">
        <f t="shared" si="174"/>
        <v>#VALUE!</v>
      </c>
      <c r="AQ153" s="30" t="e">
        <f t="shared" si="174"/>
        <v>#VALUE!</v>
      </c>
      <c r="AR153" s="25">
        <f t="shared" ref="AR153:AT153" si="175">AVERAGE(AR3:AR17)</f>
        <v>-2.0033754019558683E-4</v>
      </c>
      <c r="AS153" s="30" t="e">
        <f t="shared" si="175"/>
        <v>#VALUE!</v>
      </c>
      <c r="AT153" s="31" t="e">
        <f t="shared" si="175"/>
        <v>#VALUE!</v>
      </c>
      <c r="AU153" s="25" t="e">
        <f t="shared" si="173"/>
        <v>#VALUE!</v>
      </c>
      <c r="AV153" s="30" t="e">
        <f t="shared" si="173"/>
        <v>#VALUE!</v>
      </c>
      <c r="AW153" s="31" t="e">
        <f t="shared" si="173"/>
        <v>#VALUE!</v>
      </c>
      <c r="AX153" s="12" t="e">
        <f t="shared" ref="AX153:BC153" si="176">GEOMEAN(AX3:AX17)</f>
        <v>#DIV/0!</v>
      </c>
      <c r="AY153" s="12" t="e">
        <f t="shared" si="176"/>
        <v>#DIV/0!</v>
      </c>
      <c r="AZ153" s="12" t="e">
        <f t="shared" si="176"/>
        <v>#DIV/0!</v>
      </c>
      <c r="BA153" s="12" t="e">
        <f t="shared" si="176"/>
        <v>#DIV/0!</v>
      </c>
      <c r="BB153" s="12" t="e">
        <f t="shared" si="176"/>
        <v>#DIV/0!</v>
      </c>
      <c r="BC153" s="12" t="e">
        <f t="shared" si="176"/>
        <v>#DIV/0!</v>
      </c>
    </row>
    <row r="154" spans="1:55" x14ac:dyDescent="0.2">
      <c r="B154" s="1" t="s">
        <v>41</v>
      </c>
      <c r="L154" s="12" t="e">
        <f>GEOMEAN(L18:L32)</f>
        <v>#NUM!</v>
      </c>
      <c r="M154" s="12" t="e">
        <f>GEOMEAN(M18:M32)</f>
        <v>#NUM!</v>
      </c>
      <c r="N154" s="12" t="e">
        <f>GEOMEAN(N18:N32)</f>
        <v>#NUM!</v>
      </c>
      <c r="X154" s="12" t="e">
        <f t="shared" ref="X154:AC154" si="177">GEOMEAN(X18:X32)</f>
        <v>#NUM!</v>
      </c>
      <c r="Y154" s="12" t="e">
        <f t="shared" si="177"/>
        <v>#NUM!</v>
      </c>
      <c r="Z154" s="12" t="e">
        <f t="shared" si="177"/>
        <v>#NUM!</v>
      </c>
      <c r="AA154" s="12" t="e">
        <f t="shared" si="177"/>
        <v>#DIV/0!</v>
      </c>
      <c r="AB154" s="12" t="e">
        <f t="shared" si="177"/>
        <v>#DIV/0!</v>
      </c>
      <c r="AC154" s="12" t="e">
        <f t="shared" si="177"/>
        <v>#DIV/0!</v>
      </c>
      <c r="AD154" s="12">
        <f t="shared" ref="AD154" si="178">AVERAGE(AD18:AD32)</f>
        <v>1.5289215301940956E-3</v>
      </c>
      <c r="AF154" s="28">
        <f t="shared" ref="AF154:AK154" si="179">AVERAGE(AF18:AF32)</f>
        <v>-1.1713427987817641E-4</v>
      </c>
      <c r="AG154" s="32" t="e">
        <f t="shared" si="179"/>
        <v>#VALUE!</v>
      </c>
      <c r="AH154" s="32" t="e">
        <f t="shared" si="179"/>
        <v>#VALUE!</v>
      </c>
      <c r="AI154" s="28" t="e">
        <f t="shared" si="179"/>
        <v>#VALUE!</v>
      </c>
      <c r="AJ154" s="32" t="e">
        <f t="shared" si="179"/>
        <v>#VALUE!</v>
      </c>
      <c r="AK154" s="32" t="e">
        <f t="shared" si="179"/>
        <v>#VALUE!</v>
      </c>
      <c r="AL154" s="28">
        <f t="shared" ref="AL154:AQ154" si="180">AVERAGE(AL19:AL33)</f>
        <v>-3.6823184052814373E-4</v>
      </c>
      <c r="AM154" s="32" t="e">
        <f t="shared" si="180"/>
        <v>#VALUE!</v>
      </c>
      <c r="AN154" s="32" t="e">
        <f t="shared" si="180"/>
        <v>#VALUE!</v>
      </c>
      <c r="AO154" s="28" t="e">
        <f t="shared" si="180"/>
        <v>#VALUE!</v>
      </c>
      <c r="AP154" s="32" t="e">
        <f t="shared" si="180"/>
        <v>#VALUE!</v>
      </c>
      <c r="AQ154" s="32" t="e">
        <f t="shared" si="180"/>
        <v>#VALUE!</v>
      </c>
      <c r="AR154" s="28">
        <f t="shared" ref="AR154:AW154" si="181">AVERAGE(AR18:AR32)</f>
        <v>4.1141429301042959E-4</v>
      </c>
      <c r="AS154" s="32" t="e">
        <f t="shared" si="181"/>
        <v>#VALUE!</v>
      </c>
      <c r="AT154" s="33" t="e">
        <f t="shared" si="181"/>
        <v>#VALUE!</v>
      </c>
      <c r="AU154" s="28" t="e">
        <f t="shared" si="181"/>
        <v>#VALUE!</v>
      </c>
      <c r="AV154" s="32" t="e">
        <f t="shared" si="181"/>
        <v>#VALUE!</v>
      </c>
      <c r="AW154" s="33" t="e">
        <f t="shared" si="181"/>
        <v>#VALUE!</v>
      </c>
      <c r="AX154" s="12" t="e">
        <f t="shared" ref="AX154:BC154" si="182">GEOMEAN(AX18:AX32)</f>
        <v>#DIV/0!</v>
      </c>
      <c r="AY154" s="12" t="e">
        <f t="shared" si="182"/>
        <v>#DIV/0!</v>
      </c>
      <c r="AZ154" s="12" t="e">
        <f t="shared" si="182"/>
        <v>#DIV/0!</v>
      </c>
      <c r="BA154" s="12" t="e">
        <f t="shared" si="182"/>
        <v>#DIV/0!</v>
      </c>
      <c r="BB154" s="12" t="e">
        <f t="shared" si="182"/>
        <v>#DIV/0!</v>
      </c>
      <c r="BC154" s="12" t="e">
        <f t="shared" si="182"/>
        <v>#DIV/0!</v>
      </c>
    </row>
    <row r="155" spans="1:55" x14ac:dyDescent="0.2">
      <c r="B155" s="1" t="s">
        <v>1</v>
      </c>
      <c r="L155" s="12" t="e">
        <f>GEOMEAN(L33:L57)</f>
        <v>#NUM!</v>
      </c>
      <c r="M155" s="12" t="e">
        <f>GEOMEAN(M33:M57)</f>
        <v>#NUM!</v>
      </c>
      <c r="N155" s="12" t="e">
        <f>GEOMEAN(N33:N57)</f>
        <v>#NUM!</v>
      </c>
      <c r="X155" s="12" t="e">
        <f>GEOMEAN(X33:X57)</f>
        <v>#NUM!</v>
      </c>
      <c r="Y155" s="12" t="e">
        <f>GEOMEAN(Y33:Y57)</f>
        <v>#NUM!</v>
      </c>
      <c r="Z155" s="12" t="e">
        <f>GEOMEAN(Z33:Z57)</f>
        <v>#NUM!</v>
      </c>
      <c r="AA155" s="12" t="e">
        <f t="shared" ref="AA155:AC155" si="183">GEOMEAN(AA33:AA57)</f>
        <v>#DIV/0!</v>
      </c>
      <c r="AB155" s="12" t="e">
        <f t="shared" si="183"/>
        <v>#DIV/0!</v>
      </c>
      <c r="AC155" s="12" t="e">
        <f t="shared" si="183"/>
        <v>#DIV/0!</v>
      </c>
      <c r="AD155" s="12">
        <f>AVERAGE(AD33:AD57)</f>
        <v>3.2281779696249945E-3</v>
      </c>
      <c r="AF155" s="28">
        <f>AVERAGE(AF33:AF57)</f>
        <v>7.3642646131870664E-4</v>
      </c>
      <c r="AG155" s="32" t="e">
        <f t="shared" ref="AG155:AH155" si="184">AVERAGE(AG33:AG57)</f>
        <v>#VALUE!</v>
      </c>
      <c r="AH155" s="32" t="e">
        <f t="shared" si="184"/>
        <v>#VALUE!</v>
      </c>
      <c r="AI155" s="28" t="e">
        <f>AVERAGE(AI33:AI57)</f>
        <v>#VALUE!</v>
      </c>
      <c r="AJ155" s="32" t="e">
        <f t="shared" ref="AJ155:AK155" si="185">AVERAGE(AJ33:AJ57)</f>
        <v>#VALUE!</v>
      </c>
      <c r="AK155" s="32" t="e">
        <f t="shared" si="185"/>
        <v>#VALUE!</v>
      </c>
      <c r="AL155" s="28">
        <f t="shared" ref="AL155:AQ155" si="186">AVERAGE(AL34:AL58)</f>
        <v>1.1119017154974209E-3</v>
      </c>
      <c r="AM155" s="32" t="e">
        <f t="shared" si="186"/>
        <v>#VALUE!</v>
      </c>
      <c r="AN155" s="32" t="e">
        <f t="shared" si="186"/>
        <v>#VALUE!</v>
      </c>
      <c r="AO155" s="28" t="e">
        <f t="shared" si="186"/>
        <v>#VALUE!</v>
      </c>
      <c r="AP155" s="32" t="e">
        <f t="shared" si="186"/>
        <v>#VALUE!</v>
      </c>
      <c r="AQ155" s="32" t="e">
        <f t="shared" si="186"/>
        <v>#VALUE!</v>
      </c>
      <c r="AR155" s="28">
        <f t="shared" ref="AR155:AW155" si="187">AVERAGE(AR33:AR57)</f>
        <v>4.4242265454630392E-4</v>
      </c>
      <c r="AS155" s="32" t="e">
        <f t="shared" si="187"/>
        <v>#VALUE!</v>
      </c>
      <c r="AT155" s="33" t="e">
        <f t="shared" si="187"/>
        <v>#VALUE!</v>
      </c>
      <c r="AU155" s="28" t="e">
        <f t="shared" si="187"/>
        <v>#VALUE!</v>
      </c>
      <c r="AV155" s="32" t="e">
        <f t="shared" si="187"/>
        <v>#VALUE!</v>
      </c>
      <c r="AW155" s="33" t="e">
        <f t="shared" si="187"/>
        <v>#VALUE!</v>
      </c>
      <c r="AX155" s="12" t="e">
        <f t="shared" ref="AX155:BC155" si="188">GEOMEAN(AX33:AX57)</f>
        <v>#DIV/0!</v>
      </c>
      <c r="AY155" s="12" t="e">
        <f t="shared" si="188"/>
        <v>#DIV/0!</v>
      </c>
      <c r="AZ155" s="12" t="e">
        <f t="shared" si="188"/>
        <v>#DIV/0!</v>
      </c>
      <c r="BA155" s="12" t="e">
        <f t="shared" si="188"/>
        <v>#DIV/0!</v>
      </c>
      <c r="BB155" s="12" t="e">
        <f t="shared" si="188"/>
        <v>#DIV/0!</v>
      </c>
      <c r="BC155" s="12" t="e">
        <f t="shared" si="188"/>
        <v>#DIV/0!</v>
      </c>
    </row>
    <row r="156" spans="1:55" x14ac:dyDescent="0.2">
      <c r="B156" s="1" t="s">
        <v>5</v>
      </c>
      <c r="L156" s="12" t="e">
        <f>GEOMEAN(L58:L77)</f>
        <v>#NUM!</v>
      </c>
      <c r="M156" s="12" t="e">
        <f>GEOMEAN(M58:M77)</f>
        <v>#NUM!</v>
      </c>
      <c r="N156" s="12" t="e">
        <f>GEOMEAN(N58:N77)</f>
        <v>#NUM!</v>
      </c>
      <c r="X156" s="12" t="e">
        <f>GEOMEAN(X58:X77)</f>
        <v>#NUM!</v>
      </c>
      <c r="Y156" s="12" t="e">
        <f>GEOMEAN(Y58:Y77)</f>
        <v>#NUM!</v>
      </c>
      <c r="Z156" s="12" t="e">
        <f>GEOMEAN(Z58:Z77)</f>
        <v>#NUM!</v>
      </c>
      <c r="AA156" s="12" t="e">
        <f t="shared" ref="AA156:AC156" si="189">GEOMEAN(AA58:AA77)</f>
        <v>#DIV/0!</v>
      </c>
      <c r="AB156" s="12" t="e">
        <f t="shared" si="189"/>
        <v>#DIV/0!</v>
      </c>
      <c r="AC156" s="12" t="e">
        <f t="shared" si="189"/>
        <v>#DIV/0!</v>
      </c>
      <c r="AD156" s="12">
        <f>AVERAGE(AD58:AD77)</f>
        <v>2.9164970007059727E-3</v>
      </c>
      <c r="AF156" s="28">
        <f>AVERAGE(AF58:AF77)</f>
        <v>1.9289454346838042E-4</v>
      </c>
      <c r="AG156" s="32" t="e">
        <f t="shared" ref="AG156:AH156" si="190">AVERAGE(AG58:AG77)</f>
        <v>#VALUE!</v>
      </c>
      <c r="AH156" s="32" t="e">
        <f t="shared" si="190"/>
        <v>#VALUE!</v>
      </c>
      <c r="AI156" s="28" t="e">
        <f>AVERAGE(AI58:AI77)</f>
        <v>#VALUE!</v>
      </c>
      <c r="AJ156" s="32" t="e">
        <f t="shared" ref="AJ156:AK156" si="191">AVERAGE(AJ58:AJ77)</f>
        <v>#VALUE!</v>
      </c>
      <c r="AK156" s="32" t="e">
        <f t="shared" si="191"/>
        <v>#VALUE!</v>
      </c>
      <c r="AL156" s="28">
        <f t="shared" ref="AL156:AQ156" si="192">AVERAGE(AL59:AL78)</f>
        <v>2.162663100864215E-4</v>
      </c>
      <c r="AM156" s="32" t="e">
        <f t="shared" si="192"/>
        <v>#VALUE!</v>
      </c>
      <c r="AN156" s="32" t="e">
        <f t="shared" si="192"/>
        <v>#VALUE!</v>
      </c>
      <c r="AO156" s="28" t="e">
        <f t="shared" si="192"/>
        <v>#VALUE!</v>
      </c>
      <c r="AP156" s="32" t="e">
        <f t="shared" si="192"/>
        <v>#VALUE!</v>
      </c>
      <c r="AQ156" s="32" t="e">
        <f t="shared" si="192"/>
        <v>#VALUE!</v>
      </c>
      <c r="AR156" s="28">
        <f t="shared" ref="AR156:AW156" si="193">AVERAGE(AR58:AR77)</f>
        <v>9.7815180626736886E-5</v>
      </c>
      <c r="AS156" s="32" t="e">
        <f t="shared" si="193"/>
        <v>#VALUE!</v>
      </c>
      <c r="AT156" s="33" t="e">
        <f t="shared" si="193"/>
        <v>#VALUE!</v>
      </c>
      <c r="AU156" s="28" t="e">
        <f t="shared" si="193"/>
        <v>#VALUE!</v>
      </c>
      <c r="AV156" s="32" t="e">
        <f t="shared" si="193"/>
        <v>#VALUE!</v>
      </c>
      <c r="AW156" s="33" t="e">
        <f t="shared" si="193"/>
        <v>#VALUE!</v>
      </c>
      <c r="AX156" s="12" t="e">
        <f t="shared" ref="AX156:BC156" si="194">GEOMEAN(AX58:AX77)</f>
        <v>#DIV/0!</v>
      </c>
      <c r="AY156" s="12" t="e">
        <f t="shared" si="194"/>
        <v>#DIV/0!</v>
      </c>
      <c r="AZ156" s="12" t="e">
        <f t="shared" si="194"/>
        <v>#DIV/0!</v>
      </c>
      <c r="BA156" s="12" t="e">
        <f t="shared" si="194"/>
        <v>#DIV/0!</v>
      </c>
      <c r="BB156" s="12" t="e">
        <f t="shared" si="194"/>
        <v>#DIV/0!</v>
      </c>
      <c r="BC156" s="12" t="e">
        <f t="shared" si="194"/>
        <v>#DIV/0!</v>
      </c>
    </row>
    <row r="157" spans="1:55" x14ac:dyDescent="0.2">
      <c r="B157" s="1" t="s">
        <v>6</v>
      </c>
      <c r="L157" s="12" t="e">
        <f>GEOMEAN(L78:L97)</f>
        <v>#NUM!</v>
      </c>
      <c r="M157" s="12" t="e">
        <f>GEOMEAN(M78:M97)</f>
        <v>#NUM!</v>
      </c>
      <c r="N157" s="12" t="e">
        <f>GEOMEAN(N78:N97)</f>
        <v>#NUM!</v>
      </c>
      <c r="X157" s="12" t="e">
        <f>GEOMEAN(X78:X97)</f>
        <v>#NUM!</v>
      </c>
      <c r="Y157" s="12" t="e">
        <f>GEOMEAN(Y78:Y97)</f>
        <v>#NUM!</v>
      </c>
      <c r="Z157" s="12" t="e">
        <f>GEOMEAN(Z78:Z97)</f>
        <v>#NUM!</v>
      </c>
      <c r="AA157" s="12" t="e">
        <f t="shared" ref="AA157:AC157" si="195">GEOMEAN(AA78:AA97)</f>
        <v>#DIV/0!</v>
      </c>
      <c r="AB157" s="12" t="e">
        <f t="shared" si="195"/>
        <v>#DIV/0!</v>
      </c>
      <c r="AC157" s="12" t="e">
        <f t="shared" si="195"/>
        <v>#DIV/0!</v>
      </c>
      <c r="AD157" s="12" t="e">
        <f>AVERAGE(AD78:AD97)</f>
        <v>#REF!</v>
      </c>
      <c r="AF157" s="28">
        <f>AVERAGE(AF78:AF97)</f>
        <v>-1.4109058032489574E-3</v>
      </c>
      <c r="AG157" s="32" t="e">
        <f t="shared" ref="AG157:AH157" si="196">AVERAGE(AG78:AG97)</f>
        <v>#VALUE!</v>
      </c>
      <c r="AH157" s="32" t="e">
        <f t="shared" si="196"/>
        <v>#VALUE!</v>
      </c>
      <c r="AI157" s="28" t="e">
        <f>AVERAGE(AI78:AI97)</f>
        <v>#VALUE!</v>
      </c>
      <c r="AJ157" s="32" t="e">
        <f t="shared" ref="AJ157:AK157" si="197">AVERAGE(AJ78:AJ97)</f>
        <v>#VALUE!</v>
      </c>
      <c r="AK157" s="32" t="e">
        <f t="shared" si="197"/>
        <v>#VALUE!</v>
      </c>
      <c r="AL157" s="28">
        <f t="shared" ref="AL157:AQ157" si="198">AVERAGE(AL79:AL98)</f>
        <v>-1.8730271405937027E-3</v>
      </c>
      <c r="AM157" s="32" t="e">
        <f t="shared" si="198"/>
        <v>#VALUE!</v>
      </c>
      <c r="AN157" s="32" t="e">
        <f t="shared" si="198"/>
        <v>#VALUE!</v>
      </c>
      <c r="AO157" s="28" t="e">
        <f t="shared" si="198"/>
        <v>#VALUE!</v>
      </c>
      <c r="AP157" s="32" t="e">
        <f t="shared" si="198"/>
        <v>#VALUE!</v>
      </c>
      <c r="AQ157" s="32" t="e">
        <f t="shared" si="198"/>
        <v>#VALUE!</v>
      </c>
      <c r="AR157" s="28">
        <f t="shared" ref="AR157:AW157" si="199">AVERAGE(AR78:AR97)</f>
        <v>-5.5695625045415476E-4</v>
      </c>
      <c r="AS157" s="32" t="e">
        <f t="shared" si="199"/>
        <v>#VALUE!</v>
      </c>
      <c r="AT157" s="33" t="e">
        <f t="shared" si="199"/>
        <v>#VALUE!</v>
      </c>
      <c r="AU157" s="28" t="e">
        <f t="shared" si="199"/>
        <v>#VALUE!</v>
      </c>
      <c r="AV157" s="32" t="e">
        <f t="shared" si="199"/>
        <v>#VALUE!</v>
      </c>
      <c r="AW157" s="33" t="e">
        <f t="shared" si="199"/>
        <v>#VALUE!</v>
      </c>
      <c r="AX157" s="12" t="e">
        <f t="shared" ref="AX157:BC157" si="200">GEOMEAN(AX78:AX97)</f>
        <v>#DIV/0!</v>
      </c>
      <c r="AY157" s="12" t="e">
        <f t="shared" si="200"/>
        <v>#DIV/0!</v>
      </c>
      <c r="AZ157" s="12" t="e">
        <f t="shared" si="200"/>
        <v>#DIV/0!</v>
      </c>
      <c r="BA157" s="12" t="e">
        <f t="shared" si="200"/>
        <v>#DIV/0!</v>
      </c>
      <c r="BB157" s="12" t="e">
        <f t="shared" si="200"/>
        <v>#DIV/0!</v>
      </c>
      <c r="BC157" s="12" t="e">
        <f t="shared" si="200"/>
        <v>#DIV/0!</v>
      </c>
    </row>
    <row r="158" spans="1:55" x14ac:dyDescent="0.2">
      <c r="B158" s="1" t="s">
        <v>7</v>
      </c>
      <c r="L158" s="12" t="e">
        <f>GEOMEAN(L98:L112)</f>
        <v>#NUM!</v>
      </c>
      <c r="M158" s="12" t="e">
        <f>GEOMEAN(M98:M112)</f>
        <v>#NUM!</v>
      </c>
      <c r="N158" s="12" t="e">
        <f>GEOMEAN(N98:N112)</f>
        <v>#NUM!</v>
      </c>
      <c r="X158" s="12" t="e">
        <f>GEOMEAN(X98:X112)</f>
        <v>#NUM!</v>
      </c>
      <c r="Y158" s="12" t="e">
        <f>GEOMEAN(Y98:Y112)</f>
        <v>#NUM!</v>
      </c>
      <c r="Z158" s="12" t="e">
        <f>GEOMEAN(Z98:Z112)</f>
        <v>#NUM!</v>
      </c>
      <c r="AA158" s="12" t="e">
        <f t="shared" ref="AA158:AC158" si="201">GEOMEAN(AA98:AA112)</f>
        <v>#DIV/0!</v>
      </c>
      <c r="AB158" s="12" t="e">
        <f t="shared" si="201"/>
        <v>#DIV/0!</v>
      </c>
      <c r="AC158" s="12" t="e">
        <f t="shared" si="201"/>
        <v>#DIV/0!</v>
      </c>
      <c r="AD158" s="12">
        <f>AVERAGE(AD98:AD109)</f>
        <v>5.629446171801133E-3</v>
      </c>
      <c r="AF158" s="28">
        <f>AVERAGE(AF98:AF109)</f>
        <v>1.1521413299105572E-3</v>
      </c>
      <c r="AG158" s="32" t="e">
        <f t="shared" ref="AG158:AH158" si="202">AVERAGE(AG98:AG109)</f>
        <v>#VALUE!</v>
      </c>
      <c r="AH158" s="32" t="e">
        <f t="shared" si="202"/>
        <v>#VALUE!</v>
      </c>
      <c r="AI158" s="28" t="e">
        <f>AVERAGE(AI98:AI109)</f>
        <v>#VALUE!</v>
      </c>
      <c r="AJ158" s="32" t="e">
        <f t="shared" ref="AJ158:AK158" si="203">AVERAGE(AJ98:AJ109)</f>
        <v>#VALUE!</v>
      </c>
      <c r="AK158" s="32" t="e">
        <f t="shared" si="203"/>
        <v>#VALUE!</v>
      </c>
      <c r="AL158" s="28">
        <f t="shared" ref="AL158:AQ158" si="204">AVERAGE(AL99:AL110)</f>
        <v>1.2505043064972761E-3</v>
      </c>
      <c r="AM158" s="32" t="e">
        <f t="shared" si="204"/>
        <v>#VALUE!</v>
      </c>
      <c r="AN158" s="32" t="e">
        <f t="shared" si="204"/>
        <v>#VALUE!</v>
      </c>
      <c r="AO158" s="28" t="e">
        <f t="shared" si="204"/>
        <v>#VALUE!</v>
      </c>
      <c r="AP158" s="32" t="e">
        <f t="shared" si="204"/>
        <v>#VALUE!</v>
      </c>
      <c r="AQ158" s="32" t="e">
        <f t="shared" si="204"/>
        <v>#VALUE!</v>
      </c>
      <c r="AR158" s="28">
        <f t="shared" ref="AR158:AW158" si="205">AVERAGE(AR98:AR109)</f>
        <v>1.2662945377273822E-3</v>
      </c>
      <c r="AS158" s="32" t="e">
        <f t="shared" si="205"/>
        <v>#VALUE!</v>
      </c>
      <c r="AT158" s="33" t="e">
        <f t="shared" si="205"/>
        <v>#VALUE!</v>
      </c>
      <c r="AU158" s="28" t="e">
        <f t="shared" si="205"/>
        <v>#VALUE!</v>
      </c>
      <c r="AV158" s="32" t="e">
        <f t="shared" si="205"/>
        <v>#VALUE!</v>
      </c>
      <c r="AW158" s="33" t="e">
        <f t="shared" si="205"/>
        <v>#VALUE!</v>
      </c>
      <c r="AX158" s="12" t="e">
        <f t="shared" ref="AX158:BC158" si="206">GEOMEAN(AX98:AX112)</f>
        <v>#DIV/0!</v>
      </c>
      <c r="AY158" s="12" t="e">
        <f t="shared" si="206"/>
        <v>#DIV/0!</v>
      </c>
      <c r="AZ158" s="12" t="e">
        <f t="shared" si="206"/>
        <v>#DIV/0!</v>
      </c>
      <c r="BA158" s="12" t="e">
        <f t="shared" si="206"/>
        <v>#DIV/0!</v>
      </c>
      <c r="BB158" s="12" t="e">
        <f t="shared" si="206"/>
        <v>#DIV/0!</v>
      </c>
      <c r="BC158" s="12" t="e">
        <f t="shared" si="206"/>
        <v>#DIV/0!</v>
      </c>
    </row>
    <row r="159" spans="1:55" ht="12.75" thickBot="1" x14ac:dyDescent="0.25">
      <c r="B159" s="1" t="s">
        <v>18</v>
      </c>
      <c r="L159" s="12" t="e">
        <f>GEOMEAN(L113:L132)</f>
        <v>#NUM!</v>
      </c>
      <c r="M159" s="12" t="e">
        <f>GEOMEAN(M113:M132)</f>
        <v>#NUM!</v>
      </c>
      <c r="N159" s="12" t="e">
        <f>GEOMEAN(N113:N132)</f>
        <v>#NUM!</v>
      </c>
      <c r="X159" s="12" t="e">
        <f>GEOMEAN(X113:X132)</f>
        <v>#NUM!</v>
      </c>
      <c r="Y159" s="12" t="e">
        <f>GEOMEAN(Y113:Y132)</f>
        <v>#NUM!</v>
      </c>
      <c r="Z159" s="12" t="e">
        <f>GEOMEAN(Z113:Z132)</f>
        <v>#NUM!</v>
      </c>
      <c r="AA159" s="12" t="e">
        <f t="shared" ref="AA159:AC160" si="207">GEOMEAN(AA113:AA132)</f>
        <v>#DIV/0!</v>
      </c>
      <c r="AB159" s="12" t="e">
        <f>GEOMEAN(AB113:AB132)</f>
        <v>#DIV/0!</v>
      </c>
      <c r="AC159" s="12" t="e">
        <f>GEOMEAN(AC113:AC132)</f>
        <v>#DIV/0!</v>
      </c>
      <c r="AD159" s="12">
        <f>AVERAGE(AD113:AD132)</f>
        <v>3.4989452454345206E-3</v>
      </c>
      <c r="AF159" s="28">
        <f>AVERAGE(AF113:AF132)</f>
        <v>-2.2048404699773205E-3</v>
      </c>
      <c r="AG159" s="32" t="e">
        <f t="shared" ref="AG159:AH159" si="208">AVERAGE(AG113:AG132)</f>
        <v>#VALUE!</v>
      </c>
      <c r="AH159" s="32" t="e">
        <f t="shared" si="208"/>
        <v>#VALUE!</v>
      </c>
      <c r="AI159" s="28" t="e">
        <f>AVERAGE(AI113:AI132)</f>
        <v>#VALUE!</v>
      </c>
      <c r="AJ159" s="32" t="e">
        <f t="shared" ref="AJ159:AK159" si="209">AVERAGE(AJ113:AJ132)</f>
        <v>#VALUE!</v>
      </c>
      <c r="AK159" s="32" t="e">
        <f t="shared" si="209"/>
        <v>#VALUE!</v>
      </c>
      <c r="AL159" s="28">
        <f t="shared" ref="AL159:AQ159" si="210">AVERAGE(AL114:AL132)</f>
        <v>-2.1878282612898814E-3</v>
      </c>
      <c r="AM159" s="32" t="e">
        <f t="shared" si="210"/>
        <v>#VALUE!</v>
      </c>
      <c r="AN159" s="32" t="e">
        <f t="shared" si="210"/>
        <v>#VALUE!</v>
      </c>
      <c r="AO159" s="28" t="e">
        <f t="shared" si="210"/>
        <v>#VALUE!</v>
      </c>
      <c r="AP159" s="32" t="e">
        <f t="shared" si="210"/>
        <v>#VALUE!</v>
      </c>
      <c r="AQ159" s="32" t="e">
        <f t="shared" si="210"/>
        <v>#VALUE!</v>
      </c>
      <c r="AR159" s="28">
        <f t="shared" ref="AR159:AW159" si="211">AVERAGE(AR113:AR132)</f>
        <v>-1.4630809197366812E-3</v>
      </c>
      <c r="AS159" s="32" t="e">
        <f t="shared" si="211"/>
        <v>#VALUE!</v>
      </c>
      <c r="AT159" s="33" t="e">
        <f t="shared" si="211"/>
        <v>#VALUE!</v>
      </c>
      <c r="AU159" s="28" t="e">
        <f t="shared" si="211"/>
        <v>#VALUE!</v>
      </c>
      <c r="AV159" s="32" t="e">
        <f t="shared" si="211"/>
        <v>#VALUE!</v>
      </c>
      <c r="AW159" s="33" t="e">
        <f t="shared" si="211"/>
        <v>#VALUE!</v>
      </c>
      <c r="AX159" s="12" t="e">
        <f t="shared" ref="AX159" si="212">GEOMEAN(AX113:AX132)</f>
        <v>#DIV/0!</v>
      </c>
      <c r="AY159" s="12" t="e">
        <f>GEOMEAN(AY113:AY132)</f>
        <v>#DIV/0!</v>
      </c>
      <c r="AZ159" s="12" t="e">
        <f>GEOMEAN(AZ113:AZ132)</f>
        <v>#DIV/0!</v>
      </c>
      <c r="BA159" s="12" t="e">
        <f t="shared" ref="BA159" si="213">GEOMEAN(BA113:BA132)</f>
        <v>#DIV/0!</v>
      </c>
      <c r="BB159" s="12" t="e">
        <f>GEOMEAN(BB113:BB132)</f>
        <v>#DIV/0!</v>
      </c>
      <c r="BC159" s="12" t="e">
        <f>GEOMEAN(BC113:BC132)</f>
        <v>#DIV/0!</v>
      </c>
    </row>
    <row r="160" spans="1:55" ht="12.75" hidden="1" thickBot="1" x14ac:dyDescent="0.25">
      <c r="B160" s="1" t="s">
        <v>69</v>
      </c>
      <c r="L160" s="12" t="e">
        <f>GEOMEAN(L133:L152)</f>
        <v>#NUM!</v>
      </c>
      <c r="M160" s="12" t="e">
        <f>GEOMEAN(M133:M152)</f>
        <v>#NUM!</v>
      </c>
      <c r="N160" s="12" t="e">
        <f>GEOMEAN(N133:N152)</f>
        <v>#NUM!</v>
      </c>
      <c r="X160" s="12" t="e">
        <f>GEOMEAN(X133:X152)</f>
        <v>#NUM!</v>
      </c>
      <c r="Y160" s="12" t="e">
        <f>GEOMEAN(Y133:Y152)</f>
        <v>#NUM!</v>
      </c>
      <c r="Z160" s="12" t="e">
        <f>GEOMEAN(Z133:Z152)</f>
        <v>#NUM!</v>
      </c>
      <c r="AA160" s="12" t="e">
        <f>GEOMEAN(AA133:AA152)</f>
        <v>#DIV/0!</v>
      </c>
      <c r="AB160" s="12" t="e">
        <f t="shared" si="207"/>
        <v>#DIV/0!</v>
      </c>
      <c r="AC160" s="12" t="e">
        <f t="shared" si="207"/>
        <v>#DIV/0!</v>
      </c>
      <c r="AD160" s="12" t="e">
        <f>AVERAGE(AD133:AD152)</f>
        <v>#DIV/0!</v>
      </c>
      <c r="AF160" s="28" t="e">
        <f t="shared" ref="AF160:AW160" si="214">AVERAGE(AF133:AF152)</f>
        <v>#VALUE!</v>
      </c>
      <c r="AG160" s="32" t="e">
        <f t="shared" si="214"/>
        <v>#VALUE!</v>
      </c>
      <c r="AH160" s="32" t="e">
        <f t="shared" si="214"/>
        <v>#VALUE!</v>
      </c>
      <c r="AI160" s="28" t="e">
        <f t="shared" si="214"/>
        <v>#VALUE!</v>
      </c>
      <c r="AJ160" s="32" t="e">
        <f t="shared" si="214"/>
        <v>#VALUE!</v>
      </c>
      <c r="AK160" s="32" t="e">
        <f t="shared" si="214"/>
        <v>#VALUE!</v>
      </c>
      <c r="AL160" s="28" t="e">
        <f t="shared" si="214"/>
        <v>#VALUE!</v>
      </c>
      <c r="AM160" s="32" t="e">
        <f t="shared" si="214"/>
        <v>#VALUE!</v>
      </c>
      <c r="AN160" s="32" t="e">
        <f t="shared" si="214"/>
        <v>#VALUE!</v>
      </c>
      <c r="AO160" s="28" t="e">
        <f t="shared" si="214"/>
        <v>#VALUE!</v>
      </c>
      <c r="AP160" s="32" t="e">
        <f t="shared" si="214"/>
        <v>#VALUE!</v>
      </c>
      <c r="AQ160" s="32" t="e">
        <f t="shared" si="214"/>
        <v>#VALUE!</v>
      </c>
      <c r="AR160" s="28" t="e">
        <f t="shared" si="214"/>
        <v>#VALUE!</v>
      </c>
      <c r="AS160" s="32" t="e">
        <f t="shared" si="214"/>
        <v>#VALUE!</v>
      </c>
      <c r="AT160" s="32" t="e">
        <f t="shared" si="214"/>
        <v>#VALUE!</v>
      </c>
      <c r="AU160" s="28" t="e">
        <f t="shared" si="214"/>
        <v>#VALUE!</v>
      </c>
      <c r="AV160" s="32" t="e">
        <f t="shared" si="214"/>
        <v>#VALUE!</v>
      </c>
      <c r="AW160" s="32" t="e">
        <f t="shared" si="214"/>
        <v>#VALUE!</v>
      </c>
      <c r="AX160" s="12" t="e">
        <f>GEOMEAN(AX133:AX152)</f>
        <v>#DIV/0!</v>
      </c>
      <c r="AY160" s="12" t="e">
        <f t="shared" ref="AY160:AZ160" si="215">GEOMEAN(AY114:AY133)</f>
        <v>#DIV/0!</v>
      </c>
      <c r="AZ160" s="12" t="e">
        <f t="shared" si="215"/>
        <v>#DIV/0!</v>
      </c>
      <c r="BA160" s="12" t="e">
        <f>GEOMEAN(BA133:BA152)</f>
        <v>#DIV/0!</v>
      </c>
      <c r="BB160" s="12" t="e">
        <f>GEOMEAN(BB114:BB133)</f>
        <v>#DIV/0!</v>
      </c>
      <c r="BC160" s="12" t="e">
        <f t="shared" ref="BC160" si="216">GEOMEAN(BC114:BC133)</f>
        <v>#DIV/0!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#NUM!</v>
      </c>
      <c r="M161" s="42" t="e">
        <f>GEOMEAN(M3:M77, M98:M112)</f>
        <v>#NUM!</v>
      </c>
      <c r="N161" s="42" t="e">
        <f>GEOMEAN(N3:N77,N98:N112)</f>
        <v>#NUM!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#NUM!</v>
      </c>
      <c r="Y161" s="42" t="e">
        <f>GEOMEAN(Y3:Y77,Y98:Y112)</f>
        <v>#NUM!</v>
      </c>
      <c r="Z161" s="42" t="e">
        <f>GEOMEAN(Z3:Z77,Z98:Z112)</f>
        <v>#NUM!</v>
      </c>
      <c r="AA161" s="42" t="e">
        <f>GEOMEAN(AA3:AA77,AA98:AA112)</f>
        <v>#DIV/0!</v>
      </c>
      <c r="AB161" s="42" t="e">
        <f>GEOMEAN(AB3:AB77,AB98:AB112)</f>
        <v>#DIV/0!</v>
      </c>
      <c r="AC161" s="42" t="e">
        <f>GEOMEAN(AC3:AC77,AC133:AC152)</f>
        <v>#DIV/0!</v>
      </c>
      <c r="AD161" s="42">
        <f t="shared" ref="AD161" si="217">AVERAGE(AD3:AD77,AD98:AD112)</f>
        <v>3.0871986198101812E-3</v>
      </c>
      <c r="AE161" s="4"/>
      <c r="AF161" s="29">
        <f>AVERAGE(AF3:AF132)</f>
        <v>-1.9626615259894252E-4</v>
      </c>
      <c r="AG161" s="29" t="e">
        <f t="shared" ref="AG161:AW161" si="218">AVERAGE(AG3:AG132)</f>
        <v>#VALUE!</v>
      </c>
      <c r="AH161" s="29" t="e">
        <f t="shared" si="218"/>
        <v>#VALUE!</v>
      </c>
      <c r="AI161" s="29" t="e">
        <f t="shared" si="218"/>
        <v>#VALUE!</v>
      </c>
      <c r="AJ161" s="29" t="e">
        <f t="shared" si="218"/>
        <v>#VALUE!</v>
      </c>
      <c r="AK161" s="29" t="e">
        <f t="shared" si="218"/>
        <v>#VALUE!</v>
      </c>
      <c r="AL161" s="29">
        <f t="shared" si="218"/>
        <v>-1.7278380862342576E-4</v>
      </c>
      <c r="AM161" s="29" t="e">
        <f t="shared" si="218"/>
        <v>#VALUE!</v>
      </c>
      <c r="AN161" s="29" t="e">
        <f t="shared" si="218"/>
        <v>#VALUE!</v>
      </c>
      <c r="AO161" s="29" t="e">
        <f t="shared" si="218"/>
        <v>#VALUE!</v>
      </c>
      <c r="AP161" s="29" t="e">
        <f t="shared" si="218"/>
        <v>#VALUE!</v>
      </c>
      <c r="AQ161" s="29" t="e">
        <f t="shared" si="218"/>
        <v>#VALUE!</v>
      </c>
      <c r="AR161" s="29">
        <f t="shared" si="218"/>
        <v>-4.0179262073007755E-5</v>
      </c>
      <c r="AS161" s="29" t="e">
        <f t="shared" si="218"/>
        <v>#VALUE!</v>
      </c>
      <c r="AT161" s="29" t="e">
        <f t="shared" si="218"/>
        <v>#VALUE!</v>
      </c>
      <c r="AU161" s="29" t="e">
        <f t="shared" si="218"/>
        <v>#VALUE!</v>
      </c>
      <c r="AV161" s="29" t="e">
        <f t="shared" si="218"/>
        <v>#VALUE!</v>
      </c>
      <c r="AW161" s="29" t="e">
        <f t="shared" si="218"/>
        <v>#VALUE!</v>
      </c>
      <c r="AX161" s="42" t="e">
        <f>GEOMEAN(AX3:AX77,AX98:AX112)</f>
        <v>#DIV/0!</v>
      </c>
      <c r="AY161" s="42" t="e">
        <f>GEOMEAN(AY3:AY77,AY133:AY152)</f>
        <v>#DIV/0!</v>
      </c>
      <c r="AZ161" s="42" t="e">
        <f>GEOMEAN(AZ3:AZ77,AZ133:AZ152)</f>
        <v>#DIV/0!</v>
      </c>
      <c r="BA161" s="42" t="e">
        <f>GEOMEAN(BA3:BA77,BA98:BA112)</f>
        <v>#DIV/0!</v>
      </c>
      <c r="BB161" s="42" t="e">
        <f>GEOMEAN(BB3:BB77,BB98:BB112)</f>
        <v>#DIV/0!</v>
      </c>
      <c r="BC161" s="42" t="e">
        <f>GEOMEAN(BC3:BC77,BC98:BC112)</f>
        <v>#DIV/0!</v>
      </c>
    </row>
    <row r="162" spans="1:55" hidden="1" x14ac:dyDescent="0.2">
      <c r="B162" s="1" t="s">
        <v>9</v>
      </c>
      <c r="L162" s="22" t="e">
        <f>GEOMEAN(L3:L132)</f>
        <v>#NUM!</v>
      </c>
      <c r="M162" s="22" t="e">
        <f>GEOMEAN(M3:M132)</f>
        <v>#NUM!</v>
      </c>
      <c r="N162" s="22" t="e">
        <f>GEOMEAN(N3:N132)</f>
        <v>#NUM!</v>
      </c>
      <c r="X162" s="22" t="e">
        <f>GEOMEAN(X3:X132)</f>
        <v>#NUM!</v>
      </c>
      <c r="Y162" s="22" t="e">
        <f>GEOMEAN(Y3:Y132)</f>
        <v>#NUM!</v>
      </c>
      <c r="Z162" s="22" t="e">
        <f>GEOMEAN(Z3:Z132)</f>
        <v>#NUM!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#NUM!</v>
      </c>
      <c r="Y163" s="23" t="e">
        <f>Y162/M162</f>
        <v>#NUM!</v>
      </c>
      <c r="Z163" s="23" t="e">
        <f>Z162/N162</f>
        <v>#NUM!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>
        <f>SUM(L$3:L$17)</f>
        <v>0</v>
      </c>
      <c r="M167" s="12">
        <f>SUM(M$3:M$17)</f>
        <v>0</v>
      </c>
      <c r="N167" s="12">
        <f>SUM(N$3:N$17)</f>
        <v>0</v>
      </c>
      <c r="X167" s="12">
        <f>SUM(X$3:X$17)</f>
        <v>0</v>
      </c>
      <c r="Y167" s="12">
        <f>SUM(Y$3:Y$17)</f>
        <v>0</v>
      </c>
      <c r="Z167" s="12">
        <f>SUM(Z$3:Z$17)</f>
        <v>0</v>
      </c>
      <c r="AA167" s="12" t="e">
        <f t="shared" ref="AA167:AA174" si="219">Z167/L167</f>
        <v>#DIV/0!</v>
      </c>
      <c r="AB167" s="12" t="e">
        <f t="shared" ref="AB167:AC174" si="220">X167/K167</f>
        <v>#DIV/0!</v>
      </c>
      <c r="AC167" s="12" t="e">
        <f t="shared" si="220"/>
        <v>#DIV/0!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>
        <f>SUM(L$18:L$32)</f>
        <v>0</v>
      </c>
      <c r="M168" s="12">
        <f>SUM(M$18:M$32)</f>
        <v>0</v>
      </c>
      <c r="N168" s="12">
        <f>SUM(N$18:N$32)</f>
        <v>0</v>
      </c>
      <c r="X168" s="12">
        <f>SUM(X$18:X$32)</f>
        <v>0</v>
      </c>
      <c r="Y168" s="12">
        <f>SUM(Y$18:Y$32)</f>
        <v>0</v>
      </c>
      <c r="Z168" s="12">
        <f>SUM(Z$18:Z$32)</f>
        <v>0</v>
      </c>
      <c r="AA168" s="12" t="e">
        <f t="shared" si="219"/>
        <v>#DIV/0!</v>
      </c>
      <c r="AB168" s="12" t="e">
        <f t="shared" si="220"/>
        <v>#DIV/0!</v>
      </c>
      <c r="AC168" s="12" t="e">
        <f t="shared" si="220"/>
        <v>#DIV/0!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>
        <f>SUM(L$33:L$57)</f>
        <v>0</v>
      </c>
      <c r="M169" s="12">
        <f>SUM(M$33:M$57)</f>
        <v>0</v>
      </c>
      <c r="N169" s="12">
        <f>SUM(N$33:N$57)</f>
        <v>0</v>
      </c>
      <c r="X169" s="12">
        <f>SUM(X$33:X$57)</f>
        <v>0</v>
      </c>
      <c r="Y169" s="12">
        <f>SUM(Y$33:Y$57)</f>
        <v>0</v>
      </c>
      <c r="Z169" s="12">
        <f>SUM(Z$33:Z$57)</f>
        <v>0</v>
      </c>
      <c r="AA169" s="12" t="e">
        <f t="shared" si="219"/>
        <v>#DIV/0!</v>
      </c>
      <c r="AB169" s="12" t="e">
        <f t="shared" si="220"/>
        <v>#DIV/0!</v>
      </c>
      <c r="AC169" s="12" t="e">
        <f t="shared" si="220"/>
        <v>#DIV/0!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>
        <f>SUM(L$58:L$77)</f>
        <v>0</v>
      </c>
      <c r="M170" s="12">
        <f>SUM(M$58:M$77)</f>
        <v>0</v>
      </c>
      <c r="N170" s="12">
        <f>SUM(N$58:N$77)</f>
        <v>0</v>
      </c>
      <c r="X170" s="12">
        <f>SUM(X$58:X$77)</f>
        <v>0</v>
      </c>
      <c r="Y170" s="12">
        <f>SUM(Y$58:Y$77)</f>
        <v>0</v>
      </c>
      <c r="Z170" s="12">
        <f>SUM(Z$58:Z$77)</f>
        <v>0</v>
      </c>
      <c r="AA170" s="12" t="e">
        <f t="shared" si="219"/>
        <v>#DIV/0!</v>
      </c>
      <c r="AB170" s="12" t="e">
        <f t="shared" si="220"/>
        <v>#DIV/0!</v>
      </c>
      <c r="AC170" s="12" t="e">
        <f t="shared" si="220"/>
        <v>#DIV/0!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>
        <f>SUM(L$78:L$97)</f>
        <v>0</v>
      </c>
      <c r="M171" s="12">
        <f>SUM(M$78:M$97)</f>
        <v>0</v>
      </c>
      <c r="N171" s="12">
        <f>SUM(N$78:N$97)</f>
        <v>0</v>
      </c>
      <c r="X171" s="12">
        <f>SUM(X$78:X$97)</f>
        <v>0</v>
      </c>
      <c r="Y171" s="12">
        <f>SUM(Y$78:Y$97)</f>
        <v>0</v>
      </c>
      <c r="Z171" s="12">
        <f>SUM(Z$78:Z$97)</f>
        <v>0</v>
      </c>
      <c r="AA171" s="12" t="e">
        <f t="shared" si="219"/>
        <v>#DIV/0!</v>
      </c>
      <c r="AB171" s="12" t="e">
        <f t="shared" si="220"/>
        <v>#DIV/0!</v>
      </c>
      <c r="AC171" s="12" t="e">
        <f t="shared" si="220"/>
        <v>#DIV/0!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>
        <f>SUM(L$98:L$112)</f>
        <v>0</v>
      </c>
      <c r="M172" s="12">
        <f>SUM(M$98:M$112)</f>
        <v>0</v>
      </c>
      <c r="N172" s="12">
        <f>SUM(N$98:N$112)</f>
        <v>0</v>
      </c>
      <c r="X172" s="12">
        <f>SUM(X$98:X$112)</f>
        <v>0</v>
      </c>
      <c r="Y172" s="12">
        <f>SUM(Y$98:Y$112)</f>
        <v>0</v>
      </c>
      <c r="Z172" s="12">
        <f>SUM(Z$98:Z$112)</f>
        <v>0</v>
      </c>
      <c r="AA172" s="12" t="e">
        <f t="shared" si="219"/>
        <v>#DIV/0!</v>
      </c>
      <c r="AB172" s="12" t="e">
        <f t="shared" si="220"/>
        <v>#DIV/0!</v>
      </c>
      <c r="AC172" s="12" t="e">
        <f t="shared" si="220"/>
        <v>#DIV/0!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>
        <f>SUM(L$113:L$132)</f>
        <v>0</v>
      </c>
      <c r="M173" s="12">
        <f>SUM(M$113:M$132)</f>
        <v>0</v>
      </c>
      <c r="N173" s="12">
        <f>SUM(N$113:N$132)</f>
        <v>0</v>
      </c>
      <c r="X173" s="12">
        <f>SUM(X$113:X$132)</f>
        <v>0</v>
      </c>
      <c r="Y173" s="12">
        <f>SUM(Y$113:Y$132)</f>
        <v>0</v>
      </c>
      <c r="Z173" s="12">
        <f>SUM(Z$113:Z$132)</f>
        <v>0</v>
      </c>
      <c r="AA173" s="12" t="e">
        <f t="shared" si="219"/>
        <v>#DIV/0!</v>
      </c>
      <c r="AB173" s="12" t="e">
        <f t="shared" si="220"/>
        <v>#DIV/0!</v>
      </c>
      <c r="AC173" s="12" t="e">
        <f t="shared" si="220"/>
        <v>#DIV/0!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>
        <f>SUM(L167:L173)</f>
        <v>0</v>
      </c>
      <c r="M174" s="12">
        <f>SUM(M167:M173)</f>
        <v>0</v>
      </c>
      <c r="N174" s="12">
        <f>SUM(N167:N173)</f>
        <v>0</v>
      </c>
      <c r="X174" s="12">
        <f>SUM(X167:X173)</f>
        <v>0</v>
      </c>
      <c r="Y174" s="12">
        <f>SUM(Y167:Y173)</f>
        <v>0</v>
      </c>
      <c r="Z174" s="12">
        <f>SUM(Z167:Z173)</f>
        <v>0</v>
      </c>
      <c r="AA174" s="12" t="e">
        <f t="shared" si="219"/>
        <v>#DIV/0!</v>
      </c>
      <c r="AB174" s="12" t="e">
        <f t="shared" si="220"/>
        <v>#DIV/0!</v>
      </c>
      <c r="AC174" s="12" t="e">
        <f t="shared" si="220"/>
        <v>#DIV/0!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>
        <f>MAX(L$3:L$17)</f>
        <v>0</v>
      </c>
      <c r="M177" s="12">
        <f>MAX(M$3:M$17)</f>
        <v>0</v>
      </c>
      <c r="N177" s="12">
        <f>MAX(N$3:N$17)</f>
        <v>0</v>
      </c>
      <c r="X177" s="12">
        <f>MAX(X$3:X$17)</f>
        <v>0</v>
      </c>
      <c r="Y177" s="12">
        <f>MAX(Y$3:Y$17)</f>
        <v>0</v>
      </c>
      <c r="Z177" s="12">
        <f>MAX(Z$3:Z$17)</f>
        <v>0</v>
      </c>
      <c r="AA177" s="12" t="e">
        <f t="shared" ref="AA177:AA184" si="221">Z177/L177</f>
        <v>#DIV/0!</v>
      </c>
      <c r="AB177" s="12" t="e">
        <f t="shared" ref="AB177:AC184" si="222">X177/K177</f>
        <v>#DIV/0!</v>
      </c>
      <c r="AC177" s="12" t="e">
        <f t="shared" si="222"/>
        <v>#DIV/0!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>
        <f>MAX(L$18:L$32)</f>
        <v>0</v>
      </c>
      <c r="M178" s="12">
        <f>MAX(M$18:M$32)</f>
        <v>0</v>
      </c>
      <c r="N178" s="12">
        <f>MAX(N$18:N$32)</f>
        <v>0</v>
      </c>
      <c r="X178" s="12">
        <f>MAX(X$18:X$32)</f>
        <v>0</v>
      </c>
      <c r="Y178" s="12">
        <f>MAX(Y$18:Y$32)</f>
        <v>0</v>
      </c>
      <c r="Z178" s="12">
        <f>MAX(Z$18:Z$32)</f>
        <v>0</v>
      </c>
      <c r="AA178" s="12" t="e">
        <f t="shared" si="221"/>
        <v>#DIV/0!</v>
      </c>
      <c r="AB178" s="12" t="e">
        <f t="shared" si="222"/>
        <v>#DIV/0!</v>
      </c>
      <c r="AC178" s="12" t="e">
        <f t="shared" si="222"/>
        <v>#DIV/0!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>
        <f>MAX(L$33:L$57)</f>
        <v>0</v>
      </c>
      <c r="M179" s="12">
        <f>MAX(M$33:M$57)</f>
        <v>0</v>
      </c>
      <c r="N179" s="12">
        <f>MAX(N$33:N$57)</f>
        <v>0</v>
      </c>
      <c r="X179" s="12">
        <f>MAX(X$33:X$57)</f>
        <v>0</v>
      </c>
      <c r="Y179" s="12">
        <f>MAX(Y$33:Y$57)</f>
        <v>0</v>
      </c>
      <c r="Z179" s="12">
        <f>MAX(Z$33:Z$57)</f>
        <v>0</v>
      </c>
      <c r="AA179" s="12" t="e">
        <f t="shared" si="221"/>
        <v>#DIV/0!</v>
      </c>
      <c r="AB179" s="12" t="e">
        <f t="shared" si="222"/>
        <v>#DIV/0!</v>
      </c>
      <c r="AC179" s="12" t="e">
        <f t="shared" si="222"/>
        <v>#DIV/0!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>
        <f>MAX(L$58:L$77)</f>
        <v>0</v>
      </c>
      <c r="M180" s="12">
        <f>MAX(M$58:M$77)</f>
        <v>0</v>
      </c>
      <c r="N180" s="12">
        <f>MAX(N$58:N$77)</f>
        <v>0</v>
      </c>
      <c r="X180" s="12">
        <f>MAX(X$58:X$77)</f>
        <v>0</v>
      </c>
      <c r="Y180" s="12">
        <f>MAX(Y$58:Y$77)</f>
        <v>0</v>
      </c>
      <c r="Z180" s="12">
        <f>MAX(Z$58:Z$77)</f>
        <v>0</v>
      </c>
      <c r="AA180" s="12" t="e">
        <f t="shared" si="221"/>
        <v>#DIV/0!</v>
      </c>
      <c r="AB180" s="12" t="e">
        <f t="shared" si="222"/>
        <v>#DIV/0!</v>
      </c>
      <c r="AC180" s="12" t="e">
        <f t="shared" si="222"/>
        <v>#DIV/0!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>
        <f>MAX(L$78:L$97)</f>
        <v>0</v>
      </c>
      <c r="M181" s="12">
        <f>MAX(M$78:M$97)</f>
        <v>0</v>
      </c>
      <c r="N181" s="12">
        <f>MAX(N$78:N$97)</f>
        <v>0</v>
      </c>
      <c r="X181" s="12">
        <f>MAX(X$78:X$97)</f>
        <v>0</v>
      </c>
      <c r="Y181" s="12">
        <f>MAX(Y$78:Y$97)</f>
        <v>0</v>
      </c>
      <c r="Z181" s="12">
        <f>MAX(Z$78:Z$97)</f>
        <v>0</v>
      </c>
      <c r="AA181" s="12" t="e">
        <f t="shared" si="221"/>
        <v>#DIV/0!</v>
      </c>
      <c r="AB181" s="12" t="e">
        <f t="shared" si="222"/>
        <v>#DIV/0!</v>
      </c>
      <c r="AC181" s="12" t="e">
        <f t="shared" si="222"/>
        <v>#DIV/0!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>
        <f>MAX(L$98:L$112)</f>
        <v>0</v>
      </c>
      <c r="M182" s="12">
        <f>MAX(M$98:M$112)</f>
        <v>0</v>
      </c>
      <c r="N182" s="12">
        <f>MAX(N$98:N$112)</f>
        <v>0</v>
      </c>
      <c r="X182" s="12">
        <f>MAX(X$98:X$112)</f>
        <v>0</v>
      </c>
      <c r="Y182" s="12">
        <f>MAX(Y$98:Y$112)</f>
        <v>0</v>
      </c>
      <c r="Z182" s="12">
        <f>MAX(Z$98:Z$112)</f>
        <v>0</v>
      </c>
      <c r="AA182" s="12" t="e">
        <f t="shared" si="221"/>
        <v>#DIV/0!</v>
      </c>
      <c r="AB182" s="12" t="e">
        <f t="shared" si="222"/>
        <v>#DIV/0!</v>
      </c>
      <c r="AC182" s="12" t="e">
        <f t="shared" si="222"/>
        <v>#DIV/0!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>
        <f>MAX(L$113:L$132)</f>
        <v>0</v>
      </c>
      <c r="M183" s="12">
        <f>MAX(M$113:M$132)</f>
        <v>0</v>
      </c>
      <c r="N183" s="12">
        <f>MAX(N$113:N$132)</f>
        <v>0</v>
      </c>
      <c r="X183" s="12">
        <f>MAX(X$113:X$132)</f>
        <v>0</v>
      </c>
      <c r="Y183" s="12">
        <f>MAX(Y$113:Y$132)</f>
        <v>0</v>
      </c>
      <c r="Z183" s="12">
        <f>MAX(Z$113:Z$132)</f>
        <v>0</v>
      </c>
      <c r="AA183" s="12" t="e">
        <f t="shared" si="221"/>
        <v>#DIV/0!</v>
      </c>
      <c r="AB183" s="12" t="e">
        <f t="shared" si="222"/>
        <v>#DIV/0!</v>
      </c>
      <c r="AC183" s="12" t="e">
        <f t="shared" si="222"/>
        <v>#DIV/0!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>
        <f>MAX(L177:L183)</f>
        <v>0</v>
      </c>
      <c r="M184" s="12">
        <f>MAX(M177:M183)</f>
        <v>0</v>
      </c>
      <c r="N184" s="12">
        <f>MAX(N177:N183)</f>
        <v>0</v>
      </c>
      <c r="X184" s="12">
        <f>MAX(X177:X183)</f>
        <v>0</v>
      </c>
      <c r="Y184" s="12">
        <f>MAX(Y177:Y183)</f>
        <v>0</v>
      </c>
      <c r="Z184" s="12">
        <f>MAX(Z177:Z183)</f>
        <v>0</v>
      </c>
      <c r="AA184" s="12" t="e">
        <f t="shared" si="221"/>
        <v>#DIV/0!</v>
      </c>
      <c r="AB184" s="12" t="e">
        <f t="shared" si="222"/>
        <v>#DIV/0!</v>
      </c>
      <c r="AC184" s="12" t="e">
        <f t="shared" si="222"/>
        <v>#DIV/0!</v>
      </c>
      <c r="AD184" s="12"/>
      <c r="AX184" s="12"/>
      <c r="AY184" s="12"/>
      <c r="AZ184" s="12"/>
      <c r="BA184" s="12"/>
      <c r="BB184" s="12"/>
    </row>
    <row r="188" spans="2:54" x14ac:dyDescent="0.2">
      <c r="AF188" s="21">
        <f>AVERAGE(AF58:AF132)</f>
        <v>-6.823321952866612E-4</v>
      </c>
      <c r="AL188" s="21">
        <f>AVERAGE(AL58:AL132)</f>
        <v>-7.7512289651312149E-4</v>
      </c>
      <c r="AR188" s="21">
        <f>AVERAGE(AR58:AR132)</f>
        <v>-2.5933362300494998E-4</v>
      </c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2937" priority="1468" operator="greaterThan">
      <formula>0.03</formula>
    </cfRule>
    <cfRule type="cellIs" dxfId="2936" priority="1469" stopIfTrue="1" operator="lessThan">
      <formula>-0.03</formula>
    </cfRule>
  </conditionalFormatting>
  <conditionalFormatting sqref="AU7:AV7">
    <cfRule type="cellIs" dxfId="2935" priority="1466" operator="greaterThan">
      <formula>0.03</formula>
    </cfRule>
    <cfRule type="cellIs" dxfId="2934" priority="1467" stopIfTrue="1" operator="lessThan">
      <formula>-0.03</formula>
    </cfRule>
  </conditionalFormatting>
  <conditionalFormatting sqref="AO156:AQ156 AU156:AW156">
    <cfRule type="cellIs" dxfId="2933" priority="1458" operator="greaterThan">
      <formula>0.03</formula>
    </cfRule>
    <cfRule type="cellIs" dxfId="2932" priority="1459" stopIfTrue="1" operator="lessThan">
      <formula>-0.03</formula>
    </cfRule>
  </conditionalFormatting>
  <conditionalFormatting sqref="AO159:AQ159 AU159:AW159">
    <cfRule type="cellIs" dxfId="2931" priority="1456" operator="greaterThan">
      <formula>0.03</formula>
    </cfRule>
    <cfRule type="cellIs" dxfId="2930" priority="1457" stopIfTrue="1" operator="lessThan">
      <formula>-0.03</formula>
    </cfRule>
  </conditionalFormatting>
  <conditionalFormatting sqref="AO161:AQ161 AU161:AW161">
    <cfRule type="cellIs" dxfId="2929" priority="1464" operator="greaterThan">
      <formula>0.03</formula>
    </cfRule>
    <cfRule type="cellIs" dxfId="2928" priority="1465" stopIfTrue="1" operator="lessThan">
      <formula>-0.03</formula>
    </cfRule>
  </conditionalFormatting>
  <conditionalFormatting sqref="AO153:AQ153 AO155:AQ155 AU155:AW155 AU153:AW153">
    <cfRule type="cellIs" dxfId="2927" priority="1460" operator="greaterThan">
      <formula>0.03</formula>
    </cfRule>
    <cfRule type="cellIs" dxfId="2926" priority="1461" stopIfTrue="1" operator="lessThan">
      <formula>-0.03</formula>
    </cfRule>
  </conditionalFormatting>
  <conditionalFormatting sqref="AO157:AQ158 AU157:AW158">
    <cfRule type="cellIs" dxfId="2925" priority="1462" operator="greaterThan">
      <formula>0.03</formula>
    </cfRule>
    <cfRule type="cellIs" dxfId="2924" priority="1463" stopIfTrue="1" operator="lessThan">
      <formula>-0.03</formula>
    </cfRule>
  </conditionalFormatting>
  <conditionalFormatting sqref="AO154:AQ154 AU154:AW154">
    <cfRule type="cellIs" dxfId="2923" priority="1454" operator="greaterThan">
      <formula>0.03</formula>
    </cfRule>
    <cfRule type="cellIs" dxfId="2922" priority="1455" stopIfTrue="1" operator="lessThan">
      <formula>-0.03</formula>
    </cfRule>
  </conditionalFormatting>
  <conditionalFormatting sqref="AO7:AQ7">
    <cfRule type="cellIs" dxfId="2921" priority="1452" operator="greaterThan">
      <formula>0.03</formula>
    </cfRule>
    <cfRule type="cellIs" dxfId="2920" priority="1453" stopIfTrue="1" operator="lessThan">
      <formula>-0.03</formula>
    </cfRule>
  </conditionalFormatting>
  <conditionalFormatting sqref="AI7:AK7 AI3:AK5">
    <cfRule type="cellIs" dxfId="2919" priority="1450" operator="greaterThan">
      <formula>0.03</formula>
    </cfRule>
    <cfRule type="cellIs" dxfId="2918" priority="1451" stopIfTrue="1" operator="lessThan">
      <formula>-0.03</formula>
    </cfRule>
  </conditionalFormatting>
  <conditionalFormatting sqref="AI156:AK156">
    <cfRule type="cellIs" dxfId="2917" priority="1442" operator="greaterThan">
      <formula>0.03</formula>
    </cfRule>
    <cfRule type="cellIs" dxfId="2916" priority="1443" stopIfTrue="1" operator="lessThan">
      <formula>-0.03</formula>
    </cfRule>
  </conditionalFormatting>
  <conditionalFormatting sqref="AI159:AK159">
    <cfRule type="cellIs" dxfId="2915" priority="1440" operator="greaterThan">
      <formula>0.03</formula>
    </cfRule>
    <cfRule type="cellIs" dxfId="2914" priority="1441" stopIfTrue="1" operator="lessThan">
      <formula>-0.03</formula>
    </cfRule>
  </conditionalFormatting>
  <conditionalFormatting sqref="AI161:AK161">
    <cfRule type="cellIs" dxfId="2913" priority="1448" operator="greaterThan">
      <formula>0.03</formula>
    </cfRule>
    <cfRule type="cellIs" dxfId="2912" priority="1449" stopIfTrue="1" operator="lessThan">
      <formula>-0.03</formula>
    </cfRule>
  </conditionalFormatting>
  <conditionalFormatting sqref="AI153:AK153 AI155:AK155">
    <cfRule type="cellIs" dxfId="2911" priority="1444" operator="greaterThan">
      <formula>0.03</formula>
    </cfRule>
    <cfRule type="cellIs" dxfId="2910" priority="1445" stopIfTrue="1" operator="lessThan">
      <formula>-0.03</formula>
    </cfRule>
  </conditionalFormatting>
  <conditionalFormatting sqref="AI157:AK158">
    <cfRule type="cellIs" dxfId="2909" priority="1446" operator="greaterThan">
      <formula>0.03</formula>
    </cfRule>
    <cfRule type="cellIs" dxfId="2908" priority="1447" stopIfTrue="1" operator="lessThan">
      <formula>-0.03</formula>
    </cfRule>
  </conditionalFormatting>
  <conditionalFormatting sqref="AI154:AK154">
    <cfRule type="cellIs" dxfId="2907" priority="1438" operator="greaterThan">
      <formula>0.03</formula>
    </cfRule>
    <cfRule type="cellIs" dxfId="2906" priority="1439" stopIfTrue="1" operator="lessThan">
      <formula>-0.03</formula>
    </cfRule>
  </conditionalFormatting>
  <conditionalFormatting sqref="AI6:AK6">
    <cfRule type="cellIs" dxfId="2905" priority="1436" operator="greaterThan">
      <formula>0.03</formula>
    </cfRule>
    <cfRule type="cellIs" dxfId="2904" priority="1437" stopIfTrue="1" operator="lessThan">
      <formula>-0.03</formula>
    </cfRule>
  </conditionalFormatting>
  <conditionalFormatting sqref="AU3:AW3">
    <cfRule type="cellIs" dxfId="2903" priority="1434" operator="greaterThan">
      <formula>0.03</formula>
    </cfRule>
    <cfRule type="cellIs" dxfId="2902" priority="1435" stopIfTrue="1" operator="lessThan">
      <formula>-0.03</formula>
    </cfRule>
  </conditionalFormatting>
  <conditionalFormatting sqref="AO13:AQ13 AO10:AQ11">
    <cfRule type="cellIs" dxfId="2901" priority="1432" operator="greaterThan">
      <formula>0.03</formula>
    </cfRule>
    <cfRule type="cellIs" dxfId="2900" priority="1433" stopIfTrue="1" operator="lessThan">
      <formula>-0.03</formula>
    </cfRule>
  </conditionalFormatting>
  <conditionalFormatting sqref="AU12:AV12">
    <cfRule type="cellIs" dxfId="2899" priority="1430" operator="greaterThan">
      <formula>0.03</formula>
    </cfRule>
    <cfRule type="cellIs" dxfId="2898" priority="1431" stopIfTrue="1" operator="lessThan">
      <formula>-0.03</formula>
    </cfRule>
  </conditionalFormatting>
  <conditionalFormatting sqref="AO12:AQ12">
    <cfRule type="cellIs" dxfId="2897" priority="1428" operator="greaterThan">
      <formula>0.03</formula>
    </cfRule>
    <cfRule type="cellIs" dxfId="2896" priority="1429" stopIfTrue="1" operator="lessThan">
      <formula>-0.03</formula>
    </cfRule>
  </conditionalFormatting>
  <conditionalFormatting sqref="AI12:AK12 AI8:AK10">
    <cfRule type="cellIs" dxfId="2895" priority="1426" operator="greaterThan">
      <formula>0.03</formula>
    </cfRule>
    <cfRule type="cellIs" dxfId="2894" priority="1427" stopIfTrue="1" operator="lessThan">
      <formula>-0.03</formula>
    </cfRule>
  </conditionalFormatting>
  <conditionalFormatting sqref="AI11:AK11">
    <cfRule type="cellIs" dxfId="2893" priority="1424" operator="greaterThan">
      <formula>0.03</formula>
    </cfRule>
    <cfRule type="cellIs" dxfId="2892" priority="1425" stopIfTrue="1" operator="lessThan">
      <formula>-0.03</formula>
    </cfRule>
  </conditionalFormatting>
  <conditionalFormatting sqref="AU8:AW8">
    <cfRule type="cellIs" dxfId="2891" priority="1422" operator="greaterThan">
      <formula>0.03</formula>
    </cfRule>
    <cfRule type="cellIs" dxfId="2890" priority="1423" stopIfTrue="1" operator="lessThan">
      <formula>-0.03</formula>
    </cfRule>
  </conditionalFormatting>
  <conditionalFormatting sqref="AO18:AQ18 AO15:AQ16">
    <cfRule type="cellIs" dxfId="2889" priority="1420" operator="greaterThan">
      <formula>0.03</formula>
    </cfRule>
    <cfRule type="cellIs" dxfId="2888" priority="1421" stopIfTrue="1" operator="lessThan">
      <formula>-0.03</formula>
    </cfRule>
  </conditionalFormatting>
  <conditionalFormatting sqref="AU17:AV17">
    <cfRule type="cellIs" dxfId="2887" priority="1418" operator="greaterThan">
      <formula>0.03</formula>
    </cfRule>
    <cfRule type="cellIs" dxfId="2886" priority="1419" stopIfTrue="1" operator="lessThan">
      <formula>-0.03</formula>
    </cfRule>
  </conditionalFormatting>
  <conditionalFormatting sqref="AO17:AQ17">
    <cfRule type="cellIs" dxfId="2885" priority="1416" operator="greaterThan">
      <formula>0.03</formula>
    </cfRule>
    <cfRule type="cellIs" dxfId="2884" priority="1417" stopIfTrue="1" operator="lessThan">
      <formula>-0.03</formula>
    </cfRule>
  </conditionalFormatting>
  <conditionalFormatting sqref="AI17:AK17 AI13:AK15">
    <cfRule type="cellIs" dxfId="2883" priority="1414" operator="greaterThan">
      <formula>0.03</formula>
    </cfRule>
    <cfRule type="cellIs" dxfId="2882" priority="1415" stopIfTrue="1" operator="lessThan">
      <formula>-0.03</formula>
    </cfRule>
  </conditionalFormatting>
  <conditionalFormatting sqref="AI16:AK16">
    <cfRule type="cellIs" dxfId="2881" priority="1412" operator="greaterThan">
      <formula>0.03</formula>
    </cfRule>
    <cfRule type="cellIs" dxfId="2880" priority="1413" stopIfTrue="1" operator="lessThan">
      <formula>-0.03</formula>
    </cfRule>
  </conditionalFormatting>
  <conditionalFormatting sqref="AU13:AW13">
    <cfRule type="cellIs" dxfId="2879" priority="1410" operator="greaterThan">
      <formula>0.03</formula>
    </cfRule>
    <cfRule type="cellIs" dxfId="2878" priority="1411" stopIfTrue="1" operator="lessThan">
      <formula>-0.03</formula>
    </cfRule>
  </conditionalFormatting>
  <conditionalFormatting sqref="AO23:AQ23 AO20:AQ21">
    <cfRule type="cellIs" dxfId="2877" priority="1408" operator="greaterThan">
      <formula>0.03</formula>
    </cfRule>
    <cfRule type="cellIs" dxfId="2876" priority="1409" stopIfTrue="1" operator="lessThan">
      <formula>-0.03</formula>
    </cfRule>
  </conditionalFormatting>
  <conditionalFormatting sqref="AU22:AV22">
    <cfRule type="cellIs" dxfId="2875" priority="1406" operator="greaterThan">
      <formula>0.03</formula>
    </cfRule>
    <cfRule type="cellIs" dxfId="2874" priority="1407" stopIfTrue="1" operator="lessThan">
      <formula>-0.03</formula>
    </cfRule>
  </conditionalFormatting>
  <conditionalFormatting sqref="AO22:AQ22">
    <cfRule type="cellIs" dxfId="2873" priority="1404" operator="greaterThan">
      <formula>0.03</formula>
    </cfRule>
    <cfRule type="cellIs" dxfId="2872" priority="1405" stopIfTrue="1" operator="lessThan">
      <formula>-0.03</formula>
    </cfRule>
  </conditionalFormatting>
  <conditionalFormatting sqref="AI22:AK22 AI18:AK20">
    <cfRule type="cellIs" dxfId="2871" priority="1402" operator="greaterThan">
      <formula>0.03</formula>
    </cfRule>
    <cfRule type="cellIs" dxfId="2870" priority="1403" stopIfTrue="1" operator="lessThan">
      <formula>-0.03</formula>
    </cfRule>
  </conditionalFormatting>
  <conditionalFormatting sqref="AI21:AK21">
    <cfRule type="cellIs" dxfId="2869" priority="1400" operator="greaterThan">
      <formula>0.03</formula>
    </cfRule>
    <cfRule type="cellIs" dxfId="2868" priority="1401" stopIfTrue="1" operator="lessThan">
      <formula>-0.03</formula>
    </cfRule>
  </conditionalFormatting>
  <conditionalFormatting sqref="AU18:AW18">
    <cfRule type="cellIs" dxfId="2867" priority="1398" operator="greaterThan">
      <formula>0.03</formula>
    </cfRule>
    <cfRule type="cellIs" dxfId="2866" priority="1399" stopIfTrue="1" operator="lessThan">
      <formula>-0.03</formula>
    </cfRule>
  </conditionalFormatting>
  <conditionalFormatting sqref="AO28:AQ28 AO25:AQ26">
    <cfRule type="cellIs" dxfId="2865" priority="1396" operator="greaterThan">
      <formula>0.03</formula>
    </cfRule>
    <cfRule type="cellIs" dxfId="2864" priority="1397" stopIfTrue="1" operator="lessThan">
      <formula>-0.03</formula>
    </cfRule>
  </conditionalFormatting>
  <conditionalFormatting sqref="AU27:AV27">
    <cfRule type="cellIs" dxfId="2863" priority="1394" operator="greaterThan">
      <formula>0.03</formula>
    </cfRule>
    <cfRule type="cellIs" dxfId="2862" priority="1395" stopIfTrue="1" operator="lessThan">
      <formula>-0.03</formula>
    </cfRule>
  </conditionalFormatting>
  <conditionalFormatting sqref="AO27:AQ27">
    <cfRule type="cellIs" dxfId="2861" priority="1392" operator="greaterThan">
      <formula>0.03</formula>
    </cfRule>
    <cfRule type="cellIs" dxfId="2860" priority="1393" stopIfTrue="1" operator="lessThan">
      <formula>-0.03</formula>
    </cfRule>
  </conditionalFormatting>
  <conditionalFormatting sqref="AI27:AK27 AI23:AK25">
    <cfRule type="cellIs" dxfId="2859" priority="1390" operator="greaterThan">
      <formula>0.03</formula>
    </cfRule>
    <cfRule type="cellIs" dxfId="2858" priority="1391" stopIfTrue="1" operator="lessThan">
      <formula>-0.03</formula>
    </cfRule>
  </conditionalFormatting>
  <conditionalFormatting sqref="AI26:AK26">
    <cfRule type="cellIs" dxfId="2857" priority="1388" operator="greaterThan">
      <formula>0.03</formula>
    </cfRule>
    <cfRule type="cellIs" dxfId="2856" priority="1389" stopIfTrue="1" operator="lessThan">
      <formula>-0.03</formula>
    </cfRule>
  </conditionalFormatting>
  <conditionalFormatting sqref="AU23:AW23">
    <cfRule type="cellIs" dxfId="2855" priority="1386" operator="greaterThan">
      <formula>0.03</formula>
    </cfRule>
    <cfRule type="cellIs" dxfId="2854" priority="1387" stopIfTrue="1" operator="lessThan">
      <formula>-0.03</formula>
    </cfRule>
  </conditionalFormatting>
  <conditionalFormatting sqref="AO33:AQ33 AO30:AQ31">
    <cfRule type="cellIs" dxfId="2853" priority="1384" operator="greaterThan">
      <formula>0.03</formula>
    </cfRule>
    <cfRule type="cellIs" dxfId="2852" priority="1385" stopIfTrue="1" operator="lessThan">
      <formula>-0.03</formula>
    </cfRule>
  </conditionalFormatting>
  <conditionalFormatting sqref="AU32:AV32">
    <cfRule type="cellIs" dxfId="2851" priority="1382" operator="greaterThan">
      <formula>0.03</formula>
    </cfRule>
    <cfRule type="cellIs" dxfId="2850" priority="1383" stopIfTrue="1" operator="lessThan">
      <formula>-0.03</formula>
    </cfRule>
  </conditionalFormatting>
  <conditionalFormatting sqref="AO32:AQ32">
    <cfRule type="cellIs" dxfId="2849" priority="1380" operator="greaterThan">
      <formula>0.03</formula>
    </cfRule>
    <cfRule type="cellIs" dxfId="2848" priority="1381" stopIfTrue="1" operator="lessThan">
      <formula>-0.03</formula>
    </cfRule>
  </conditionalFormatting>
  <conditionalFormatting sqref="AI32:AK32 AI28:AK30">
    <cfRule type="cellIs" dxfId="2847" priority="1378" operator="greaterThan">
      <formula>0.03</formula>
    </cfRule>
    <cfRule type="cellIs" dxfId="2846" priority="1379" stopIfTrue="1" operator="lessThan">
      <formula>-0.03</formula>
    </cfRule>
  </conditionalFormatting>
  <conditionalFormatting sqref="AI31:AK31">
    <cfRule type="cellIs" dxfId="2845" priority="1376" operator="greaterThan">
      <formula>0.03</formula>
    </cfRule>
    <cfRule type="cellIs" dxfId="2844" priority="1377" stopIfTrue="1" operator="lessThan">
      <formula>-0.03</formula>
    </cfRule>
  </conditionalFormatting>
  <conditionalFormatting sqref="AU28:AW28">
    <cfRule type="cellIs" dxfId="2843" priority="1374" operator="greaterThan">
      <formula>0.03</formula>
    </cfRule>
    <cfRule type="cellIs" dxfId="2842" priority="1375" stopIfTrue="1" operator="lessThan">
      <formula>-0.03</formula>
    </cfRule>
  </conditionalFormatting>
  <conditionalFormatting sqref="AO38:AQ38 AO35:AQ36">
    <cfRule type="cellIs" dxfId="2841" priority="1372" operator="greaterThan">
      <formula>0.03</formula>
    </cfRule>
    <cfRule type="cellIs" dxfId="2840" priority="1373" stopIfTrue="1" operator="lessThan">
      <formula>-0.03</formula>
    </cfRule>
  </conditionalFormatting>
  <conditionalFormatting sqref="AU37:AV37">
    <cfRule type="cellIs" dxfId="2839" priority="1370" operator="greaterThan">
      <formula>0.03</formula>
    </cfRule>
    <cfRule type="cellIs" dxfId="2838" priority="1371" stopIfTrue="1" operator="lessThan">
      <formula>-0.03</formula>
    </cfRule>
  </conditionalFormatting>
  <conditionalFormatting sqref="AO37:AQ37">
    <cfRule type="cellIs" dxfId="2837" priority="1368" operator="greaterThan">
      <formula>0.03</formula>
    </cfRule>
    <cfRule type="cellIs" dxfId="2836" priority="1369" stopIfTrue="1" operator="lessThan">
      <formula>-0.03</formula>
    </cfRule>
  </conditionalFormatting>
  <conditionalFormatting sqref="AI37:AK37 AI33:AK35">
    <cfRule type="cellIs" dxfId="2835" priority="1366" operator="greaterThan">
      <formula>0.03</formula>
    </cfRule>
    <cfRule type="cellIs" dxfId="2834" priority="1367" stopIfTrue="1" operator="lessThan">
      <formula>-0.03</formula>
    </cfRule>
  </conditionalFormatting>
  <conditionalFormatting sqref="AI36:AK36">
    <cfRule type="cellIs" dxfId="2833" priority="1364" operator="greaterThan">
      <formula>0.03</formula>
    </cfRule>
    <cfRule type="cellIs" dxfId="2832" priority="1365" stopIfTrue="1" operator="lessThan">
      <formula>-0.03</formula>
    </cfRule>
  </conditionalFormatting>
  <conditionalFormatting sqref="AU33:AW33">
    <cfRule type="cellIs" dxfId="2831" priority="1362" operator="greaterThan">
      <formula>0.03</formula>
    </cfRule>
    <cfRule type="cellIs" dxfId="2830" priority="1363" stopIfTrue="1" operator="lessThan">
      <formula>-0.03</formula>
    </cfRule>
  </conditionalFormatting>
  <conditionalFormatting sqref="AO43:AQ43 AO40:AQ41">
    <cfRule type="cellIs" dxfId="2829" priority="1360" operator="greaterThan">
      <formula>0.03</formula>
    </cfRule>
    <cfRule type="cellIs" dxfId="2828" priority="1361" stopIfTrue="1" operator="lessThan">
      <formula>-0.03</formula>
    </cfRule>
  </conditionalFormatting>
  <conditionalFormatting sqref="AU42:AV42">
    <cfRule type="cellIs" dxfId="2827" priority="1358" operator="greaterThan">
      <formula>0.03</formula>
    </cfRule>
    <cfRule type="cellIs" dxfId="2826" priority="1359" stopIfTrue="1" operator="lessThan">
      <formula>-0.03</formula>
    </cfRule>
  </conditionalFormatting>
  <conditionalFormatting sqref="AO42:AQ42">
    <cfRule type="cellIs" dxfId="2825" priority="1356" operator="greaterThan">
      <formula>0.03</formula>
    </cfRule>
    <cfRule type="cellIs" dxfId="2824" priority="1357" stopIfTrue="1" operator="lessThan">
      <formula>-0.03</formula>
    </cfRule>
  </conditionalFormatting>
  <conditionalFormatting sqref="AI42:AK42 AI38:AK40">
    <cfRule type="cellIs" dxfId="2823" priority="1354" operator="greaterThan">
      <formula>0.03</formula>
    </cfRule>
    <cfRule type="cellIs" dxfId="2822" priority="1355" stopIfTrue="1" operator="lessThan">
      <formula>-0.03</formula>
    </cfRule>
  </conditionalFormatting>
  <conditionalFormatting sqref="AI41:AK41">
    <cfRule type="cellIs" dxfId="2821" priority="1352" operator="greaterThan">
      <formula>0.03</formula>
    </cfRule>
    <cfRule type="cellIs" dxfId="2820" priority="1353" stopIfTrue="1" operator="lessThan">
      <formula>-0.03</formula>
    </cfRule>
  </conditionalFormatting>
  <conditionalFormatting sqref="AU38:AW38">
    <cfRule type="cellIs" dxfId="2819" priority="1350" operator="greaterThan">
      <formula>0.03</formula>
    </cfRule>
    <cfRule type="cellIs" dxfId="2818" priority="1351" stopIfTrue="1" operator="lessThan">
      <formula>-0.03</formula>
    </cfRule>
  </conditionalFormatting>
  <conditionalFormatting sqref="AO48:AQ48 AO45:AQ46">
    <cfRule type="cellIs" dxfId="2817" priority="1348" operator="greaterThan">
      <formula>0.03</formula>
    </cfRule>
    <cfRule type="cellIs" dxfId="2816" priority="1349" stopIfTrue="1" operator="lessThan">
      <formula>-0.03</formula>
    </cfRule>
  </conditionalFormatting>
  <conditionalFormatting sqref="AU47:AV47">
    <cfRule type="cellIs" dxfId="2815" priority="1346" operator="greaterThan">
      <formula>0.03</formula>
    </cfRule>
    <cfRule type="cellIs" dxfId="2814" priority="1347" stopIfTrue="1" operator="lessThan">
      <formula>-0.03</formula>
    </cfRule>
  </conditionalFormatting>
  <conditionalFormatting sqref="AO47:AQ47">
    <cfRule type="cellIs" dxfId="2813" priority="1344" operator="greaterThan">
      <formula>0.03</formula>
    </cfRule>
    <cfRule type="cellIs" dxfId="2812" priority="1345" stopIfTrue="1" operator="lessThan">
      <formula>-0.03</formula>
    </cfRule>
  </conditionalFormatting>
  <conditionalFormatting sqref="AI47:AK47 AI43:AK45">
    <cfRule type="cellIs" dxfId="2811" priority="1342" operator="greaterThan">
      <formula>0.03</formula>
    </cfRule>
    <cfRule type="cellIs" dxfId="2810" priority="1343" stopIfTrue="1" operator="lessThan">
      <formula>-0.03</formula>
    </cfRule>
  </conditionalFormatting>
  <conditionalFormatting sqref="AI46:AK46">
    <cfRule type="cellIs" dxfId="2809" priority="1340" operator="greaterThan">
      <formula>0.03</formula>
    </cfRule>
    <cfRule type="cellIs" dxfId="2808" priority="1341" stopIfTrue="1" operator="lessThan">
      <formula>-0.03</formula>
    </cfRule>
  </conditionalFormatting>
  <conditionalFormatting sqref="AU43:AW43">
    <cfRule type="cellIs" dxfId="2807" priority="1338" operator="greaterThan">
      <formula>0.03</formula>
    </cfRule>
    <cfRule type="cellIs" dxfId="2806" priority="1339" stopIfTrue="1" operator="lessThan">
      <formula>-0.03</formula>
    </cfRule>
  </conditionalFormatting>
  <conditionalFormatting sqref="AO53:AQ53 AO50:AQ51">
    <cfRule type="cellIs" dxfId="2805" priority="1336" operator="greaterThan">
      <formula>0.03</formula>
    </cfRule>
    <cfRule type="cellIs" dxfId="2804" priority="1337" stopIfTrue="1" operator="lessThan">
      <formula>-0.03</formula>
    </cfRule>
  </conditionalFormatting>
  <conditionalFormatting sqref="AU52:AV52">
    <cfRule type="cellIs" dxfId="2803" priority="1334" operator="greaterThan">
      <formula>0.03</formula>
    </cfRule>
    <cfRule type="cellIs" dxfId="2802" priority="1335" stopIfTrue="1" operator="lessThan">
      <formula>-0.03</formula>
    </cfRule>
  </conditionalFormatting>
  <conditionalFormatting sqref="AO52:AQ52">
    <cfRule type="cellIs" dxfId="2801" priority="1332" operator="greaterThan">
      <formula>0.03</formula>
    </cfRule>
    <cfRule type="cellIs" dxfId="2800" priority="1333" stopIfTrue="1" operator="lessThan">
      <formula>-0.03</formula>
    </cfRule>
  </conditionalFormatting>
  <conditionalFormatting sqref="AI52:AK52 AI48:AK50">
    <cfRule type="cellIs" dxfId="2799" priority="1330" operator="greaterThan">
      <formula>0.03</formula>
    </cfRule>
    <cfRule type="cellIs" dxfId="2798" priority="1331" stopIfTrue="1" operator="lessThan">
      <formula>-0.03</formula>
    </cfRule>
  </conditionalFormatting>
  <conditionalFormatting sqref="AI51:AK51">
    <cfRule type="cellIs" dxfId="2797" priority="1328" operator="greaterThan">
      <formula>0.03</formula>
    </cfRule>
    <cfRule type="cellIs" dxfId="2796" priority="1329" stopIfTrue="1" operator="lessThan">
      <formula>-0.03</formula>
    </cfRule>
  </conditionalFormatting>
  <conditionalFormatting sqref="AU48:AW48">
    <cfRule type="cellIs" dxfId="2795" priority="1326" operator="greaterThan">
      <formula>0.03</formula>
    </cfRule>
    <cfRule type="cellIs" dxfId="2794" priority="1327" stopIfTrue="1" operator="lessThan">
      <formula>-0.03</formula>
    </cfRule>
  </conditionalFormatting>
  <conditionalFormatting sqref="AO58:AQ58 AO55:AQ56">
    <cfRule type="cellIs" dxfId="2793" priority="1324" operator="greaterThan">
      <formula>0.03</formula>
    </cfRule>
    <cfRule type="cellIs" dxfId="2792" priority="1325" stopIfTrue="1" operator="lessThan">
      <formula>-0.03</formula>
    </cfRule>
  </conditionalFormatting>
  <conditionalFormatting sqref="AU57:AV57">
    <cfRule type="cellIs" dxfId="2791" priority="1322" operator="greaterThan">
      <formula>0.03</formula>
    </cfRule>
    <cfRule type="cellIs" dxfId="2790" priority="1323" stopIfTrue="1" operator="lessThan">
      <formula>-0.03</formula>
    </cfRule>
  </conditionalFormatting>
  <conditionalFormatting sqref="AO57:AQ57">
    <cfRule type="cellIs" dxfId="2789" priority="1320" operator="greaterThan">
      <formula>0.03</formula>
    </cfRule>
    <cfRule type="cellIs" dxfId="2788" priority="1321" stopIfTrue="1" operator="lessThan">
      <formula>-0.03</formula>
    </cfRule>
  </conditionalFormatting>
  <conditionalFormatting sqref="AI57:AK57 AI53:AK55">
    <cfRule type="cellIs" dxfId="2787" priority="1318" operator="greaterThan">
      <formula>0.03</formula>
    </cfRule>
    <cfRule type="cellIs" dxfId="2786" priority="1319" stopIfTrue="1" operator="lessThan">
      <formula>-0.03</formula>
    </cfRule>
  </conditionalFormatting>
  <conditionalFormatting sqref="AI56:AK56">
    <cfRule type="cellIs" dxfId="2785" priority="1316" operator="greaterThan">
      <formula>0.03</formula>
    </cfRule>
    <cfRule type="cellIs" dxfId="2784" priority="1317" stopIfTrue="1" operator="lessThan">
      <formula>-0.03</formula>
    </cfRule>
  </conditionalFormatting>
  <conditionalFormatting sqref="AU53:AW53">
    <cfRule type="cellIs" dxfId="2783" priority="1314" operator="greaterThan">
      <formula>0.03</formula>
    </cfRule>
    <cfRule type="cellIs" dxfId="2782" priority="1315" stopIfTrue="1" operator="lessThan">
      <formula>-0.03</formula>
    </cfRule>
  </conditionalFormatting>
  <conditionalFormatting sqref="AO63:AQ63 AO60:AQ61">
    <cfRule type="cellIs" dxfId="2781" priority="1312" operator="greaterThan">
      <formula>0.03</formula>
    </cfRule>
    <cfRule type="cellIs" dxfId="2780" priority="1313" stopIfTrue="1" operator="lessThan">
      <formula>-0.03</formula>
    </cfRule>
  </conditionalFormatting>
  <conditionalFormatting sqref="AU62:AV62">
    <cfRule type="cellIs" dxfId="2779" priority="1310" operator="greaterThan">
      <formula>0.03</formula>
    </cfRule>
    <cfRule type="cellIs" dxfId="2778" priority="1311" stopIfTrue="1" operator="lessThan">
      <formula>-0.03</formula>
    </cfRule>
  </conditionalFormatting>
  <conditionalFormatting sqref="AO62:AQ62">
    <cfRule type="cellIs" dxfId="2777" priority="1308" operator="greaterThan">
      <formula>0.03</formula>
    </cfRule>
    <cfRule type="cellIs" dxfId="2776" priority="1309" stopIfTrue="1" operator="lessThan">
      <formula>-0.03</formula>
    </cfRule>
  </conditionalFormatting>
  <conditionalFormatting sqref="AI62:AK62 AI58:AK60">
    <cfRule type="cellIs" dxfId="2775" priority="1306" operator="greaterThan">
      <formula>0.03</formula>
    </cfRule>
    <cfRule type="cellIs" dxfId="2774" priority="1307" stopIfTrue="1" operator="lessThan">
      <formula>-0.03</formula>
    </cfRule>
  </conditionalFormatting>
  <conditionalFormatting sqref="AI61:AK61">
    <cfRule type="cellIs" dxfId="2773" priority="1304" operator="greaterThan">
      <formula>0.03</formula>
    </cfRule>
    <cfRule type="cellIs" dxfId="2772" priority="1305" stopIfTrue="1" operator="lessThan">
      <formula>-0.03</formula>
    </cfRule>
  </conditionalFormatting>
  <conditionalFormatting sqref="AU58:AW58">
    <cfRule type="cellIs" dxfId="2771" priority="1302" operator="greaterThan">
      <formula>0.03</formula>
    </cfRule>
    <cfRule type="cellIs" dxfId="2770" priority="1303" stopIfTrue="1" operator="lessThan">
      <formula>-0.03</formula>
    </cfRule>
  </conditionalFormatting>
  <conditionalFormatting sqref="AO68:AQ68 AO65:AQ66">
    <cfRule type="cellIs" dxfId="2769" priority="1300" operator="greaterThan">
      <formula>0.03</formula>
    </cfRule>
    <cfRule type="cellIs" dxfId="2768" priority="1301" stopIfTrue="1" operator="lessThan">
      <formula>-0.03</formula>
    </cfRule>
  </conditionalFormatting>
  <conditionalFormatting sqref="AU67:AV67">
    <cfRule type="cellIs" dxfId="2767" priority="1298" operator="greaterThan">
      <formula>0.03</formula>
    </cfRule>
    <cfRule type="cellIs" dxfId="2766" priority="1299" stopIfTrue="1" operator="lessThan">
      <formula>-0.03</formula>
    </cfRule>
  </conditionalFormatting>
  <conditionalFormatting sqref="AO67:AQ67">
    <cfRule type="cellIs" dxfId="2765" priority="1296" operator="greaterThan">
      <formula>0.03</formula>
    </cfRule>
    <cfRule type="cellIs" dxfId="2764" priority="1297" stopIfTrue="1" operator="lessThan">
      <formula>-0.03</formula>
    </cfRule>
  </conditionalFormatting>
  <conditionalFormatting sqref="AI67:AK67 AI63:AK65">
    <cfRule type="cellIs" dxfId="2763" priority="1294" operator="greaterThan">
      <formula>0.03</formula>
    </cfRule>
    <cfRule type="cellIs" dxfId="2762" priority="1295" stopIfTrue="1" operator="lessThan">
      <formula>-0.03</formula>
    </cfRule>
  </conditionalFormatting>
  <conditionalFormatting sqref="AI66:AK66">
    <cfRule type="cellIs" dxfId="2761" priority="1292" operator="greaterThan">
      <formula>0.03</formula>
    </cfRule>
    <cfRule type="cellIs" dxfId="2760" priority="1293" stopIfTrue="1" operator="lessThan">
      <formula>-0.03</formula>
    </cfRule>
  </conditionalFormatting>
  <conditionalFormatting sqref="AU63:AW63">
    <cfRule type="cellIs" dxfId="2759" priority="1290" operator="greaterThan">
      <formula>0.03</formula>
    </cfRule>
    <cfRule type="cellIs" dxfId="2758" priority="1291" stopIfTrue="1" operator="lessThan">
      <formula>-0.03</formula>
    </cfRule>
  </conditionalFormatting>
  <conditionalFormatting sqref="AO73:AQ73 AO70:AQ71">
    <cfRule type="cellIs" dxfId="2757" priority="1288" operator="greaterThan">
      <formula>0.03</formula>
    </cfRule>
    <cfRule type="cellIs" dxfId="2756" priority="1289" stopIfTrue="1" operator="lessThan">
      <formula>-0.03</formula>
    </cfRule>
  </conditionalFormatting>
  <conditionalFormatting sqref="AU72:AV72">
    <cfRule type="cellIs" dxfId="2755" priority="1286" operator="greaterThan">
      <formula>0.03</formula>
    </cfRule>
    <cfRule type="cellIs" dxfId="2754" priority="1287" stopIfTrue="1" operator="lessThan">
      <formula>-0.03</formula>
    </cfRule>
  </conditionalFormatting>
  <conditionalFormatting sqref="AO72:AQ72">
    <cfRule type="cellIs" dxfId="2753" priority="1284" operator="greaterThan">
      <formula>0.03</formula>
    </cfRule>
    <cfRule type="cellIs" dxfId="2752" priority="1285" stopIfTrue="1" operator="lessThan">
      <formula>-0.03</formula>
    </cfRule>
  </conditionalFormatting>
  <conditionalFormatting sqref="AI72:AK72 AI68:AK70">
    <cfRule type="cellIs" dxfId="2751" priority="1282" operator="greaterThan">
      <formula>0.03</formula>
    </cfRule>
    <cfRule type="cellIs" dxfId="2750" priority="1283" stopIfTrue="1" operator="lessThan">
      <formula>-0.03</formula>
    </cfRule>
  </conditionalFormatting>
  <conditionalFormatting sqref="AI71:AK71">
    <cfRule type="cellIs" dxfId="2749" priority="1280" operator="greaterThan">
      <formula>0.03</formula>
    </cfRule>
    <cfRule type="cellIs" dxfId="2748" priority="1281" stopIfTrue="1" operator="lessThan">
      <formula>-0.03</formula>
    </cfRule>
  </conditionalFormatting>
  <conditionalFormatting sqref="AU68:AW68">
    <cfRule type="cellIs" dxfId="2747" priority="1278" operator="greaterThan">
      <formula>0.03</formula>
    </cfRule>
    <cfRule type="cellIs" dxfId="2746" priority="1279" stopIfTrue="1" operator="lessThan">
      <formula>-0.03</formula>
    </cfRule>
  </conditionalFormatting>
  <conditionalFormatting sqref="AO78:AQ78 AO75:AQ76">
    <cfRule type="cellIs" dxfId="2745" priority="1276" operator="greaterThan">
      <formula>0.03</formula>
    </cfRule>
    <cfRule type="cellIs" dxfId="2744" priority="1277" stopIfTrue="1" operator="lessThan">
      <formula>-0.03</formula>
    </cfRule>
  </conditionalFormatting>
  <conditionalFormatting sqref="AU77:AV77">
    <cfRule type="cellIs" dxfId="2743" priority="1274" operator="greaterThan">
      <formula>0.03</formula>
    </cfRule>
    <cfRule type="cellIs" dxfId="2742" priority="1275" stopIfTrue="1" operator="lessThan">
      <formula>-0.03</formula>
    </cfRule>
  </conditionalFormatting>
  <conditionalFormatting sqref="AO77:AQ77">
    <cfRule type="cellIs" dxfId="2741" priority="1272" operator="greaterThan">
      <formula>0.03</formula>
    </cfRule>
    <cfRule type="cellIs" dxfId="2740" priority="1273" stopIfTrue="1" operator="lessThan">
      <formula>-0.03</formula>
    </cfRule>
  </conditionalFormatting>
  <conditionalFormatting sqref="AI77:AK77 AI73:AK75">
    <cfRule type="cellIs" dxfId="2739" priority="1270" operator="greaterThan">
      <formula>0.03</formula>
    </cfRule>
    <cfRule type="cellIs" dxfId="2738" priority="1271" stopIfTrue="1" operator="lessThan">
      <formula>-0.03</formula>
    </cfRule>
  </conditionalFormatting>
  <conditionalFormatting sqref="AI76:AK76">
    <cfRule type="cellIs" dxfId="2737" priority="1268" operator="greaterThan">
      <formula>0.03</formula>
    </cfRule>
    <cfRule type="cellIs" dxfId="2736" priority="1269" stopIfTrue="1" operator="lessThan">
      <formula>-0.03</formula>
    </cfRule>
  </conditionalFormatting>
  <conditionalFormatting sqref="AU73:AW73">
    <cfRule type="cellIs" dxfId="2735" priority="1266" operator="greaterThan">
      <formula>0.03</formula>
    </cfRule>
    <cfRule type="cellIs" dxfId="2734" priority="1267" stopIfTrue="1" operator="lessThan">
      <formula>-0.03</formula>
    </cfRule>
  </conditionalFormatting>
  <conditionalFormatting sqref="AO83:AQ83 AO80:AQ81">
    <cfRule type="cellIs" dxfId="2733" priority="1264" operator="greaterThan">
      <formula>0.03</formula>
    </cfRule>
    <cfRule type="cellIs" dxfId="2732" priority="1265" stopIfTrue="1" operator="lessThan">
      <formula>-0.03</formula>
    </cfRule>
  </conditionalFormatting>
  <conditionalFormatting sqref="AU82:AV82">
    <cfRule type="cellIs" dxfId="2731" priority="1262" operator="greaterThan">
      <formula>0.03</formula>
    </cfRule>
    <cfRule type="cellIs" dxfId="2730" priority="1263" stopIfTrue="1" operator="lessThan">
      <formula>-0.03</formula>
    </cfRule>
  </conditionalFormatting>
  <conditionalFormatting sqref="AO82:AQ82">
    <cfRule type="cellIs" dxfId="2729" priority="1260" operator="greaterThan">
      <formula>0.03</formula>
    </cfRule>
    <cfRule type="cellIs" dxfId="2728" priority="1261" stopIfTrue="1" operator="lessThan">
      <formula>-0.03</formula>
    </cfRule>
  </conditionalFormatting>
  <conditionalFormatting sqref="AI82:AK82 AI78:AK80">
    <cfRule type="cellIs" dxfId="2727" priority="1258" operator="greaterThan">
      <formula>0.03</formula>
    </cfRule>
    <cfRule type="cellIs" dxfId="2726" priority="1259" stopIfTrue="1" operator="lessThan">
      <formula>-0.03</formula>
    </cfRule>
  </conditionalFormatting>
  <conditionalFormatting sqref="AI81:AK81">
    <cfRule type="cellIs" dxfId="2725" priority="1256" operator="greaterThan">
      <formula>0.03</formula>
    </cfRule>
    <cfRule type="cellIs" dxfId="2724" priority="1257" stopIfTrue="1" operator="lessThan">
      <formula>-0.03</formula>
    </cfRule>
  </conditionalFormatting>
  <conditionalFormatting sqref="AU78:AW78">
    <cfRule type="cellIs" dxfId="2723" priority="1254" operator="greaterThan">
      <formula>0.03</formula>
    </cfRule>
    <cfRule type="cellIs" dxfId="2722" priority="1255" stopIfTrue="1" operator="lessThan">
      <formula>-0.03</formula>
    </cfRule>
  </conditionalFormatting>
  <conditionalFormatting sqref="AO88:AQ88 AO85:AQ86">
    <cfRule type="cellIs" dxfId="2721" priority="1252" operator="greaterThan">
      <formula>0.03</formula>
    </cfRule>
    <cfRule type="cellIs" dxfId="2720" priority="1253" stopIfTrue="1" operator="lessThan">
      <formula>-0.03</formula>
    </cfRule>
  </conditionalFormatting>
  <conditionalFormatting sqref="AU87:AV87">
    <cfRule type="cellIs" dxfId="2719" priority="1250" operator="greaterThan">
      <formula>0.03</formula>
    </cfRule>
    <cfRule type="cellIs" dxfId="2718" priority="1251" stopIfTrue="1" operator="lessThan">
      <formula>-0.03</formula>
    </cfRule>
  </conditionalFormatting>
  <conditionalFormatting sqref="AO87:AQ87">
    <cfRule type="cellIs" dxfId="2717" priority="1248" operator="greaterThan">
      <formula>0.03</formula>
    </cfRule>
    <cfRule type="cellIs" dxfId="2716" priority="1249" stopIfTrue="1" operator="lessThan">
      <formula>-0.03</formula>
    </cfRule>
  </conditionalFormatting>
  <conditionalFormatting sqref="AI87:AK87 AI83:AK85">
    <cfRule type="cellIs" dxfId="2715" priority="1246" operator="greaterThan">
      <formula>0.03</formula>
    </cfRule>
    <cfRule type="cellIs" dxfId="2714" priority="1247" stopIfTrue="1" operator="lessThan">
      <formula>-0.03</formula>
    </cfRule>
  </conditionalFormatting>
  <conditionalFormatting sqref="AI86:AK86">
    <cfRule type="cellIs" dxfId="2713" priority="1244" operator="greaterThan">
      <formula>0.03</formula>
    </cfRule>
    <cfRule type="cellIs" dxfId="2712" priority="1245" stopIfTrue="1" operator="lessThan">
      <formula>-0.03</formula>
    </cfRule>
  </conditionalFormatting>
  <conditionalFormatting sqref="AU83:AW83">
    <cfRule type="cellIs" dxfId="2711" priority="1242" operator="greaterThan">
      <formula>0.03</formula>
    </cfRule>
    <cfRule type="cellIs" dxfId="2710" priority="1243" stopIfTrue="1" operator="lessThan">
      <formula>-0.03</formula>
    </cfRule>
  </conditionalFormatting>
  <conditionalFormatting sqref="AO93:AQ93 AO90:AQ91">
    <cfRule type="cellIs" dxfId="2709" priority="1240" operator="greaterThan">
      <formula>0.03</formula>
    </cfRule>
    <cfRule type="cellIs" dxfId="2708" priority="1241" stopIfTrue="1" operator="lessThan">
      <formula>-0.03</formula>
    </cfRule>
  </conditionalFormatting>
  <conditionalFormatting sqref="AU92:AV92">
    <cfRule type="cellIs" dxfId="2707" priority="1238" operator="greaterThan">
      <formula>0.03</formula>
    </cfRule>
    <cfRule type="cellIs" dxfId="2706" priority="1239" stopIfTrue="1" operator="lessThan">
      <formula>-0.03</formula>
    </cfRule>
  </conditionalFormatting>
  <conditionalFormatting sqref="AO92:AQ92">
    <cfRule type="cellIs" dxfId="2705" priority="1236" operator="greaterThan">
      <formula>0.03</formula>
    </cfRule>
    <cfRule type="cellIs" dxfId="2704" priority="1237" stopIfTrue="1" operator="lessThan">
      <formula>-0.03</formula>
    </cfRule>
  </conditionalFormatting>
  <conditionalFormatting sqref="AI92:AK92 AI88:AK90">
    <cfRule type="cellIs" dxfId="2703" priority="1234" operator="greaterThan">
      <formula>0.03</formula>
    </cfRule>
    <cfRule type="cellIs" dxfId="2702" priority="1235" stopIfTrue="1" operator="lessThan">
      <formula>-0.03</formula>
    </cfRule>
  </conditionalFormatting>
  <conditionalFormatting sqref="AI91:AK91">
    <cfRule type="cellIs" dxfId="2701" priority="1232" operator="greaterThan">
      <formula>0.03</formula>
    </cfRule>
    <cfRule type="cellIs" dxfId="2700" priority="1233" stopIfTrue="1" operator="lessThan">
      <formula>-0.03</formula>
    </cfRule>
  </conditionalFormatting>
  <conditionalFormatting sqref="AU88:AW88">
    <cfRule type="cellIs" dxfId="2699" priority="1230" operator="greaterThan">
      <formula>0.03</formula>
    </cfRule>
    <cfRule type="cellIs" dxfId="2698" priority="1231" stopIfTrue="1" operator="lessThan">
      <formula>-0.03</formula>
    </cfRule>
  </conditionalFormatting>
  <conditionalFormatting sqref="AO98:AQ98 AO95:AQ96">
    <cfRule type="cellIs" dxfId="2697" priority="1228" operator="greaterThan">
      <formula>0.03</formula>
    </cfRule>
    <cfRule type="cellIs" dxfId="2696" priority="1229" stopIfTrue="1" operator="lessThan">
      <formula>-0.03</formula>
    </cfRule>
  </conditionalFormatting>
  <conditionalFormatting sqref="AU97:AV97">
    <cfRule type="cellIs" dxfId="2695" priority="1226" operator="greaterThan">
      <formula>0.03</formula>
    </cfRule>
    <cfRule type="cellIs" dxfId="2694" priority="1227" stopIfTrue="1" operator="lessThan">
      <formula>-0.03</formula>
    </cfRule>
  </conditionalFormatting>
  <conditionalFormatting sqref="AO97:AQ97">
    <cfRule type="cellIs" dxfId="2693" priority="1224" operator="greaterThan">
      <formula>0.03</formula>
    </cfRule>
    <cfRule type="cellIs" dxfId="2692" priority="1225" stopIfTrue="1" operator="lessThan">
      <formula>-0.03</formula>
    </cfRule>
  </conditionalFormatting>
  <conditionalFormatting sqref="AI97:AK97 AI93:AK95">
    <cfRule type="cellIs" dxfId="2691" priority="1222" operator="greaterThan">
      <formula>0.03</formula>
    </cfRule>
    <cfRule type="cellIs" dxfId="2690" priority="1223" stopIfTrue="1" operator="lessThan">
      <formula>-0.03</formula>
    </cfRule>
  </conditionalFormatting>
  <conditionalFormatting sqref="AI96:AK96">
    <cfRule type="cellIs" dxfId="2689" priority="1220" operator="greaterThan">
      <formula>0.03</formula>
    </cfRule>
    <cfRule type="cellIs" dxfId="2688" priority="1221" stopIfTrue="1" operator="lessThan">
      <formula>-0.03</formula>
    </cfRule>
  </conditionalFormatting>
  <conditionalFormatting sqref="AU93:AW93">
    <cfRule type="cellIs" dxfId="2687" priority="1218" operator="greaterThan">
      <formula>0.03</formula>
    </cfRule>
    <cfRule type="cellIs" dxfId="2686" priority="1219" stopIfTrue="1" operator="lessThan">
      <formula>-0.03</formula>
    </cfRule>
  </conditionalFormatting>
  <conditionalFormatting sqref="AO103:AQ103 AO100:AQ101">
    <cfRule type="cellIs" dxfId="2685" priority="1216" operator="greaterThan">
      <formula>0.03</formula>
    </cfRule>
    <cfRule type="cellIs" dxfId="2684" priority="1217" stopIfTrue="1" operator="lessThan">
      <formula>-0.03</formula>
    </cfRule>
  </conditionalFormatting>
  <conditionalFormatting sqref="AU102:AV102">
    <cfRule type="cellIs" dxfId="2683" priority="1214" operator="greaterThan">
      <formula>0.03</formula>
    </cfRule>
    <cfRule type="cellIs" dxfId="2682" priority="1215" stopIfTrue="1" operator="lessThan">
      <formula>-0.03</formula>
    </cfRule>
  </conditionalFormatting>
  <conditionalFormatting sqref="AO102:AQ102">
    <cfRule type="cellIs" dxfId="2681" priority="1212" operator="greaterThan">
      <formula>0.03</formula>
    </cfRule>
    <cfRule type="cellIs" dxfId="2680" priority="1213" stopIfTrue="1" operator="lessThan">
      <formula>-0.03</formula>
    </cfRule>
  </conditionalFormatting>
  <conditionalFormatting sqref="AI102:AK102 AI98:AK100">
    <cfRule type="cellIs" dxfId="2679" priority="1210" operator="greaterThan">
      <formula>0.03</formula>
    </cfRule>
    <cfRule type="cellIs" dxfId="2678" priority="1211" stopIfTrue="1" operator="lessThan">
      <formula>-0.03</formula>
    </cfRule>
  </conditionalFormatting>
  <conditionalFormatting sqref="AI101:AK101">
    <cfRule type="cellIs" dxfId="2677" priority="1208" operator="greaterThan">
      <formula>0.03</formula>
    </cfRule>
    <cfRule type="cellIs" dxfId="2676" priority="1209" stopIfTrue="1" operator="lessThan">
      <formula>-0.03</formula>
    </cfRule>
  </conditionalFormatting>
  <conditionalFormatting sqref="AU98:AW98">
    <cfRule type="cellIs" dxfId="2675" priority="1206" operator="greaterThan">
      <formula>0.03</formula>
    </cfRule>
    <cfRule type="cellIs" dxfId="2674" priority="1207" stopIfTrue="1" operator="lessThan">
      <formula>-0.03</formula>
    </cfRule>
  </conditionalFormatting>
  <conditionalFormatting sqref="AO108:AQ108 AO105:AQ106">
    <cfRule type="cellIs" dxfId="2673" priority="1204" operator="greaterThan">
      <formula>0.03</formula>
    </cfRule>
    <cfRule type="cellIs" dxfId="2672" priority="1205" stopIfTrue="1" operator="lessThan">
      <formula>-0.03</formula>
    </cfRule>
  </conditionalFormatting>
  <conditionalFormatting sqref="AU107:AV107">
    <cfRule type="cellIs" dxfId="2671" priority="1202" operator="greaterThan">
      <formula>0.03</formula>
    </cfRule>
    <cfRule type="cellIs" dxfId="2670" priority="1203" stopIfTrue="1" operator="lessThan">
      <formula>-0.03</formula>
    </cfRule>
  </conditionalFormatting>
  <conditionalFormatting sqref="AO107:AQ107">
    <cfRule type="cellIs" dxfId="2669" priority="1200" operator="greaterThan">
      <formula>0.03</formula>
    </cfRule>
    <cfRule type="cellIs" dxfId="2668" priority="1201" stopIfTrue="1" operator="lessThan">
      <formula>-0.03</formula>
    </cfRule>
  </conditionalFormatting>
  <conditionalFormatting sqref="AI107:AK107 AI103:AK105">
    <cfRule type="cellIs" dxfId="2667" priority="1198" operator="greaterThan">
      <formula>0.03</formula>
    </cfRule>
    <cfRule type="cellIs" dxfId="2666" priority="1199" stopIfTrue="1" operator="lessThan">
      <formula>-0.03</formula>
    </cfRule>
  </conditionalFormatting>
  <conditionalFormatting sqref="AI106:AK106">
    <cfRule type="cellIs" dxfId="2665" priority="1196" operator="greaterThan">
      <formula>0.03</formula>
    </cfRule>
    <cfRule type="cellIs" dxfId="2664" priority="1197" stopIfTrue="1" operator="lessThan">
      <formula>-0.03</formula>
    </cfRule>
  </conditionalFormatting>
  <conditionalFormatting sqref="AU103:AW103">
    <cfRule type="cellIs" dxfId="2663" priority="1194" operator="greaterThan">
      <formula>0.03</formula>
    </cfRule>
    <cfRule type="cellIs" dxfId="2662" priority="1195" stopIfTrue="1" operator="lessThan">
      <formula>-0.03</formula>
    </cfRule>
  </conditionalFormatting>
  <conditionalFormatting sqref="AO113:AQ113 AO110:AQ111">
    <cfRule type="cellIs" dxfId="2661" priority="1192" operator="greaterThan">
      <formula>0.03</formula>
    </cfRule>
    <cfRule type="cellIs" dxfId="2660" priority="1193" stopIfTrue="1" operator="lessThan">
      <formula>-0.03</formula>
    </cfRule>
  </conditionalFormatting>
  <conditionalFormatting sqref="AU112:AV112">
    <cfRule type="cellIs" dxfId="2659" priority="1190" operator="greaterThan">
      <formula>0.03</formula>
    </cfRule>
    <cfRule type="cellIs" dxfId="2658" priority="1191" stopIfTrue="1" operator="lessThan">
      <formula>-0.03</formula>
    </cfRule>
  </conditionalFormatting>
  <conditionalFormatting sqref="AO112:AQ112">
    <cfRule type="cellIs" dxfId="2657" priority="1188" operator="greaterThan">
      <formula>0.03</formula>
    </cfRule>
    <cfRule type="cellIs" dxfId="2656" priority="1189" stopIfTrue="1" operator="lessThan">
      <formula>-0.03</formula>
    </cfRule>
  </conditionalFormatting>
  <conditionalFormatting sqref="AI112:AK112 AI108:AK110">
    <cfRule type="cellIs" dxfId="2655" priority="1186" operator="greaterThan">
      <formula>0.03</formula>
    </cfRule>
    <cfRule type="cellIs" dxfId="2654" priority="1187" stopIfTrue="1" operator="lessThan">
      <formula>-0.03</formula>
    </cfRule>
  </conditionalFormatting>
  <conditionalFormatting sqref="AI111:AK111">
    <cfRule type="cellIs" dxfId="2653" priority="1184" operator="greaterThan">
      <formula>0.03</formula>
    </cfRule>
    <cfRule type="cellIs" dxfId="2652" priority="1185" stopIfTrue="1" operator="lessThan">
      <formula>-0.03</formula>
    </cfRule>
  </conditionalFormatting>
  <conditionalFormatting sqref="AU108:AW108">
    <cfRule type="cellIs" dxfId="2651" priority="1182" operator="greaterThan">
      <formula>0.03</formula>
    </cfRule>
    <cfRule type="cellIs" dxfId="2650" priority="1183" stopIfTrue="1" operator="lessThan">
      <formula>-0.03</formula>
    </cfRule>
  </conditionalFormatting>
  <conditionalFormatting sqref="AO118:AQ118 AO115:AQ116">
    <cfRule type="cellIs" dxfId="2649" priority="1180" operator="greaterThan">
      <formula>0.03</formula>
    </cfRule>
    <cfRule type="cellIs" dxfId="2648" priority="1181" stopIfTrue="1" operator="lessThan">
      <formula>-0.03</formula>
    </cfRule>
  </conditionalFormatting>
  <conditionalFormatting sqref="AU117:AV117">
    <cfRule type="cellIs" dxfId="2647" priority="1178" operator="greaterThan">
      <formula>0.03</formula>
    </cfRule>
    <cfRule type="cellIs" dxfId="2646" priority="1179" stopIfTrue="1" operator="lessThan">
      <formula>-0.03</formula>
    </cfRule>
  </conditionalFormatting>
  <conditionalFormatting sqref="AO117:AQ117">
    <cfRule type="cellIs" dxfId="2645" priority="1176" operator="greaterThan">
      <formula>0.03</formula>
    </cfRule>
    <cfRule type="cellIs" dxfId="2644" priority="1177" stopIfTrue="1" operator="lessThan">
      <formula>-0.03</formula>
    </cfRule>
  </conditionalFormatting>
  <conditionalFormatting sqref="AI117:AK117 AI113:AK115">
    <cfRule type="cellIs" dxfId="2643" priority="1174" operator="greaterThan">
      <formula>0.03</formula>
    </cfRule>
    <cfRule type="cellIs" dxfId="2642" priority="1175" stopIfTrue="1" operator="lessThan">
      <formula>-0.03</formula>
    </cfRule>
  </conditionalFormatting>
  <conditionalFormatting sqref="AI116:AK116">
    <cfRule type="cellIs" dxfId="2641" priority="1172" operator="greaterThan">
      <formula>0.03</formula>
    </cfRule>
    <cfRule type="cellIs" dxfId="2640" priority="1173" stopIfTrue="1" operator="lessThan">
      <formula>-0.03</formula>
    </cfRule>
  </conditionalFormatting>
  <conditionalFormatting sqref="AU113:AW113">
    <cfRule type="cellIs" dxfId="2639" priority="1170" operator="greaterThan">
      <formula>0.03</formula>
    </cfRule>
    <cfRule type="cellIs" dxfId="2638" priority="1171" stopIfTrue="1" operator="lessThan">
      <formula>-0.03</formula>
    </cfRule>
  </conditionalFormatting>
  <conditionalFormatting sqref="AO123:AQ123 AO120:AQ121">
    <cfRule type="cellIs" dxfId="2637" priority="1168" operator="greaterThan">
      <formula>0.03</formula>
    </cfRule>
    <cfRule type="cellIs" dxfId="2636" priority="1169" stopIfTrue="1" operator="lessThan">
      <formula>-0.03</formula>
    </cfRule>
  </conditionalFormatting>
  <conditionalFormatting sqref="AU122:AV122">
    <cfRule type="cellIs" dxfId="2635" priority="1166" operator="greaterThan">
      <formula>0.03</formula>
    </cfRule>
    <cfRule type="cellIs" dxfId="2634" priority="1167" stopIfTrue="1" operator="lessThan">
      <formula>-0.03</formula>
    </cfRule>
  </conditionalFormatting>
  <conditionalFormatting sqref="AO122:AQ122">
    <cfRule type="cellIs" dxfId="2633" priority="1164" operator="greaterThan">
      <formula>0.03</formula>
    </cfRule>
    <cfRule type="cellIs" dxfId="2632" priority="1165" stopIfTrue="1" operator="lessThan">
      <formula>-0.03</formula>
    </cfRule>
  </conditionalFormatting>
  <conditionalFormatting sqref="AI122:AK122 AI118:AK120">
    <cfRule type="cellIs" dxfId="2631" priority="1162" operator="greaterThan">
      <formula>0.03</formula>
    </cfRule>
    <cfRule type="cellIs" dxfId="2630" priority="1163" stopIfTrue="1" operator="lessThan">
      <formula>-0.03</formula>
    </cfRule>
  </conditionalFormatting>
  <conditionalFormatting sqref="AI121:AK121">
    <cfRule type="cellIs" dxfId="2629" priority="1160" operator="greaterThan">
      <formula>0.03</formula>
    </cfRule>
    <cfRule type="cellIs" dxfId="2628" priority="1161" stopIfTrue="1" operator="lessThan">
      <formula>-0.03</formula>
    </cfRule>
  </conditionalFormatting>
  <conditionalFormatting sqref="AU118:AW118">
    <cfRule type="cellIs" dxfId="2627" priority="1158" operator="greaterThan">
      <formula>0.03</formula>
    </cfRule>
    <cfRule type="cellIs" dxfId="2626" priority="1159" stopIfTrue="1" operator="lessThan">
      <formula>-0.03</formula>
    </cfRule>
  </conditionalFormatting>
  <conditionalFormatting sqref="AO128:AQ128 AO125:AQ126">
    <cfRule type="cellIs" dxfId="2625" priority="1156" operator="greaterThan">
      <formula>0.03</formula>
    </cfRule>
    <cfRule type="cellIs" dxfId="2624" priority="1157" stopIfTrue="1" operator="lessThan">
      <formula>-0.03</formula>
    </cfRule>
  </conditionalFormatting>
  <conditionalFormatting sqref="AU127:AV127">
    <cfRule type="cellIs" dxfId="2623" priority="1154" operator="greaterThan">
      <formula>0.03</formula>
    </cfRule>
    <cfRule type="cellIs" dxfId="2622" priority="1155" stopIfTrue="1" operator="lessThan">
      <formula>-0.03</formula>
    </cfRule>
  </conditionalFormatting>
  <conditionalFormatting sqref="AO127:AQ127">
    <cfRule type="cellIs" dxfId="2621" priority="1152" operator="greaterThan">
      <formula>0.03</formula>
    </cfRule>
    <cfRule type="cellIs" dxfId="2620" priority="1153" stopIfTrue="1" operator="lessThan">
      <formula>-0.03</formula>
    </cfRule>
  </conditionalFormatting>
  <conditionalFormatting sqref="AI127:AK127 AI123:AK125">
    <cfRule type="cellIs" dxfId="2619" priority="1150" operator="greaterThan">
      <formula>0.03</formula>
    </cfRule>
    <cfRule type="cellIs" dxfId="2618" priority="1151" stopIfTrue="1" operator="lessThan">
      <formula>-0.03</formula>
    </cfRule>
  </conditionalFormatting>
  <conditionalFormatting sqref="AI126:AK126">
    <cfRule type="cellIs" dxfId="2617" priority="1148" operator="greaterThan">
      <formula>0.03</formula>
    </cfRule>
    <cfRule type="cellIs" dxfId="2616" priority="1149" stopIfTrue="1" operator="lessThan">
      <formula>-0.03</formula>
    </cfRule>
  </conditionalFormatting>
  <conditionalFormatting sqref="AU123:AW123">
    <cfRule type="cellIs" dxfId="2615" priority="1146" operator="greaterThan">
      <formula>0.03</formula>
    </cfRule>
    <cfRule type="cellIs" dxfId="2614" priority="1147" stopIfTrue="1" operator="lessThan">
      <formula>-0.03</formula>
    </cfRule>
  </conditionalFormatting>
  <conditionalFormatting sqref="AO130:AQ132">
    <cfRule type="cellIs" dxfId="2613" priority="1144" operator="greaterThan">
      <formula>0.03</formula>
    </cfRule>
    <cfRule type="cellIs" dxfId="2612" priority="1145" stopIfTrue="1" operator="lessThan">
      <formula>-0.03</formula>
    </cfRule>
  </conditionalFormatting>
  <conditionalFormatting sqref="AU132:AV132">
    <cfRule type="cellIs" dxfId="2611" priority="1142" operator="greaterThan">
      <formula>0.03</formula>
    </cfRule>
    <cfRule type="cellIs" dxfId="2610" priority="1143" stopIfTrue="1" operator="lessThan">
      <formula>-0.03</formula>
    </cfRule>
  </conditionalFormatting>
  <conditionalFormatting sqref="AI132:AK132 AI128:AK130">
    <cfRule type="cellIs" dxfId="2609" priority="1140" operator="greaterThan">
      <formula>0.03</formula>
    </cfRule>
    <cfRule type="cellIs" dxfId="2608" priority="1141" stopIfTrue="1" operator="lessThan">
      <formula>-0.03</formula>
    </cfRule>
  </conditionalFormatting>
  <conditionalFormatting sqref="AI131:AK131">
    <cfRule type="cellIs" dxfId="2607" priority="1138" operator="greaterThan">
      <formula>0.03</formula>
    </cfRule>
    <cfRule type="cellIs" dxfId="2606" priority="1139" stopIfTrue="1" operator="lessThan">
      <formula>-0.03</formula>
    </cfRule>
  </conditionalFormatting>
  <conditionalFormatting sqref="AU128:AW128">
    <cfRule type="cellIs" dxfId="2605" priority="1136" operator="greaterThan">
      <formula>0.03</formula>
    </cfRule>
    <cfRule type="cellIs" dxfId="2604" priority="1137" stopIfTrue="1" operator="lessThan">
      <formula>-0.03</formula>
    </cfRule>
  </conditionalFormatting>
  <conditionalFormatting sqref="AF7:AH7 AF3:AH5">
    <cfRule type="cellIs" dxfId="2603" priority="1134" operator="greaterThan">
      <formula>0.03</formula>
    </cfRule>
    <cfRule type="cellIs" dxfId="2602" priority="1135" stopIfTrue="1" operator="lessThan">
      <formula>-0.03</formula>
    </cfRule>
  </conditionalFormatting>
  <conditionalFormatting sqref="AF156:AH156">
    <cfRule type="cellIs" dxfId="2601" priority="1126" operator="greaterThan">
      <formula>0.03</formula>
    </cfRule>
    <cfRule type="cellIs" dxfId="2600" priority="1127" stopIfTrue="1" operator="lessThan">
      <formula>-0.03</formula>
    </cfRule>
  </conditionalFormatting>
  <conditionalFormatting sqref="AF159:AH159">
    <cfRule type="cellIs" dxfId="2599" priority="1124" operator="greaterThan">
      <formula>0.03</formula>
    </cfRule>
    <cfRule type="cellIs" dxfId="2598" priority="1125" stopIfTrue="1" operator="lessThan">
      <formula>-0.03</formula>
    </cfRule>
  </conditionalFormatting>
  <conditionalFormatting sqref="AF161:AW161">
    <cfRule type="cellIs" dxfId="2597" priority="1132" operator="greaterThan">
      <formula>0.03</formula>
    </cfRule>
    <cfRule type="cellIs" dxfId="2596" priority="1133" stopIfTrue="1" operator="lessThan">
      <formula>-0.03</formula>
    </cfRule>
  </conditionalFormatting>
  <conditionalFormatting sqref="AF153:AH153 AF155:AH155">
    <cfRule type="cellIs" dxfId="2595" priority="1128" operator="greaterThan">
      <formula>0.03</formula>
    </cfRule>
    <cfRule type="cellIs" dxfId="2594" priority="1129" stopIfTrue="1" operator="lessThan">
      <formula>-0.03</formula>
    </cfRule>
  </conditionalFormatting>
  <conditionalFormatting sqref="AF157:AH158">
    <cfRule type="cellIs" dxfId="2593" priority="1130" operator="greaterThan">
      <formula>0.03</formula>
    </cfRule>
    <cfRule type="cellIs" dxfId="2592" priority="1131" stopIfTrue="1" operator="lessThan">
      <formula>-0.03</formula>
    </cfRule>
  </conditionalFormatting>
  <conditionalFormatting sqref="AF154:AH154">
    <cfRule type="cellIs" dxfId="2591" priority="1122" operator="greaterThan">
      <formula>0.03</formula>
    </cfRule>
    <cfRule type="cellIs" dxfId="2590" priority="1123" stopIfTrue="1" operator="lessThan">
      <formula>-0.03</formula>
    </cfRule>
  </conditionalFormatting>
  <conditionalFormatting sqref="AF6:AH6">
    <cfRule type="cellIs" dxfId="2589" priority="1120" operator="greaterThan">
      <formula>0.03</formula>
    </cfRule>
    <cfRule type="cellIs" dxfId="2588" priority="1121" stopIfTrue="1" operator="lessThan">
      <formula>-0.03</formula>
    </cfRule>
  </conditionalFormatting>
  <conditionalFormatting sqref="AF12:AH12 AF8:AH10">
    <cfRule type="cellIs" dxfId="2587" priority="1118" operator="greaterThan">
      <formula>0.03</formula>
    </cfRule>
    <cfRule type="cellIs" dxfId="2586" priority="1119" stopIfTrue="1" operator="lessThan">
      <formula>-0.03</formula>
    </cfRule>
  </conditionalFormatting>
  <conditionalFormatting sqref="AF11:AH11">
    <cfRule type="cellIs" dxfId="2585" priority="1116" operator="greaterThan">
      <formula>0.03</formula>
    </cfRule>
    <cfRule type="cellIs" dxfId="2584" priority="1117" stopIfTrue="1" operator="lessThan">
      <formula>-0.03</formula>
    </cfRule>
  </conditionalFormatting>
  <conditionalFormatting sqref="AF17:AH17 AF13:AH15">
    <cfRule type="cellIs" dxfId="2583" priority="1114" operator="greaterThan">
      <formula>0.03</formula>
    </cfRule>
    <cfRule type="cellIs" dxfId="2582" priority="1115" stopIfTrue="1" operator="lessThan">
      <formula>-0.03</formula>
    </cfRule>
  </conditionalFormatting>
  <conditionalFormatting sqref="AF16:AH16">
    <cfRule type="cellIs" dxfId="2581" priority="1112" operator="greaterThan">
      <formula>0.03</formula>
    </cfRule>
    <cfRule type="cellIs" dxfId="2580" priority="1113" stopIfTrue="1" operator="lessThan">
      <formula>-0.03</formula>
    </cfRule>
  </conditionalFormatting>
  <conditionalFormatting sqref="AF22:AH22 AF18:AH20">
    <cfRule type="cellIs" dxfId="2579" priority="1110" operator="greaterThan">
      <formula>0.03</formula>
    </cfRule>
    <cfRule type="cellIs" dxfId="2578" priority="1111" stopIfTrue="1" operator="lessThan">
      <formula>-0.03</formula>
    </cfRule>
  </conditionalFormatting>
  <conditionalFormatting sqref="AF21:AH21">
    <cfRule type="cellIs" dxfId="2577" priority="1108" operator="greaterThan">
      <formula>0.03</formula>
    </cfRule>
    <cfRule type="cellIs" dxfId="2576" priority="1109" stopIfTrue="1" operator="lessThan">
      <formula>-0.03</formula>
    </cfRule>
  </conditionalFormatting>
  <conditionalFormatting sqref="AF27:AH27 AF23:AH25">
    <cfRule type="cellIs" dxfId="2575" priority="1106" operator="greaterThan">
      <formula>0.03</formula>
    </cfRule>
    <cfRule type="cellIs" dxfId="2574" priority="1107" stopIfTrue="1" operator="lessThan">
      <formula>-0.03</formula>
    </cfRule>
  </conditionalFormatting>
  <conditionalFormatting sqref="AF26:AH26">
    <cfRule type="cellIs" dxfId="2573" priority="1104" operator="greaterThan">
      <formula>0.03</formula>
    </cfRule>
    <cfRule type="cellIs" dxfId="2572" priority="1105" stopIfTrue="1" operator="lessThan">
      <formula>-0.03</formula>
    </cfRule>
  </conditionalFormatting>
  <conditionalFormatting sqref="AF32:AH32 AF28:AH30">
    <cfRule type="cellIs" dxfId="2571" priority="1102" operator="greaterThan">
      <formula>0.03</formula>
    </cfRule>
    <cfRule type="cellIs" dxfId="2570" priority="1103" stopIfTrue="1" operator="lessThan">
      <formula>-0.03</formula>
    </cfRule>
  </conditionalFormatting>
  <conditionalFormatting sqref="AF31:AH31">
    <cfRule type="cellIs" dxfId="2569" priority="1100" operator="greaterThan">
      <formula>0.03</formula>
    </cfRule>
    <cfRule type="cellIs" dxfId="2568" priority="1101" stopIfTrue="1" operator="lessThan">
      <formula>-0.03</formula>
    </cfRule>
  </conditionalFormatting>
  <conditionalFormatting sqref="AF37:AH37 AF33:AH35">
    <cfRule type="cellIs" dxfId="2567" priority="1098" operator="greaterThan">
      <formula>0.03</formula>
    </cfRule>
    <cfRule type="cellIs" dxfId="2566" priority="1099" stopIfTrue="1" operator="lessThan">
      <formula>-0.03</formula>
    </cfRule>
  </conditionalFormatting>
  <conditionalFormatting sqref="AF36:AH36">
    <cfRule type="cellIs" dxfId="2565" priority="1096" operator="greaterThan">
      <formula>0.03</formula>
    </cfRule>
    <cfRule type="cellIs" dxfId="2564" priority="1097" stopIfTrue="1" operator="lessThan">
      <formula>-0.03</formula>
    </cfRule>
  </conditionalFormatting>
  <conditionalFormatting sqref="AF42:AH42 AF38:AH40">
    <cfRule type="cellIs" dxfId="2563" priority="1094" operator="greaterThan">
      <formula>0.03</formula>
    </cfRule>
    <cfRule type="cellIs" dxfId="2562" priority="1095" stopIfTrue="1" operator="lessThan">
      <formula>-0.03</formula>
    </cfRule>
  </conditionalFormatting>
  <conditionalFormatting sqref="AF41:AH41">
    <cfRule type="cellIs" dxfId="2561" priority="1092" operator="greaterThan">
      <formula>0.03</formula>
    </cfRule>
    <cfRule type="cellIs" dxfId="2560" priority="1093" stopIfTrue="1" operator="lessThan">
      <formula>-0.03</formula>
    </cfRule>
  </conditionalFormatting>
  <conditionalFormatting sqref="AF47:AH47 AF43:AH45">
    <cfRule type="cellIs" dxfId="2559" priority="1090" operator="greaterThan">
      <formula>0.03</formula>
    </cfRule>
    <cfRule type="cellIs" dxfId="2558" priority="1091" stopIfTrue="1" operator="lessThan">
      <formula>-0.03</formula>
    </cfRule>
  </conditionalFormatting>
  <conditionalFormatting sqref="AF46:AH46">
    <cfRule type="cellIs" dxfId="2557" priority="1088" operator="greaterThan">
      <formula>0.03</formula>
    </cfRule>
    <cfRule type="cellIs" dxfId="2556" priority="1089" stopIfTrue="1" operator="lessThan">
      <formula>-0.03</formula>
    </cfRule>
  </conditionalFormatting>
  <conditionalFormatting sqref="AF52:AH52 AF48:AH50">
    <cfRule type="cellIs" dxfId="2555" priority="1086" operator="greaterThan">
      <formula>0.03</formula>
    </cfRule>
    <cfRule type="cellIs" dxfId="2554" priority="1087" stopIfTrue="1" operator="lessThan">
      <formula>-0.03</formula>
    </cfRule>
  </conditionalFormatting>
  <conditionalFormatting sqref="AF51:AH51">
    <cfRule type="cellIs" dxfId="2553" priority="1084" operator="greaterThan">
      <formula>0.03</formula>
    </cfRule>
    <cfRule type="cellIs" dxfId="2552" priority="1085" stopIfTrue="1" operator="lessThan">
      <formula>-0.03</formula>
    </cfRule>
  </conditionalFormatting>
  <conditionalFormatting sqref="AF57:AH57 AF53:AH55">
    <cfRule type="cellIs" dxfId="2551" priority="1082" operator="greaterThan">
      <formula>0.03</formula>
    </cfRule>
    <cfRule type="cellIs" dxfId="2550" priority="1083" stopIfTrue="1" operator="lessThan">
      <formula>-0.03</formula>
    </cfRule>
  </conditionalFormatting>
  <conditionalFormatting sqref="AF56:AH56">
    <cfRule type="cellIs" dxfId="2549" priority="1080" operator="greaterThan">
      <formula>0.03</formula>
    </cfRule>
    <cfRule type="cellIs" dxfId="2548" priority="1081" stopIfTrue="1" operator="lessThan">
      <formula>-0.03</formula>
    </cfRule>
  </conditionalFormatting>
  <conditionalFormatting sqref="AF62:AH62 AF58:AH60">
    <cfRule type="cellIs" dxfId="2547" priority="1078" operator="greaterThan">
      <formula>0.03</formula>
    </cfRule>
    <cfRule type="cellIs" dxfId="2546" priority="1079" stopIfTrue="1" operator="lessThan">
      <formula>-0.03</formula>
    </cfRule>
  </conditionalFormatting>
  <conditionalFormatting sqref="AF61:AH61">
    <cfRule type="cellIs" dxfId="2545" priority="1076" operator="greaterThan">
      <formula>0.03</formula>
    </cfRule>
    <cfRule type="cellIs" dxfId="2544" priority="1077" stopIfTrue="1" operator="lessThan">
      <formula>-0.03</formula>
    </cfRule>
  </conditionalFormatting>
  <conditionalFormatting sqref="AF67:AH67 AF63:AH65">
    <cfRule type="cellIs" dxfId="2543" priority="1074" operator="greaterThan">
      <formula>0.03</formula>
    </cfRule>
    <cfRule type="cellIs" dxfId="2542" priority="1075" stopIfTrue="1" operator="lessThan">
      <formula>-0.03</formula>
    </cfRule>
  </conditionalFormatting>
  <conditionalFormatting sqref="AF66:AH66">
    <cfRule type="cellIs" dxfId="2541" priority="1072" operator="greaterThan">
      <formula>0.03</formula>
    </cfRule>
    <cfRule type="cellIs" dxfId="2540" priority="1073" stopIfTrue="1" operator="lessThan">
      <formula>-0.03</formula>
    </cfRule>
  </conditionalFormatting>
  <conditionalFormatting sqref="AF72:AH72 AF68:AH70">
    <cfRule type="cellIs" dxfId="2539" priority="1070" operator="greaterThan">
      <formula>0.03</formula>
    </cfRule>
    <cfRule type="cellIs" dxfId="2538" priority="1071" stopIfTrue="1" operator="lessThan">
      <formula>-0.03</formula>
    </cfRule>
  </conditionalFormatting>
  <conditionalFormatting sqref="AF71:AH71">
    <cfRule type="cellIs" dxfId="2537" priority="1068" operator="greaterThan">
      <formula>0.03</formula>
    </cfRule>
    <cfRule type="cellIs" dxfId="2536" priority="1069" stopIfTrue="1" operator="lessThan">
      <formula>-0.03</formula>
    </cfRule>
  </conditionalFormatting>
  <conditionalFormatting sqref="AF77:AH77 AF73:AH75">
    <cfRule type="cellIs" dxfId="2535" priority="1066" operator="greaterThan">
      <formula>0.03</formula>
    </cfRule>
    <cfRule type="cellIs" dxfId="2534" priority="1067" stopIfTrue="1" operator="lessThan">
      <formula>-0.03</formula>
    </cfRule>
  </conditionalFormatting>
  <conditionalFormatting sqref="AF76:AH76">
    <cfRule type="cellIs" dxfId="2533" priority="1064" operator="greaterThan">
      <formula>0.03</formula>
    </cfRule>
    <cfRule type="cellIs" dxfId="2532" priority="1065" stopIfTrue="1" operator="lessThan">
      <formula>-0.03</formula>
    </cfRule>
  </conditionalFormatting>
  <conditionalFormatting sqref="AF82:AH82 AF78:AH80">
    <cfRule type="cellIs" dxfId="2531" priority="1062" operator="greaterThan">
      <formula>0.03</formula>
    </cfRule>
    <cfRule type="cellIs" dxfId="2530" priority="1063" stopIfTrue="1" operator="lessThan">
      <formula>-0.03</formula>
    </cfRule>
  </conditionalFormatting>
  <conditionalFormatting sqref="AF81:AH81">
    <cfRule type="cellIs" dxfId="2529" priority="1060" operator="greaterThan">
      <formula>0.03</formula>
    </cfRule>
    <cfRule type="cellIs" dxfId="2528" priority="1061" stopIfTrue="1" operator="lessThan">
      <formula>-0.03</formula>
    </cfRule>
  </conditionalFormatting>
  <conditionalFormatting sqref="AF87:AH87 AF83:AH85">
    <cfRule type="cellIs" dxfId="2527" priority="1058" operator="greaterThan">
      <formula>0.03</formula>
    </cfRule>
    <cfRule type="cellIs" dxfId="2526" priority="1059" stopIfTrue="1" operator="lessThan">
      <formula>-0.03</formula>
    </cfRule>
  </conditionalFormatting>
  <conditionalFormatting sqref="AF86:AH86">
    <cfRule type="cellIs" dxfId="2525" priority="1056" operator="greaterThan">
      <formula>0.03</formula>
    </cfRule>
    <cfRule type="cellIs" dxfId="2524" priority="1057" stopIfTrue="1" operator="lessThan">
      <formula>-0.03</formula>
    </cfRule>
  </conditionalFormatting>
  <conditionalFormatting sqref="AF92:AH92 AF88:AH90">
    <cfRule type="cellIs" dxfId="2523" priority="1054" operator="greaterThan">
      <formula>0.03</formula>
    </cfRule>
    <cfRule type="cellIs" dxfId="2522" priority="1055" stopIfTrue="1" operator="lessThan">
      <formula>-0.03</formula>
    </cfRule>
  </conditionalFormatting>
  <conditionalFormatting sqref="AF91:AH91">
    <cfRule type="cellIs" dxfId="2521" priority="1052" operator="greaterThan">
      <formula>0.03</formula>
    </cfRule>
    <cfRule type="cellIs" dxfId="2520" priority="1053" stopIfTrue="1" operator="lessThan">
      <formula>-0.03</formula>
    </cfRule>
  </conditionalFormatting>
  <conditionalFormatting sqref="AF97:AH97 AF93:AH95">
    <cfRule type="cellIs" dxfId="2519" priority="1050" operator="greaterThan">
      <formula>0.03</formula>
    </cfRule>
    <cfRule type="cellIs" dxfId="2518" priority="1051" stopIfTrue="1" operator="lessThan">
      <formula>-0.03</formula>
    </cfRule>
  </conditionalFormatting>
  <conditionalFormatting sqref="AF96:AH96">
    <cfRule type="cellIs" dxfId="2517" priority="1048" operator="greaterThan">
      <formula>0.03</formula>
    </cfRule>
    <cfRule type="cellIs" dxfId="2516" priority="1049" stopIfTrue="1" operator="lessThan">
      <formula>-0.03</formula>
    </cfRule>
  </conditionalFormatting>
  <conditionalFormatting sqref="AF102:AH102 AF98:AH100">
    <cfRule type="cellIs" dxfId="2515" priority="1046" operator="greaterThan">
      <formula>0.03</formula>
    </cfRule>
    <cfRule type="cellIs" dxfId="2514" priority="1047" stopIfTrue="1" operator="lessThan">
      <formula>-0.03</formula>
    </cfRule>
  </conditionalFormatting>
  <conditionalFormatting sqref="AF101:AH101">
    <cfRule type="cellIs" dxfId="2513" priority="1044" operator="greaterThan">
      <formula>0.03</formula>
    </cfRule>
    <cfRule type="cellIs" dxfId="2512" priority="1045" stopIfTrue="1" operator="lessThan">
      <formula>-0.03</formula>
    </cfRule>
  </conditionalFormatting>
  <conditionalFormatting sqref="AF107:AH107 AF103:AH105">
    <cfRule type="cellIs" dxfId="2511" priority="1042" operator="greaterThan">
      <formula>0.03</formula>
    </cfRule>
    <cfRule type="cellIs" dxfId="2510" priority="1043" stopIfTrue="1" operator="lessThan">
      <formula>-0.03</formula>
    </cfRule>
  </conditionalFormatting>
  <conditionalFormatting sqref="AF106:AH106">
    <cfRule type="cellIs" dxfId="2509" priority="1040" operator="greaterThan">
      <formula>0.03</formula>
    </cfRule>
    <cfRule type="cellIs" dxfId="2508" priority="1041" stopIfTrue="1" operator="lessThan">
      <formula>-0.03</formula>
    </cfRule>
  </conditionalFormatting>
  <conditionalFormatting sqref="AF112:AH112 AF108:AH110">
    <cfRule type="cellIs" dxfId="2507" priority="1038" operator="greaterThan">
      <formula>0.03</formula>
    </cfRule>
    <cfRule type="cellIs" dxfId="2506" priority="1039" stopIfTrue="1" operator="lessThan">
      <formula>-0.03</formula>
    </cfRule>
  </conditionalFormatting>
  <conditionalFormatting sqref="AF111:AH111">
    <cfRule type="cellIs" dxfId="2505" priority="1036" operator="greaterThan">
      <formula>0.03</formula>
    </cfRule>
    <cfRule type="cellIs" dxfId="2504" priority="1037" stopIfTrue="1" operator="lessThan">
      <formula>-0.03</formula>
    </cfRule>
  </conditionalFormatting>
  <conditionalFormatting sqref="AF117:AH117 AF113:AH115">
    <cfRule type="cellIs" dxfId="2503" priority="1034" operator="greaterThan">
      <formula>0.03</formula>
    </cfRule>
    <cfRule type="cellIs" dxfId="2502" priority="1035" stopIfTrue="1" operator="lessThan">
      <formula>-0.03</formula>
    </cfRule>
  </conditionalFormatting>
  <conditionalFormatting sqref="AF116:AH116">
    <cfRule type="cellIs" dxfId="2501" priority="1032" operator="greaterThan">
      <formula>0.03</formula>
    </cfRule>
    <cfRule type="cellIs" dxfId="2500" priority="1033" stopIfTrue="1" operator="lessThan">
      <formula>-0.03</formula>
    </cfRule>
  </conditionalFormatting>
  <conditionalFormatting sqref="AF122:AH122 AF118:AH120">
    <cfRule type="cellIs" dxfId="2499" priority="1030" operator="greaterThan">
      <formula>0.03</formula>
    </cfRule>
    <cfRule type="cellIs" dxfId="2498" priority="1031" stopIfTrue="1" operator="lessThan">
      <formula>-0.03</formula>
    </cfRule>
  </conditionalFormatting>
  <conditionalFormatting sqref="AF121:AH121">
    <cfRule type="cellIs" dxfId="2497" priority="1028" operator="greaterThan">
      <formula>0.03</formula>
    </cfRule>
    <cfRule type="cellIs" dxfId="2496" priority="1029" stopIfTrue="1" operator="lessThan">
      <formula>-0.03</formula>
    </cfRule>
  </conditionalFormatting>
  <conditionalFormatting sqref="AF127:AH127 AF123:AH125">
    <cfRule type="cellIs" dxfId="2495" priority="1026" operator="greaterThan">
      <formula>0.03</formula>
    </cfRule>
    <cfRule type="cellIs" dxfId="2494" priority="1027" stopIfTrue="1" operator="lessThan">
      <formula>-0.03</formula>
    </cfRule>
  </conditionalFormatting>
  <conditionalFormatting sqref="AF126:AH126">
    <cfRule type="cellIs" dxfId="2493" priority="1024" operator="greaterThan">
      <formula>0.03</formula>
    </cfRule>
    <cfRule type="cellIs" dxfId="2492" priority="1025" stopIfTrue="1" operator="lessThan">
      <formula>-0.03</formula>
    </cfRule>
  </conditionalFormatting>
  <conditionalFormatting sqref="AF132:AH132 AF128:AH130">
    <cfRule type="cellIs" dxfId="2491" priority="1022" operator="greaterThan">
      <formula>0.03</formula>
    </cfRule>
    <cfRule type="cellIs" dxfId="2490" priority="1023" stopIfTrue="1" operator="lessThan">
      <formula>-0.03</formula>
    </cfRule>
  </conditionalFormatting>
  <conditionalFormatting sqref="AF131:AH131">
    <cfRule type="cellIs" dxfId="2489" priority="1020" operator="greaterThan">
      <formula>0.03</formula>
    </cfRule>
    <cfRule type="cellIs" dxfId="2488" priority="1021" stopIfTrue="1" operator="lessThan">
      <formula>-0.03</formula>
    </cfRule>
  </conditionalFormatting>
  <conditionalFormatting sqref="AL8:AN8 AL5:AN6">
    <cfRule type="cellIs" dxfId="2487" priority="1018" operator="greaterThan">
      <formula>0.03</formula>
    </cfRule>
    <cfRule type="cellIs" dxfId="2486" priority="1019" stopIfTrue="1" operator="lessThan">
      <formula>-0.03</formula>
    </cfRule>
  </conditionalFormatting>
  <conditionalFormatting sqref="AL156:AN156">
    <cfRule type="cellIs" dxfId="2485" priority="1010" operator="greaterThan">
      <formula>0.03</formula>
    </cfRule>
    <cfRule type="cellIs" dxfId="2484" priority="1011" stopIfTrue="1" operator="lessThan">
      <formula>-0.03</formula>
    </cfRule>
  </conditionalFormatting>
  <conditionalFormatting sqref="AL159:AN159">
    <cfRule type="cellIs" dxfId="2483" priority="1008" operator="greaterThan">
      <formula>0.03</formula>
    </cfRule>
    <cfRule type="cellIs" dxfId="2482" priority="1009" stopIfTrue="1" operator="lessThan">
      <formula>-0.03</formula>
    </cfRule>
  </conditionalFormatting>
  <conditionalFormatting sqref="AL161:AN161">
    <cfRule type="cellIs" dxfId="2481" priority="1016" operator="greaterThan">
      <formula>0.03</formula>
    </cfRule>
    <cfRule type="cellIs" dxfId="2480" priority="1017" stopIfTrue="1" operator="lessThan">
      <formula>-0.03</formula>
    </cfRule>
  </conditionalFormatting>
  <conditionalFormatting sqref="AL153:AN153 AL155:AN155">
    <cfRule type="cellIs" dxfId="2479" priority="1012" operator="greaterThan">
      <formula>0.03</formula>
    </cfRule>
    <cfRule type="cellIs" dxfId="2478" priority="1013" stopIfTrue="1" operator="lessThan">
      <formula>-0.03</formula>
    </cfRule>
  </conditionalFormatting>
  <conditionalFormatting sqref="AL157:AN158">
    <cfRule type="cellIs" dxfId="2477" priority="1014" operator="greaterThan">
      <formula>0.03</formula>
    </cfRule>
    <cfRule type="cellIs" dxfId="2476" priority="1015" stopIfTrue="1" operator="lessThan">
      <formula>-0.03</formula>
    </cfRule>
  </conditionalFormatting>
  <conditionalFormatting sqref="AL154:AN154">
    <cfRule type="cellIs" dxfId="2475" priority="1006" operator="greaterThan">
      <formula>0.03</formula>
    </cfRule>
    <cfRule type="cellIs" dxfId="2474" priority="1007" stopIfTrue="1" operator="lessThan">
      <formula>-0.03</formula>
    </cfRule>
  </conditionalFormatting>
  <conditionalFormatting sqref="AL7:AN7">
    <cfRule type="cellIs" dxfId="2473" priority="1004" operator="greaterThan">
      <formula>0.03</formula>
    </cfRule>
    <cfRule type="cellIs" dxfId="2472" priority="1005" stopIfTrue="1" operator="lessThan">
      <formula>-0.03</formula>
    </cfRule>
  </conditionalFormatting>
  <conditionalFormatting sqref="AL13:AN13 AL10:AN11">
    <cfRule type="cellIs" dxfId="2471" priority="1002" operator="greaterThan">
      <formula>0.03</formula>
    </cfRule>
    <cfRule type="cellIs" dxfId="2470" priority="1003" stopIfTrue="1" operator="lessThan">
      <formula>-0.03</formula>
    </cfRule>
  </conditionalFormatting>
  <conditionalFormatting sqref="AL12:AN12">
    <cfRule type="cellIs" dxfId="2469" priority="1000" operator="greaterThan">
      <formula>0.03</formula>
    </cfRule>
    <cfRule type="cellIs" dxfId="2468" priority="1001" stopIfTrue="1" operator="lessThan">
      <formula>-0.03</formula>
    </cfRule>
  </conditionalFormatting>
  <conditionalFormatting sqref="AL18:AN18 AL15:AN16">
    <cfRule type="cellIs" dxfId="2467" priority="998" operator="greaterThan">
      <formula>0.03</formula>
    </cfRule>
    <cfRule type="cellIs" dxfId="2466" priority="999" stopIfTrue="1" operator="lessThan">
      <formula>-0.03</formula>
    </cfRule>
  </conditionalFormatting>
  <conditionalFormatting sqref="AL17:AN17">
    <cfRule type="cellIs" dxfId="2465" priority="996" operator="greaterThan">
      <formula>0.03</formula>
    </cfRule>
    <cfRule type="cellIs" dxfId="2464" priority="997" stopIfTrue="1" operator="lessThan">
      <formula>-0.03</formula>
    </cfRule>
  </conditionalFormatting>
  <conditionalFormatting sqref="AL23:AN23 AL20:AN21">
    <cfRule type="cellIs" dxfId="2463" priority="994" operator="greaterThan">
      <formula>0.03</formula>
    </cfRule>
    <cfRule type="cellIs" dxfId="2462" priority="995" stopIfTrue="1" operator="lessThan">
      <formula>-0.03</formula>
    </cfRule>
  </conditionalFormatting>
  <conditionalFormatting sqref="AL22:AN22">
    <cfRule type="cellIs" dxfId="2461" priority="992" operator="greaterThan">
      <formula>0.03</formula>
    </cfRule>
    <cfRule type="cellIs" dxfId="2460" priority="993" stopIfTrue="1" operator="lessThan">
      <formula>-0.03</formula>
    </cfRule>
  </conditionalFormatting>
  <conditionalFormatting sqref="AL28:AN28 AL25:AN26">
    <cfRule type="cellIs" dxfId="2459" priority="990" operator="greaterThan">
      <formula>0.03</formula>
    </cfRule>
    <cfRule type="cellIs" dxfId="2458" priority="991" stopIfTrue="1" operator="lessThan">
      <formula>-0.03</formula>
    </cfRule>
  </conditionalFormatting>
  <conditionalFormatting sqref="AL27:AN27">
    <cfRule type="cellIs" dxfId="2457" priority="988" operator="greaterThan">
      <formula>0.03</formula>
    </cfRule>
    <cfRule type="cellIs" dxfId="2456" priority="989" stopIfTrue="1" operator="lessThan">
      <formula>-0.03</formula>
    </cfRule>
  </conditionalFormatting>
  <conditionalFormatting sqref="AL33:AN33 AL30:AN31">
    <cfRule type="cellIs" dxfId="2455" priority="986" operator="greaterThan">
      <formula>0.03</formula>
    </cfRule>
    <cfRule type="cellIs" dxfId="2454" priority="987" stopIfTrue="1" operator="lessThan">
      <formula>-0.03</formula>
    </cfRule>
  </conditionalFormatting>
  <conditionalFormatting sqref="AL32:AN32">
    <cfRule type="cellIs" dxfId="2453" priority="984" operator="greaterThan">
      <formula>0.03</formula>
    </cfRule>
    <cfRule type="cellIs" dxfId="2452" priority="985" stopIfTrue="1" operator="lessThan">
      <formula>-0.03</formula>
    </cfRule>
  </conditionalFormatting>
  <conditionalFormatting sqref="AL38:AN38 AL35:AN36">
    <cfRule type="cellIs" dxfId="2451" priority="982" operator="greaterThan">
      <formula>0.03</formula>
    </cfRule>
    <cfRule type="cellIs" dxfId="2450" priority="983" stopIfTrue="1" operator="lessThan">
      <formula>-0.03</formula>
    </cfRule>
  </conditionalFormatting>
  <conditionalFormatting sqref="AL37:AN37">
    <cfRule type="cellIs" dxfId="2449" priority="980" operator="greaterThan">
      <formula>0.03</formula>
    </cfRule>
    <cfRule type="cellIs" dxfId="2448" priority="981" stopIfTrue="1" operator="lessThan">
      <formula>-0.03</formula>
    </cfRule>
  </conditionalFormatting>
  <conditionalFormatting sqref="AL43:AN43 AL40:AN41">
    <cfRule type="cellIs" dxfId="2447" priority="978" operator="greaterThan">
      <formula>0.03</formula>
    </cfRule>
    <cfRule type="cellIs" dxfId="2446" priority="979" stopIfTrue="1" operator="lessThan">
      <formula>-0.03</formula>
    </cfRule>
  </conditionalFormatting>
  <conditionalFormatting sqref="AL42:AN42">
    <cfRule type="cellIs" dxfId="2445" priority="976" operator="greaterThan">
      <formula>0.03</formula>
    </cfRule>
    <cfRule type="cellIs" dxfId="2444" priority="977" stopIfTrue="1" operator="lessThan">
      <formula>-0.03</formula>
    </cfRule>
  </conditionalFormatting>
  <conditionalFormatting sqref="AL48:AN48 AL45:AN46">
    <cfRule type="cellIs" dxfId="2443" priority="974" operator="greaterThan">
      <formula>0.03</formula>
    </cfRule>
    <cfRule type="cellIs" dxfId="2442" priority="975" stopIfTrue="1" operator="lessThan">
      <formula>-0.03</formula>
    </cfRule>
  </conditionalFormatting>
  <conditionalFormatting sqref="AL47:AN47">
    <cfRule type="cellIs" dxfId="2441" priority="972" operator="greaterThan">
      <formula>0.03</formula>
    </cfRule>
    <cfRule type="cellIs" dxfId="2440" priority="973" stopIfTrue="1" operator="lessThan">
      <formula>-0.03</formula>
    </cfRule>
  </conditionalFormatting>
  <conditionalFormatting sqref="AL53:AN53 AL50:AN51">
    <cfRule type="cellIs" dxfId="2439" priority="970" operator="greaterThan">
      <formula>0.03</formula>
    </cfRule>
    <cfRule type="cellIs" dxfId="2438" priority="971" stopIfTrue="1" operator="lessThan">
      <formula>-0.03</formula>
    </cfRule>
  </conditionalFormatting>
  <conditionalFormatting sqref="AL52:AN52">
    <cfRule type="cellIs" dxfId="2437" priority="968" operator="greaterThan">
      <formula>0.03</formula>
    </cfRule>
    <cfRule type="cellIs" dxfId="2436" priority="969" stopIfTrue="1" operator="lessThan">
      <formula>-0.03</formula>
    </cfRule>
  </conditionalFormatting>
  <conditionalFormatting sqref="AL58:AN58 AL55:AN56">
    <cfRule type="cellIs" dxfId="2435" priority="966" operator="greaterThan">
      <formula>0.03</formula>
    </cfRule>
    <cfRule type="cellIs" dxfId="2434" priority="967" stopIfTrue="1" operator="lessThan">
      <formula>-0.03</formula>
    </cfRule>
  </conditionalFormatting>
  <conditionalFormatting sqref="AL57:AN57">
    <cfRule type="cellIs" dxfId="2433" priority="964" operator="greaterThan">
      <formula>0.03</formula>
    </cfRule>
    <cfRule type="cellIs" dxfId="2432" priority="965" stopIfTrue="1" operator="lessThan">
      <formula>-0.03</formula>
    </cfRule>
  </conditionalFormatting>
  <conditionalFormatting sqref="AL63:AN63 AL60:AN61">
    <cfRule type="cellIs" dxfId="2431" priority="962" operator="greaterThan">
      <formula>0.03</formula>
    </cfRule>
    <cfRule type="cellIs" dxfId="2430" priority="963" stopIfTrue="1" operator="lessThan">
      <formula>-0.03</formula>
    </cfRule>
  </conditionalFormatting>
  <conditionalFormatting sqref="AL62:AN62">
    <cfRule type="cellIs" dxfId="2429" priority="960" operator="greaterThan">
      <formula>0.03</formula>
    </cfRule>
    <cfRule type="cellIs" dxfId="2428" priority="961" stopIfTrue="1" operator="lessThan">
      <formula>-0.03</formula>
    </cfRule>
  </conditionalFormatting>
  <conditionalFormatting sqref="AL68:AN68 AL65:AN66">
    <cfRule type="cellIs" dxfId="2427" priority="958" operator="greaterThan">
      <formula>0.03</formula>
    </cfRule>
    <cfRule type="cellIs" dxfId="2426" priority="959" stopIfTrue="1" operator="lessThan">
      <formula>-0.03</formula>
    </cfRule>
  </conditionalFormatting>
  <conditionalFormatting sqref="AL67:AN67">
    <cfRule type="cellIs" dxfId="2425" priority="956" operator="greaterThan">
      <formula>0.03</formula>
    </cfRule>
    <cfRule type="cellIs" dxfId="2424" priority="957" stopIfTrue="1" operator="lessThan">
      <formula>-0.03</formula>
    </cfRule>
  </conditionalFormatting>
  <conditionalFormatting sqref="AL73:AN73 AL70:AN71">
    <cfRule type="cellIs" dxfId="2423" priority="954" operator="greaterThan">
      <formula>0.03</formula>
    </cfRule>
    <cfRule type="cellIs" dxfId="2422" priority="955" stopIfTrue="1" operator="lessThan">
      <formula>-0.03</formula>
    </cfRule>
  </conditionalFormatting>
  <conditionalFormatting sqref="AL72:AN72">
    <cfRule type="cellIs" dxfId="2421" priority="952" operator="greaterThan">
      <formula>0.03</formula>
    </cfRule>
    <cfRule type="cellIs" dxfId="2420" priority="953" stopIfTrue="1" operator="lessThan">
      <formula>-0.03</formula>
    </cfRule>
  </conditionalFormatting>
  <conditionalFormatting sqref="AL78:AN78 AL75:AN76">
    <cfRule type="cellIs" dxfId="2419" priority="950" operator="greaterThan">
      <formula>0.03</formula>
    </cfRule>
    <cfRule type="cellIs" dxfId="2418" priority="951" stopIfTrue="1" operator="lessThan">
      <formula>-0.03</formula>
    </cfRule>
  </conditionalFormatting>
  <conditionalFormatting sqref="AL77:AN77">
    <cfRule type="cellIs" dxfId="2417" priority="948" operator="greaterThan">
      <formula>0.03</formula>
    </cfRule>
    <cfRule type="cellIs" dxfId="2416" priority="949" stopIfTrue="1" operator="lessThan">
      <formula>-0.03</formula>
    </cfRule>
  </conditionalFormatting>
  <conditionalFormatting sqref="AL83:AN83 AL80:AN81">
    <cfRule type="cellIs" dxfId="2415" priority="946" operator="greaterThan">
      <formula>0.03</formula>
    </cfRule>
    <cfRule type="cellIs" dxfId="2414" priority="947" stopIfTrue="1" operator="lessThan">
      <formula>-0.03</formula>
    </cfRule>
  </conditionalFormatting>
  <conditionalFormatting sqref="AL82:AN82">
    <cfRule type="cellIs" dxfId="2413" priority="944" operator="greaterThan">
      <formula>0.03</formula>
    </cfRule>
    <cfRule type="cellIs" dxfId="2412" priority="945" stopIfTrue="1" operator="lessThan">
      <formula>-0.03</formula>
    </cfRule>
  </conditionalFormatting>
  <conditionalFormatting sqref="AL88:AN88 AL85:AN86">
    <cfRule type="cellIs" dxfId="2411" priority="942" operator="greaterThan">
      <formula>0.03</formula>
    </cfRule>
    <cfRule type="cellIs" dxfId="2410" priority="943" stopIfTrue="1" operator="lessThan">
      <formula>-0.03</formula>
    </cfRule>
  </conditionalFormatting>
  <conditionalFormatting sqref="AL87:AN87">
    <cfRule type="cellIs" dxfId="2409" priority="940" operator="greaterThan">
      <formula>0.03</formula>
    </cfRule>
    <cfRule type="cellIs" dxfId="2408" priority="941" stopIfTrue="1" operator="lessThan">
      <formula>-0.03</formula>
    </cfRule>
  </conditionalFormatting>
  <conditionalFormatting sqref="AL93:AN93 AL90:AN91">
    <cfRule type="cellIs" dxfId="2407" priority="938" operator="greaterThan">
      <formula>0.03</formula>
    </cfRule>
    <cfRule type="cellIs" dxfId="2406" priority="939" stopIfTrue="1" operator="lessThan">
      <formula>-0.03</formula>
    </cfRule>
  </conditionalFormatting>
  <conditionalFormatting sqref="AL92:AN92">
    <cfRule type="cellIs" dxfId="2405" priority="936" operator="greaterThan">
      <formula>0.03</formula>
    </cfRule>
    <cfRule type="cellIs" dxfId="2404" priority="937" stopIfTrue="1" operator="lessThan">
      <formula>-0.03</formula>
    </cfRule>
  </conditionalFormatting>
  <conditionalFormatting sqref="AL98:AN98 AL95:AN96">
    <cfRule type="cellIs" dxfId="2403" priority="934" operator="greaterThan">
      <formula>0.03</formula>
    </cfRule>
    <cfRule type="cellIs" dxfId="2402" priority="935" stopIfTrue="1" operator="lessThan">
      <formula>-0.03</formula>
    </cfRule>
  </conditionalFormatting>
  <conditionalFormatting sqref="AL97:AN97">
    <cfRule type="cellIs" dxfId="2401" priority="932" operator="greaterThan">
      <formula>0.03</formula>
    </cfRule>
    <cfRule type="cellIs" dxfId="2400" priority="933" stopIfTrue="1" operator="lessThan">
      <formula>-0.03</formula>
    </cfRule>
  </conditionalFormatting>
  <conditionalFormatting sqref="AL103:AN103 AL100:AN101">
    <cfRule type="cellIs" dxfId="2399" priority="930" operator="greaterThan">
      <formula>0.03</formula>
    </cfRule>
    <cfRule type="cellIs" dxfId="2398" priority="931" stopIfTrue="1" operator="lessThan">
      <formula>-0.03</formula>
    </cfRule>
  </conditionalFormatting>
  <conditionalFormatting sqref="AL102:AN102">
    <cfRule type="cellIs" dxfId="2397" priority="928" operator="greaterThan">
      <formula>0.03</formula>
    </cfRule>
    <cfRule type="cellIs" dxfId="2396" priority="929" stopIfTrue="1" operator="lessThan">
      <formula>-0.03</formula>
    </cfRule>
  </conditionalFormatting>
  <conditionalFormatting sqref="AL108:AN108 AL105:AN106">
    <cfRule type="cellIs" dxfId="2395" priority="926" operator="greaterThan">
      <formula>0.03</formula>
    </cfRule>
    <cfRule type="cellIs" dxfId="2394" priority="927" stopIfTrue="1" operator="lessThan">
      <formula>-0.03</formula>
    </cfRule>
  </conditionalFormatting>
  <conditionalFormatting sqref="AL107:AN107">
    <cfRule type="cellIs" dxfId="2393" priority="924" operator="greaterThan">
      <formula>0.03</formula>
    </cfRule>
    <cfRule type="cellIs" dxfId="2392" priority="925" stopIfTrue="1" operator="lessThan">
      <formula>-0.03</formula>
    </cfRule>
  </conditionalFormatting>
  <conditionalFormatting sqref="AL113:AN113 AL110:AN111">
    <cfRule type="cellIs" dxfId="2391" priority="922" operator="greaterThan">
      <formula>0.03</formula>
    </cfRule>
    <cfRule type="cellIs" dxfId="2390" priority="923" stopIfTrue="1" operator="lessThan">
      <formula>-0.03</formula>
    </cfRule>
  </conditionalFormatting>
  <conditionalFormatting sqref="AL112:AN112">
    <cfRule type="cellIs" dxfId="2389" priority="920" operator="greaterThan">
      <formula>0.03</formula>
    </cfRule>
    <cfRule type="cellIs" dxfId="2388" priority="921" stopIfTrue="1" operator="lessThan">
      <formula>-0.03</formula>
    </cfRule>
  </conditionalFormatting>
  <conditionalFormatting sqref="AL118:AN118 AL115:AN116">
    <cfRule type="cellIs" dxfId="2387" priority="918" operator="greaterThan">
      <formula>0.03</formula>
    </cfRule>
    <cfRule type="cellIs" dxfId="2386" priority="919" stopIfTrue="1" operator="lessThan">
      <formula>-0.03</formula>
    </cfRule>
  </conditionalFormatting>
  <conditionalFormatting sqref="AL117:AN117">
    <cfRule type="cellIs" dxfId="2385" priority="916" operator="greaterThan">
      <formula>0.03</formula>
    </cfRule>
    <cfRule type="cellIs" dxfId="2384" priority="917" stopIfTrue="1" operator="lessThan">
      <formula>-0.03</formula>
    </cfRule>
  </conditionalFormatting>
  <conditionalFormatting sqref="AL123:AN123 AL120:AN121">
    <cfRule type="cellIs" dxfId="2383" priority="914" operator="greaterThan">
      <formula>0.03</formula>
    </cfRule>
    <cfRule type="cellIs" dxfId="2382" priority="915" stopIfTrue="1" operator="lessThan">
      <formula>-0.03</formula>
    </cfRule>
  </conditionalFormatting>
  <conditionalFormatting sqref="AL122:AN122">
    <cfRule type="cellIs" dxfId="2381" priority="912" operator="greaterThan">
      <formula>0.03</formula>
    </cfRule>
    <cfRule type="cellIs" dxfId="2380" priority="913" stopIfTrue="1" operator="lessThan">
      <formula>-0.03</formula>
    </cfRule>
  </conditionalFormatting>
  <conditionalFormatting sqref="AL128:AN128 AL125:AN126">
    <cfRule type="cellIs" dxfId="2379" priority="910" operator="greaterThan">
      <formula>0.03</formula>
    </cfRule>
    <cfRule type="cellIs" dxfId="2378" priority="911" stopIfTrue="1" operator="lessThan">
      <formula>-0.03</formula>
    </cfRule>
  </conditionalFormatting>
  <conditionalFormatting sqref="AL127:AN127">
    <cfRule type="cellIs" dxfId="2377" priority="908" operator="greaterThan">
      <formula>0.03</formula>
    </cfRule>
    <cfRule type="cellIs" dxfId="2376" priority="909" stopIfTrue="1" operator="lessThan">
      <formula>-0.03</formula>
    </cfRule>
  </conditionalFormatting>
  <conditionalFormatting sqref="AL130:AN132">
    <cfRule type="cellIs" dxfId="2375" priority="906" operator="greaterThan">
      <formula>0.03</formula>
    </cfRule>
    <cfRule type="cellIs" dxfId="2374" priority="907" stopIfTrue="1" operator="lessThan">
      <formula>-0.03</formula>
    </cfRule>
  </conditionalFormatting>
  <conditionalFormatting sqref="AR7:AS7">
    <cfRule type="cellIs" dxfId="2373" priority="904" operator="greaterThan">
      <formula>0.03</formula>
    </cfRule>
    <cfRule type="cellIs" dxfId="2372" priority="905" stopIfTrue="1" operator="lessThan">
      <formula>-0.03</formula>
    </cfRule>
  </conditionalFormatting>
  <conditionalFormatting sqref="AR156:AT156">
    <cfRule type="cellIs" dxfId="2371" priority="896" operator="greaterThan">
      <formula>0.03</formula>
    </cfRule>
    <cfRule type="cellIs" dxfId="2370" priority="897" stopIfTrue="1" operator="lessThan">
      <formula>-0.03</formula>
    </cfRule>
  </conditionalFormatting>
  <conditionalFormatting sqref="AR159:AT159">
    <cfRule type="cellIs" dxfId="2369" priority="894" operator="greaterThan">
      <formula>0.03</formula>
    </cfRule>
    <cfRule type="cellIs" dxfId="2368" priority="895" stopIfTrue="1" operator="lessThan">
      <formula>-0.03</formula>
    </cfRule>
  </conditionalFormatting>
  <conditionalFormatting sqref="AR161:AT161">
    <cfRule type="cellIs" dxfId="2367" priority="902" operator="greaterThan">
      <formula>0.03</formula>
    </cfRule>
    <cfRule type="cellIs" dxfId="2366" priority="903" stopIfTrue="1" operator="lessThan">
      <formula>-0.03</formula>
    </cfRule>
  </conditionalFormatting>
  <conditionalFormatting sqref="AR155:AT155 AR153:AT153">
    <cfRule type="cellIs" dxfId="2365" priority="898" operator="greaterThan">
      <formula>0.03</formula>
    </cfRule>
    <cfRule type="cellIs" dxfId="2364" priority="899" stopIfTrue="1" operator="lessThan">
      <formula>-0.03</formula>
    </cfRule>
  </conditionalFormatting>
  <conditionalFormatting sqref="AR157:AT158">
    <cfRule type="cellIs" dxfId="2363" priority="900" operator="greaterThan">
      <formula>0.03</formula>
    </cfRule>
    <cfRule type="cellIs" dxfId="2362" priority="901" stopIfTrue="1" operator="lessThan">
      <formula>-0.03</formula>
    </cfRule>
  </conditionalFormatting>
  <conditionalFormatting sqref="AR154:AT154">
    <cfRule type="cellIs" dxfId="2361" priority="892" operator="greaterThan">
      <formula>0.03</formula>
    </cfRule>
    <cfRule type="cellIs" dxfId="2360" priority="893" stopIfTrue="1" operator="lessThan">
      <formula>-0.03</formula>
    </cfRule>
  </conditionalFormatting>
  <conditionalFormatting sqref="AR3:AT3">
    <cfRule type="cellIs" dxfId="2359" priority="890" operator="greaterThan">
      <formula>0.03</formula>
    </cfRule>
    <cfRule type="cellIs" dxfId="2358" priority="891" stopIfTrue="1" operator="lessThan">
      <formula>-0.03</formula>
    </cfRule>
  </conditionalFormatting>
  <conditionalFormatting sqref="AR12:AS12">
    <cfRule type="cellIs" dxfId="2357" priority="888" operator="greaterThan">
      <formula>0.03</formula>
    </cfRule>
    <cfRule type="cellIs" dxfId="2356" priority="889" stopIfTrue="1" operator="lessThan">
      <formula>-0.03</formula>
    </cfRule>
  </conditionalFormatting>
  <conditionalFormatting sqref="AR8:AT8">
    <cfRule type="cellIs" dxfId="2355" priority="886" operator="greaterThan">
      <formula>0.03</formula>
    </cfRule>
    <cfRule type="cellIs" dxfId="2354" priority="887" stopIfTrue="1" operator="lessThan">
      <formula>-0.03</formula>
    </cfRule>
  </conditionalFormatting>
  <conditionalFormatting sqref="AR17:AS17">
    <cfRule type="cellIs" dxfId="2353" priority="884" operator="greaterThan">
      <formula>0.03</formula>
    </cfRule>
    <cfRule type="cellIs" dxfId="2352" priority="885" stopIfTrue="1" operator="lessThan">
      <formula>-0.03</formula>
    </cfRule>
  </conditionalFormatting>
  <conditionalFormatting sqref="AR13:AT13">
    <cfRule type="cellIs" dxfId="2351" priority="882" operator="greaterThan">
      <formula>0.03</formula>
    </cfRule>
    <cfRule type="cellIs" dxfId="2350" priority="883" stopIfTrue="1" operator="lessThan">
      <formula>-0.03</formula>
    </cfRule>
  </conditionalFormatting>
  <conditionalFormatting sqref="AR22:AS22">
    <cfRule type="cellIs" dxfId="2349" priority="880" operator="greaterThan">
      <formula>0.03</formula>
    </cfRule>
    <cfRule type="cellIs" dxfId="2348" priority="881" stopIfTrue="1" operator="lessThan">
      <formula>-0.03</formula>
    </cfRule>
  </conditionalFormatting>
  <conditionalFormatting sqref="AR18:AT18">
    <cfRule type="cellIs" dxfId="2347" priority="878" operator="greaterThan">
      <formula>0.03</formula>
    </cfRule>
    <cfRule type="cellIs" dxfId="2346" priority="879" stopIfTrue="1" operator="lessThan">
      <formula>-0.03</formula>
    </cfRule>
  </conditionalFormatting>
  <conditionalFormatting sqref="AR27:AS27">
    <cfRule type="cellIs" dxfId="2345" priority="876" operator="greaterThan">
      <formula>0.03</formula>
    </cfRule>
    <cfRule type="cellIs" dxfId="2344" priority="877" stopIfTrue="1" operator="lessThan">
      <formula>-0.03</formula>
    </cfRule>
  </conditionalFormatting>
  <conditionalFormatting sqref="AR23:AT23">
    <cfRule type="cellIs" dxfId="2343" priority="874" operator="greaterThan">
      <formula>0.03</formula>
    </cfRule>
    <cfRule type="cellIs" dxfId="2342" priority="875" stopIfTrue="1" operator="lessThan">
      <formula>-0.03</formula>
    </cfRule>
  </conditionalFormatting>
  <conditionalFormatting sqref="AR32:AS32">
    <cfRule type="cellIs" dxfId="2341" priority="872" operator="greaterThan">
      <formula>0.03</formula>
    </cfRule>
    <cfRule type="cellIs" dxfId="2340" priority="873" stopIfTrue="1" operator="lessThan">
      <formula>-0.03</formula>
    </cfRule>
  </conditionalFormatting>
  <conditionalFormatting sqref="AR28:AT28">
    <cfRule type="cellIs" dxfId="2339" priority="870" operator="greaterThan">
      <formula>0.03</formula>
    </cfRule>
    <cfRule type="cellIs" dxfId="2338" priority="871" stopIfTrue="1" operator="lessThan">
      <formula>-0.03</formula>
    </cfRule>
  </conditionalFormatting>
  <conditionalFormatting sqref="AR37:AS37">
    <cfRule type="cellIs" dxfId="2337" priority="868" operator="greaterThan">
      <formula>0.03</formula>
    </cfRule>
    <cfRule type="cellIs" dxfId="2336" priority="869" stopIfTrue="1" operator="lessThan">
      <formula>-0.03</formula>
    </cfRule>
  </conditionalFormatting>
  <conditionalFormatting sqref="AR33:AT33">
    <cfRule type="cellIs" dxfId="2335" priority="866" operator="greaterThan">
      <formula>0.03</formula>
    </cfRule>
    <cfRule type="cellIs" dxfId="2334" priority="867" stopIfTrue="1" operator="lessThan">
      <formula>-0.03</formula>
    </cfRule>
  </conditionalFormatting>
  <conditionalFormatting sqref="AR42:AS42">
    <cfRule type="cellIs" dxfId="2333" priority="864" operator="greaterThan">
      <formula>0.03</formula>
    </cfRule>
    <cfRule type="cellIs" dxfId="2332" priority="865" stopIfTrue="1" operator="lessThan">
      <formula>-0.03</formula>
    </cfRule>
  </conditionalFormatting>
  <conditionalFormatting sqref="AR38:AT38">
    <cfRule type="cellIs" dxfId="2331" priority="862" operator="greaterThan">
      <formula>0.03</formula>
    </cfRule>
    <cfRule type="cellIs" dxfId="2330" priority="863" stopIfTrue="1" operator="lessThan">
      <formula>-0.03</formula>
    </cfRule>
  </conditionalFormatting>
  <conditionalFormatting sqref="AR47:AS47">
    <cfRule type="cellIs" dxfId="2329" priority="860" operator="greaterThan">
      <formula>0.03</formula>
    </cfRule>
    <cfRule type="cellIs" dxfId="2328" priority="861" stopIfTrue="1" operator="lessThan">
      <formula>-0.03</formula>
    </cfRule>
  </conditionalFormatting>
  <conditionalFormatting sqref="AR43:AT43">
    <cfRule type="cellIs" dxfId="2327" priority="858" operator="greaterThan">
      <formula>0.03</formula>
    </cfRule>
    <cfRule type="cellIs" dxfId="2326" priority="859" stopIfTrue="1" operator="lessThan">
      <formula>-0.03</formula>
    </cfRule>
  </conditionalFormatting>
  <conditionalFormatting sqref="AR52:AS52">
    <cfRule type="cellIs" dxfId="2325" priority="856" operator="greaterThan">
      <formula>0.03</formula>
    </cfRule>
    <cfRule type="cellIs" dxfId="2324" priority="857" stopIfTrue="1" operator="lessThan">
      <formula>-0.03</formula>
    </cfRule>
  </conditionalFormatting>
  <conditionalFormatting sqref="AR48:AT48">
    <cfRule type="cellIs" dxfId="2323" priority="854" operator="greaterThan">
      <formula>0.03</formula>
    </cfRule>
    <cfRule type="cellIs" dxfId="2322" priority="855" stopIfTrue="1" operator="lessThan">
      <formula>-0.03</formula>
    </cfRule>
  </conditionalFormatting>
  <conditionalFormatting sqref="AR57:AS57">
    <cfRule type="cellIs" dxfId="2321" priority="852" operator="greaterThan">
      <formula>0.03</formula>
    </cfRule>
    <cfRule type="cellIs" dxfId="2320" priority="853" stopIfTrue="1" operator="lessThan">
      <formula>-0.03</formula>
    </cfRule>
  </conditionalFormatting>
  <conditionalFormatting sqref="AR53:AT53">
    <cfRule type="cellIs" dxfId="2319" priority="850" operator="greaterThan">
      <formula>0.03</formula>
    </cfRule>
    <cfRule type="cellIs" dxfId="2318" priority="851" stopIfTrue="1" operator="lessThan">
      <formula>-0.03</formula>
    </cfRule>
  </conditionalFormatting>
  <conditionalFormatting sqref="AR62:AS62">
    <cfRule type="cellIs" dxfId="2317" priority="848" operator="greaterThan">
      <formula>0.03</formula>
    </cfRule>
    <cfRule type="cellIs" dxfId="2316" priority="849" stopIfTrue="1" operator="lessThan">
      <formula>-0.03</formula>
    </cfRule>
  </conditionalFormatting>
  <conditionalFormatting sqref="AR58:AT58">
    <cfRule type="cellIs" dxfId="2315" priority="846" operator="greaterThan">
      <formula>0.03</formula>
    </cfRule>
    <cfRule type="cellIs" dxfId="2314" priority="847" stopIfTrue="1" operator="lessThan">
      <formula>-0.03</formula>
    </cfRule>
  </conditionalFormatting>
  <conditionalFormatting sqref="AR67:AS67">
    <cfRule type="cellIs" dxfId="2313" priority="844" operator="greaterThan">
      <formula>0.03</formula>
    </cfRule>
    <cfRule type="cellIs" dxfId="2312" priority="845" stopIfTrue="1" operator="lessThan">
      <formula>-0.03</formula>
    </cfRule>
  </conditionalFormatting>
  <conditionalFormatting sqref="AR63:AT63">
    <cfRule type="cellIs" dxfId="2311" priority="842" operator="greaterThan">
      <formula>0.03</formula>
    </cfRule>
    <cfRule type="cellIs" dxfId="2310" priority="843" stopIfTrue="1" operator="lessThan">
      <formula>-0.03</formula>
    </cfRule>
  </conditionalFormatting>
  <conditionalFormatting sqref="AR72:AS72">
    <cfRule type="cellIs" dxfId="2309" priority="840" operator="greaterThan">
      <formula>0.03</formula>
    </cfRule>
    <cfRule type="cellIs" dxfId="2308" priority="841" stopIfTrue="1" operator="lessThan">
      <formula>-0.03</formula>
    </cfRule>
  </conditionalFormatting>
  <conditionalFormatting sqref="AR68:AT68">
    <cfRule type="cellIs" dxfId="2307" priority="838" operator="greaterThan">
      <formula>0.03</formula>
    </cfRule>
    <cfRule type="cellIs" dxfId="2306" priority="839" stopIfTrue="1" operator="lessThan">
      <formula>-0.03</formula>
    </cfRule>
  </conditionalFormatting>
  <conditionalFormatting sqref="AR77:AS77">
    <cfRule type="cellIs" dxfId="2305" priority="836" operator="greaterThan">
      <formula>0.03</formula>
    </cfRule>
    <cfRule type="cellIs" dxfId="2304" priority="837" stopIfTrue="1" operator="lessThan">
      <formula>-0.03</formula>
    </cfRule>
  </conditionalFormatting>
  <conditionalFormatting sqref="AR73:AT73">
    <cfRule type="cellIs" dxfId="2303" priority="834" operator="greaterThan">
      <formula>0.03</formula>
    </cfRule>
    <cfRule type="cellIs" dxfId="2302" priority="835" stopIfTrue="1" operator="lessThan">
      <formula>-0.03</formula>
    </cfRule>
  </conditionalFormatting>
  <conditionalFormatting sqref="AR82:AS82">
    <cfRule type="cellIs" dxfId="2301" priority="832" operator="greaterThan">
      <formula>0.03</formula>
    </cfRule>
    <cfRule type="cellIs" dxfId="2300" priority="833" stopIfTrue="1" operator="lessThan">
      <formula>-0.03</formula>
    </cfRule>
  </conditionalFormatting>
  <conditionalFormatting sqref="AR78:AT78">
    <cfRule type="cellIs" dxfId="2299" priority="830" operator="greaterThan">
      <formula>0.03</formula>
    </cfRule>
    <cfRule type="cellIs" dxfId="2298" priority="831" stopIfTrue="1" operator="lessThan">
      <formula>-0.03</formula>
    </cfRule>
  </conditionalFormatting>
  <conditionalFormatting sqref="AR87:AS87">
    <cfRule type="cellIs" dxfId="2297" priority="828" operator="greaterThan">
      <formula>0.03</formula>
    </cfRule>
    <cfRule type="cellIs" dxfId="2296" priority="829" stopIfTrue="1" operator="lessThan">
      <formula>-0.03</formula>
    </cfRule>
  </conditionalFormatting>
  <conditionalFormatting sqref="AR83:AT83">
    <cfRule type="cellIs" dxfId="2295" priority="826" operator="greaterThan">
      <formula>0.03</formula>
    </cfRule>
    <cfRule type="cellIs" dxfId="2294" priority="827" stopIfTrue="1" operator="lessThan">
      <formula>-0.03</formula>
    </cfRule>
  </conditionalFormatting>
  <conditionalFormatting sqref="AR92:AS92">
    <cfRule type="cellIs" dxfId="2293" priority="824" operator="greaterThan">
      <formula>0.03</formula>
    </cfRule>
    <cfRule type="cellIs" dxfId="2292" priority="825" stopIfTrue="1" operator="lessThan">
      <formula>-0.03</formula>
    </cfRule>
  </conditionalFormatting>
  <conditionalFormatting sqref="AR88:AT88">
    <cfRule type="cellIs" dxfId="2291" priority="822" operator="greaterThan">
      <formula>0.03</formula>
    </cfRule>
    <cfRule type="cellIs" dxfId="2290" priority="823" stopIfTrue="1" operator="lessThan">
      <formula>-0.03</formula>
    </cfRule>
  </conditionalFormatting>
  <conditionalFormatting sqref="AR97:AS97">
    <cfRule type="cellIs" dxfId="2289" priority="820" operator="greaterThan">
      <formula>0.03</formula>
    </cfRule>
    <cfRule type="cellIs" dxfId="2288" priority="821" stopIfTrue="1" operator="lessThan">
      <formula>-0.03</formula>
    </cfRule>
  </conditionalFormatting>
  <conditionalFormatting sqref="AR93:AT93">
    <cfRule type="cellIs" dxfId="2287" priority="818" operator="greaterThan">
      <formula>0.03</formula>
    </cfRule>
    <cfRule type="cellIs" dxfId="2286" priority="819" stopIfTrue="1" operator="lessThan">
      <formula>-0.03</formula>
    </cfRule>
  </conditionalFormatting>
  <conditionalFormatting sqref="AR102:AS102">
    <cfRule type="cellIs" dxfId="2285" priority="816" operator="greaterThan">
      <formula>0.03</formula>
    </cfRule>
    <cfRule type="cellIs" dxfId="2284" priority="817" stopIfTrue="1" operator="lessThan">
      <formula>-0.03</formula>
    </cfRule>
  </conditionalFormatting>
  <conditionalFormatting sqref="AR98:AT98">
    <cfRule type="cellIs" dxfId="2283" priority="814" operator="greaterThan">
      <formula>0.03</formula>
    </cfRule>
    <cfRule type="cellIs" dxfId="2282" priority="815" stopIfTrue="1" operator="lessThan">
      <formula>-0.03</formula>
    </cfRule>
  </conditionalFormatting>
  <conditionalFormatting sqref="AR107:AS107">
    <cfRule type="cellIs" dxfId="2281" priority="812" operator="greaterThan">
      <formula>0.03</formula>
    </cfRule>
    <cfRule type="cellIs" dxfId="2280" priority="813" stopIfTrue="1" operator="lessThan">
      <formula>-0.03</formula>
    </cfRule>
  </conditionalFormatting>
  <conditionalFormatting sqref="AR103:AT103">
    <cfRule type="cellIs" dxfId="2279" priority="810" operator="greaterThan">
      <formula>0.03</formula>
    </cfRule>
    <cfRule type="cellIs" dxfId="2278" priority="811" stopIfTrue="1" operator="lessThan">
      <formula>-0.03</formula>
    </cfRule>
  </conditionalFormatting>
  <conditionalFormatting sqref="AR112:AS112">
    <cfRule type="cellIs" dxfId="2277" priority="808" operator="greaterThan">
      <formula>0.03</formula>
    </cfRule>
    <cfRule type="cellIs" dxfId="2276" priority="809" stopIfTrue="1" operator="lessThan">
      <formula>-0.03</formula>
    </cfRule>
  </conditionalFormatting>
  <conditionalFormatting sqref="AR108:AT108">
    <cfRule type="cellIs" dxfId="2275" priority="806" operator="greaterThan">
      <formula>0.03</formula>
    </cfRule>
    <cfRule type="cellIs" dxfId="2274" priority="807" stopIfTrue="1" operator="lessThan">
      <formula>-0.03</formula>
    </cfRule>
  </conditionalFormatting>
  <conditionalFormatting sqref="AR117:AS117">
    <cfRule type="cellIs" dxfId="2273" priority="804" operator="greaterThan">
      <formula>0.03</formula>
    </cfRule>
    <cfRule type="cellIs" dxfId="2272" priority="805" stopIfTrue="1" operator="lessThan">
      <formula>-0.03</formula>
    </cfRule>
  </conditionalFormatting>
  <conditionalFormatting sqref="AR113:AT113">
    <cfRule type="cellIs" dxfId="2271" priority="802" operator="greaterThan">
      <formula>0.03</formula>
    </cfRule>
    <cfRule type="cellIs" dxfId="2270" priority="803" stopIfTrue="1" operator="lessThan">
      <formula>-0.03</formula>
    </cfRule>
  </conditionalFormatting>
  <conditionalFormatting sqref="AR122:AS122">
    <cfRule type="cellIs" dxfId="2269" priority="800" operator="greaterThan">
      <formula>0.03</formula>
    </cfRule>
    <cfRule type="cellIs" dxfId="2268" priority="801" stopIfTrue="1" operator="lessThan">
      <formula>-0.03</formula>
    </cfRule>
  </conditionalFormatting>
  <conditionalFormatting sqref="AR118:AT118">
    <cfRule type="cellIs" dxfId="2267" priority="798" operator="greaterThan">
      <formula>0.03</formula>
    </cfRule>
    <cfRule type="cellIs" dxfId="2266" priority="799" stopIfTrue="1" operator="lessThan">
      <formula>-0.03</formula>
    </cfRule>
  </conditionalFormatting>
  <conditionalFormatting sqref="AR127:AS127">
    <cfRule type="cellIs" dxfId="2265" priority="796" operator="greaterThan">
      <formula>0.03</formula>
    </cfRule>
    <cfRule type="cellIs" dxfId="2264" priority="797" stopIfTrue="1" operator="lessThan">
      <formula>-0.03</formula>
    </cfRule>
  </conditionalFormatting>
  <conditionalFormatting sqref="AR123:AT123">
    <cfRule type="cellIs" dxfId="2263" priority="794" operator="greaterThan">
      <formula>0.03</formula>
    </cfRule>
    <cfRule type="cellIs" dxfId="2262" priority="795" stopIfTrue="1" operator="lessThan">
      <formula>-0.03</formula>
    </cfRule>
  </conditionalFormatting>
  <conditionalFormatting sqref="AR132:AS132">
    <cfRule type="cellIs" dxfId="2261" priority="792" operator="greaterThan">
      <formula>0.03</formula>
    </cfRule>
    <cfRule type="cellIs" dxfId="2260" priority="793" stopIfTrue="1" operator="lessThan">
      <formula>-0.03</formula>
    </cfRule>
  </conditionalFormatting>
  <conditionalFormatting sqref="AR128:AT128">
    <cfRule type="cellIs" dxfId="2259" priority="790" operator="greaterThan">
      <formula>0.03</formula>
    </cfRule>
    <cfRule type="cellIs" dxfId="2258" priority="791" stopIfTrue="1" operator="lessThan">
      <formula>-0.03</formula>
    </cfRule>
  </conditionalFormatting>
  <conditionalFormatting sqref="AO133:AQ133">
    <cfRule type="cellIs" dxfId="2257" priority="788" operator="greaterThan">
      <formula>0.03</formula>
    </cfRule>
    <cfRule type="cellIs" dxfId="2256" priority="789" stopIfTrue="1" operator="lessThan">
      <formula>-0.03</formula>
    </cfRule>
  </conditionalFormatting>
  <conditionalFormatting sqref="AO137:AQ137">
    <cfRule type="cellIs" dxfId="2255" priority="782" operator="greaterThan">
      <formula>0.03</formula>
    </cfRule>
    <cfRule type="cellIs" dxfId="2254" priority="783" stopIfTrue="1" operator="lessThan">
      <formula>-0.03</formula>
    </cfRule>
  </conditionalFormatting>
  <conditionalFormatting sqref="AI137:AK137 AI133:AK135">
    <cfRule type="cellIs" dxfId="2253" priority="780" operator="greaterThan">
      <formula>0.03</formula>
    </cfRule>
    <cfRule type="cellIs" dxfId="2252" priority="781" stopIfTrue="1" operator="lessThan">
      <formula>-0.03</formula>
    </cfRule>
  </conditionalFormatting>
  <conditionalFormatting sqref="AU137:AV137">
    <cfRule type="cellIs" dxfId="2251" priority="784" operator="greaterThan">
      <formula>0.03</formula>
    </cfRule>
    <cfRule type="cellIs" dxfId="2250" priority="785" stopIfTrue="1" operator="lessThan">
      <formula>-0.03</formula>
    </cfRule>
  </conditionalFormatting>
  <conditionalFormatting sqref="AO138:AQ138 AO135:AQ136">
    <cfRule type="cellIs" dxfId="2249" priority="786" operator="greaterThan">
      <formula>0.03</formula>
    </cfRule>
    <cfRule type="cellIs" dxfId="2248" priority="787" stopIfTrue="1" operator="lessThan">
      <formula>-0.03</formula>
    </cfRule>
  </conditionalFormatting>
  <conditionalFormatting sqref="AI136:AK136">
    <cfRule type="cellIs" dxfId="2247" priority="778" operator="greaterThan">
      <formula>0.03</formula>
    </cfRule>
    <cfRule type="cellIs" dxfId="2246" priority="779" stopIfTrue="1" operator="lessThan">
      <formula>-0.03</formula>
    </cfRule>
  </conditionalFormatting>
  <conditionalFormatting sqref="AU133:AW133">
    <cfRule type="cellIs" dxfId="2245" priority="776" operator="greaterThan">
      <formula>0.03</formula>
    </cfRule>
    <cfRule type="cellIs" dxfId="2244" priority="777" stopIfTrue="1" operator="lessThan">
      <formula>-0.03</formula>
    </cfRule>
  </conditionalFormatting>
  <conditionalFormatting sqref="AO143:AQ143 AO140:AQ141">
    <cfRule type="cellIs" dxfId="2243" priority="774" operator="greaterThan">
      <formula>0.03</formula>
    </cfRule>
    <cfRule type="cellIs" dxfId="2242" priority="775" stopIfTrue="1" operator="lessThan">
      <formula>-0.03</formula>
    </cfRule>
  </conditionalFormatting>
  <conditionalFormatting sqref="AU142:AV142">
    <cfRule type="cellIs" dxfId="2241" priority="772" operator="greaterThan">
      <formula>0.03</formula>
    </cfRule>
    <cfRule type="cellIs" dxfId="2240" priority="773" stopIfTrue="1" operator="lessThan">
      <formula>-0.03</formula>
    </cfRule>
  </conditionalFormatting>
  <conditionalFormatting sqref="AO142:AQ142">
    <cfRule type="cellIs" dxfId="2239" priority="770" operator="greaterThan">
      <formula>0.03</formula>
    </cfRule>
    <cfRule type="cellIs" dxfId="2238" priority="771" stopIfTrue="1" operator="lessThan">
      <formula>-0.03</formula>
    </cfRule>
  </conditionalFormatting>
  <conditionalFormatting sqref="AI142:AK142 AI138:AK140">
    <cfRule type="cellIs" dxfId="2237" priority="768" operator="greaterThan">
      <formula>0.03</formula>
    </cfRule>
    <cfRule type="cellIs" dxfId="2236" priority="769" stopIfTrue="1" operator="lessThan">
      <formula>-0.03</formula>
    </cfRule>
  </conditionalFormatting>
  <conditionalFormatting sqref="AI141:AK141">
    <cfRule type="cellIs" dxfId="2235" priority="766" operator="greaterThan">
      <formula>0.03</formula>
    </cfRule>
    <cfRule type="cellIs" dxfId="2234" priority="767" stopIfTrue="1" operator="lessThan">
      <formula>-0.03</formula>
    </cfRule>
  </conditionalFormatting>
  <conditionalFormatting sqref="AU138:AW138">
    <cfRule type="cellIs" dxfId="2233" priority="764" operator="greaterThan">
      <formula>0.03</formula>
    </cfRule>
    <cfRule type="cellIs" dxfId="2232" priority="765" stopIfTrue="1" operator="lessThan">
      <formula>-0.03</formula>
    </cfRule>
  </conditionalFormatting>
  <conditionalFormatting sqref="AO148:AQ148 AO145:AQ146">
    <cfRule type="cellIs" dxfId="2231" priority="762" operator="greaterThan">
      <formula>0.03</formula>
    </cfRule>
    <cfRule type="cellIs" dxfId="2230" priority="763" stopIfTrue="1" operator="lessThan">
      <formula>-0.03</formula>
    </cfRule>
  </conditionalFormatting>
  <conditionalFormatting sqref="AU147:AV147">
    <cfRule type="cellIs" dxfId="2229" priority="760" operator="greaterThan">
      <formula>0.03</formula>
    </cfRule>
    <cfRule type="cellIs" dxfId="2228" priority="761" stopIfTrue="1" operator="lessThan">
      <formula>-0.03</formula>
    </cfRule>
  </conditionalFormatting>
  <conditionalFormatting sqref="AO147:AQ147">
    <cfRule type="cellIs" dxfId="2227" priority="758" operator="greaterThan">
      <formula>0.03</formula>
    </cfRule>
    <cfRule type="cellIs" dxfId="2226" priority="759" stopIfTrue="1" operator="lessThan">
      <formula>-0.03</formula>
    </cfRule>
  </conditionalFormatting>
  <conditionalFormatting sqref="AI147:AK147 AI143:AK145">
    <cfRule type="cellIs" dxfId="2225" priority="756" operator="greaterThan">
      <formula>0.03</formula>
    </cfRule>
    <cfRule type="cellIs" dxfId="2224" priority="757" stopIfTrue="1" operator="lessThan">
      <formula>-0.03</formula>
    </cfRule>
  </conditionalFormatting>
  <conditionalFormatting sqref="AI146:AK146">
    <cfRule type="cellIs" dxfId="2223" priority="754" operator="greaterThan">
      <formula>0.03</formula>
    </cfRule>
    <cfRule type="cellIs" dxfId="2222" priority="755" stopIfTrue="1" operator="lessThan">
      <formula>-0.03</formula>
    </cfRule>
  </conditionalFormatting>
  <conditionalFormatting sqref="AU143:AW143">
    <cfRule type="cellIs" dxfId="2221" priority="752" operator="greaterThan">
      <formula>0.03</formula>
    </cfRule>
    <cfRule type="cellIs" dxfId="2220" priority="753" stopIfTrue="1" operator="lessThan">
      <formula>-0.03</formula>
    </cfRule>
  </conditionalFormatting>
  <conditionalFormatting sqref="AO150:AQ152">
    <cfRule type="cellIs" dxfId="2219" priority="750" operator="greaterThan">
      <formula>0.03</formula>
    </cfRule>
    <cfRule type="cellIs" dxfId="2218" priority="751" stopIfTrue="1" operator="lessThan">
      <formula>-0.03</formula>
    </cfRule>
  </conditionalFormatting>
  <conditionalFormatting sqref="AU152:AV152">
    <cfRule type="cellIs" dxfId="2217" priority="748" operator="greaterThan">
      <formula>0.03</formula>
    </cfRule>
    <cfRule type="cellIs" dxfId="2216" priority="749" stopIfTrue="1" operator="lessThan">
      <formula>-0.03</formula>
    </cfRule>
  </conditionalFormatting>
  <conditionalFormatting sqref="AI152:AK152 AI148:AK150">
    <cfRule type="cellIs" dxfId="2215" priority="746" operator="greaterThan">
      <formula>0.03</formula>
    </cfRule>
    <cfRule type="cellIs" dxfId="2214" priority="747" stopIfTrue="1" operator="lessThan">
      <formula>-0.03</formula>
    </cfRule>
  </conditionalFormatting>
  <conditionalFormatting sqref="AI151:AK151">
    <cfRule type="cellIs" dxfId="2213" priority="744" operator="greaterThan">
      <formula>0.03</formula>
    </cfRule>
    <cfRule type="cellIs" dxfId="2212" priority="745" stopIfTrue="1" operator="lessThan">
      <formula>-0.03</formula>
    </cfRule>
  </conditionalFormatting>
  <conditionalFormatting sqref="AU148:AW148">
    <cfRule type="cellIs" dxfId="2211" priority="742" operator="greaterThan">
      <formula>0.03</formula>
    </cfRule>
    <cfRule type="cellIs" dxfId="2210" priority="743" stopIfTrue="1" operator="lessThan">
      <formula>-0.03</formula>
    </cfRule>
  </conditionalFormatting>
  <conditionalFormatting sqref="AF137:AH137 AF133:AH135">
    <cfRule type="cellIs" dxfId="2209" priority="740" operator="greaterThan">
      <formula>0.03</formula>
    </cfRule>
    <cfRule type="cellIs" dxfId="2208" priority="741" stopIfTrue="1" operator="lessThan">
      <formula>-0.03</formula>
    </cfRule>
  </conditionalFormatting>
  <conditionalFormatting sqref="AF136:AH136">
    <cfRule type="cellIs" dxfId="2207" priority="738" operator="greaterThan">
      <formula>0.03</formula>
    </cfRule>
    <cfRule type="cellIs" dxfId="2206" priority="739" stopIfTrue="1" operator="lessThan">
      <formula>-0.03</formula>
    </cfRule>
  </conditionalFormatting>
  <conditionalFormatting sqref="AF142:AH142 AF138:AH140">
    <cfRule type="cellIs" dxfId="2205" priority="736" operator="greaterThan">
      <formula>0.03</formula>
    </cfRule>
    <cfRule type="cellIs" dxfId="2204" priority="737" stopIfTrue="1" operator="lessThan">
      <formula>-0.03</formula>
    </cfRule>
  </conditionalFormatting>
  <conditionalFormatting sqref="AF141:AH141">
    <cfRule type="cellIs" dxfId="2203" priority="734" operator="greaterThan">
      <formula>0.03</formula>
    </cfRule>
    <cfRule type="cellIs" dxfId="2202" priority="735" stopIfTrue="1" operator="lessThan">
      <formula>-0.03</formula>
    </cfRule>
  </conditionalFormatting>
  <conditionalFormatting sqref="AF147:AH147 AF143:AH145">
    <cfRule type="cellIs" dxfId="2201" priority="732" operator="greaterThan">
      <formula>0.03</formula>
    </cfRule>
    <cfRule type="cellIs" dxfId="2200" priority="733" stopIfTrue="1" operator="lessThan">
      <formula>-0.03</formula>
    </cfRule>
  </conditionalFormatting>
  <conditionalFormatting sqref="AF146:AH146">
    <cfRule type="cellIs" dxfId="2199" priority="730" operator="greaterThan">
      <formula>0.03</formula>
    </cfRule>
    <cfRule type="cellIs" dxfId="2198" priority="731" stopIfTrue="1" operator="lessThan">
      <formula>-0.03</formula>
    </cfRule>
  </conditionalFormatting>
  <conditionalFormatting sqref="AF152:AH152 AF148:AH150">
    <cfRule type="cellIs" dxfId="2197" priority="728" operator="greaterThan">
      <formula>0.03</formula>
    </cfRule>
    <cfRule type="cellIs" dxfId="2196" priority="729" stopIfTrue="1" operator="lessThan">
      <formula>-0.03</formula>
    </cfRule>
  </conditionalFormatting>
  <conditionalFormatting sqref="AF151:AH151">
    <cfRule type="cellIs" dxfId="2195" priority="726" operator="greaterThan">
      <formula>0.03</formula>
    </cfRule>
    <cfRule type="cellIs" dxfId="2194" priority="727" stopIfTrue="1" operator="lessThan">
      <formula>-0.03</formula>
    </cfRule>
  </conditionalFormatting>
  <conditionalFormatting sqref="AL133:AN133">
    <cfRule type="cellIs" dxfId="2193" priority="724" operator="greaterThan">
      <formula>0.03</formula>
    </cfRule>
    <cfRule type="cellIs" dxfId="2192" priority="725" stopIfTrue="1" operator="lessThan">
      <formula>-0.03</formula>
    </cfRule>
  </conditionalFormatting>
  <conditionalFormatting sqref="AL138:AN138 AL135:AN136">
    <cfRule type="cellIs" dxfId="2191" priority="722" operator="greaterThan">
      <formula>0.03</formula>
    </cfRule>
    <cfRule type="cellIs" dxfId="2190" priority="723" stopIfTrue="1" operator="lessThan">
      <formula>-0.03</formula>
    </cfRule>
  </conditionalFormatting>
  <conditionalFormatting sqref="AL137:AN137">
    <cfRule type="cellIs" dxfId="2189" priority="720" operator="greaterThan">
      <formula>0.03</formula>
    </cfRule>
    <cfRule type="cellIs" dxfId="2188" priority="721" stopIfTrue="1" operator="lessThan">
      <formula>-0.03</formula>
    </cfRule>
  </conditionalFormatting>
  <conditionalFormatting sqref="AL143:AN143 AL140:AN141">
    <cfRule type="cellIs" dxfId="2187" priority="718" operator="greaterThan">
      <formula>0.03</formula>
    </cfRule>
    <cfRule type="cellIs" dxfId="2186" priority="719" stopIfTrue="1" operator="lessThan">
      <formula>-0.03</formula>
    </cfRule>
  </conditionalFormatting>
  <conditionalFormatting sqref="AL142:AN142">
    <cfRule type="cellIs" dxfId="2185" priority="716" operator="greaterThan">
      <formula>0.03</formula>
    </cfRule>
    <cfRule type="cellIs" dxfId="2184" priority="717" stopIfTrue="1" operator="lessThan">
      <formula>-0.03</formula>
    </cfRule>
  </conditionalFormatting>
  <conditionalFormatting sqref="AL148:AN148 AL145:AN146">
    <cfRule type="cellIs" dxfId="2183" priority="714" operator="greaterThan">
      <formula>0.03</formula>
    </cfRule>
    <cfRule type="cellIs" dxfId="2182" priority="715" stopIfTrue="1" operator="lessThan">
      <formula>-0.03</formula>
    </cfRule>
  </conditionalFormatting>
  <conditionalFormatting sqref="AL147:AN147">
    <cfRule type="cellIs" dxfId="2181" priority="712" operator="greaterThan">
      <formula>0.03</formula>
    </cfRule>
    <cfRule type="cellIs" dxfId="2180" priority="713" stopIfTrue="1" operator="lessThan">
      <formula>-0.03</formula>
    </cfRule>
  </conditionalFormatting>
  <conditionalFormatting sqref="AL150:AN152">
    <cfRule type="cellIs" dxfId="2179" priority="710" operator="greaterThan">
      <formula>0.03</formula>
    </cfRule>
    <cfRule type="cellIs" dxfId="2178" priority="711" stopIfTrue="1" operator="lessThan">
      <formula>-0.03</formula>
    </cfRule>
  </conditionalFormatting>
  <conditionalFormatting sqref="AR137:AS137">
    <cfRule type="cellIs" dxfId="2177" priority="708" operator="greaterThan">
      <formula>0.03</formula>
    </cfRule>
    <cfRule type="cellIs" dxfId="2176" priority="709" stopIfTrue="1" operator="lessThan">
      <formula>-0.03</formula>
    </cfRule>
  </conditionalFormatting>
  <conditionalFormatting sqref="AR133:AT133">
    <cfRule type="cellIs" dxfId="2175" priority="706" operator="greaterThan">
      <formula>0.03</formula>
    </cfRule>
    <cfRule type="cellIs" dxfId="2174" priority="707" stopIfTrue="1" operator="lessThan">
      <formula>-0.03</formula>
    </cfRule>
  </conditionalFormatting>
  <conditionalFormatting sqref="AR142:AS142">
    <cfRule type="cellIs" dxfId="2173" priority="704" operator="greaterThan">
      <formula>0.03</formula>
    </cfRule>
    <cfRule type="cellIs" dxfId="2172" priority="705" stopIfTrue="1" operator="lessThan">
      <formula>-0.03</formula>
    </cfRule>
  </conditionalFormatting>
  <conditionalFormatting sqref="AR138:AT138">
    <cfRule type="cellIs" dxfId="2171" priority="702" operator="greaterThan">
      <formula>0.03</formula>
    </cfRule>
    <cfRule type="cellIs" dxfId="2170" priority="703" stopIfTrue="1" operator="lessThan">
      <formula>-0.03</formula>
    </cfRule>
  </conditionalFormatting>
  <conditionalFormatting sqref="AR147:AS147">
    <cfRule type="cellIs" dxfId="2169" priority="700" operator="greaterThan">
      <formula>0.03</formula>
    </cfRule>
    <cfRule type="cellIs" dxfId="2168" priority="701" stopIfTrue="1" operator="lessThan">
      <formula>-0.03</formula>
    </cfRule>
  </conditionalFormatting>
  <conditionalFormatting sqref="AR143:AT143">
    <cfRule type="cellIs" dxfId="2167" priority="698" operator="greaterThan">
      <formula>0.03</formula>
    </cfRule>
    <cfRule type="cellIs" dxfId="2166" priority="699" stopIfTrue="1" operator="lessThan">
      <formula>-0.03</formula>
    </cfRule>
  </conditionalFormatting>
  <conditionalFormatting sqref="AR152:AS152">
    <cfRule type="cellIs" dxfId="2165" priority="696" operator="greaterThan">
      <formula>0.03</formula>
    </cfRule>
    <cfRule type="cellIs" dxfId="2164" priority="697" stopIfTrue="1" operator="lessThan">
      <formula>-0.03</formula>
    </cfRule>
  </conditionalFormatting>
  <conditionalFormatting sqref="AR148:AT148">
    <cfRule type="cellIs" dxfId="2163" priority="694" operator="greaterThan">
      <formula>0.03</formula>
    </cfRule>
    <cfRule type="cellIs" dxfId="2162" priority="695" stopIfTrue="1" operator="lessThan">
      <formula>-0.03</formula>
    </cfRule>
  </conditionalFormatting>
  <conditionalFormatting sqref="AO19:AQ19">
    <cfRule type="cellIs" dxfId="2161" priority="574" operator="greaterThan">
      <formula>0.03</formula>
    </cfRule>
    <cfRule type="cellIs" dxfId="2160" priority="575" stopIfTrue="1" operator="lessThan">
      <formula>-0.03</formula>
    </cfRule>
  </conditionalFormatting>
  <conditionalFormatting sqref="AF160:AH160">
    <cfRule type="cellIs" dxfId="2159" priority="692" operator="greaterThan">
      <formula>0.03</formula>
    </cfRule>
    <cfRule type="cellIs" dxfId="2158" priority="693" stopIfTrue="1" operator="lessThan">
      <formula>-0.03</formula>
    </cfRule>
  </conditionalFormatting>
  <conditionalFormatting sqref="AI160:AK160">
    <cfRule type="cellIs" dxfId="2157" priority="690" operator="greaterThan">
      <formula>0.03</formula>
    </cfRule>
    <cfRule type="cellIs" dxfId="2156" priority="691" stopIfTrue="1" operator="lessThan">
      <formula>-0.03</formula>
    </cfRule>
  </conditionalFormatting>
  <conditionalFormatting sqref="AL160:AN160">
    <cfRule type="cellIs" dxfId="2155" priority="688" operator="greaterThan">
      <formula>0.03</formula>
    </cfRule>
    <cfRule type="cellIs" dxfId="2154" priority="689" stopIfTrue="1" operator="lessThan">
      <formula>-0.03</formula>
    </cfRule>
  </conditionalFormatting>
  <conditionalFormatting sqref="AO160:AQ160">
    <cfRule type="cellIs" dxfId="2153" priority="686" operator="greaterThan">
      <formula>0.03</formula>
    </cfRule>
    <cfRule type="cellIs" dxfId="2152" priority="687" stopIfTrue="1" operator="lessThan">
      <formula>-0.03</formula>
    </cfRule>
  </conditionalFormatting>
  <conditionalFormatting sqref="AR160:AT160">
    <cfRule type="cellIs" dxfId="2151" priority="684" operator="greaterThan">
      <formula>0.03</formula>
    </cfRule>
    <cfRule type="cellIs" dxfId="2150" priority="685" stopIfTrue="1" operator="lessThan">
      <formula>-0.03</formula>
    </cfRule>
  </conditionalFormatting>
  <conditionalFormatting sqref="AO4:AQ4">
    <cfRule type="cellIs" dxfId="2149" priority="562" operator="greaterThan">
      <formula>0.03</formula>
    </cfRule>
    <cfRule type="cellIs" dxfId="2148" priority="563" stopIfTrue="1" operator="lessThan">
      <formula>-0.03</formula>
    </cfRule>
  </conditionalFormatting>
  <conditionalFormatting sqref="AU160:AW160">
    <cfRule type="cellIs" dxfId="2147" priority="682" operator="greaterThan">
      <formula>0.03</formula>
    </cfRule>
    <cfRule type="cellIs" dxfId="2146" priority="683" stopIfTrue="1" operator="lessThan">
      <formula>-0.03</formula>
    </cfRule>
  </conditionalFormatting>
  <conditionalFormatting sqref="AL29:AN29">
    <cfRule type="cellIs" dxfId="2145" priority="584" operator="greaterThan">
      <formula>0.03</formula>
    </cfRule>
    <cfRule type="cellIs" dxfId="2144" priority="585" stopIfTrue="1" operator="lessThan">
      <formula>-0.03</formula>
    </cfRule>
  </conditionalFormatting>
  <conditionalFormatting sqref="AO59:AQ59">
    <cfRule type="cellIs" dxfId="2143" priority="606" operator="greaterThan">
      <formula>0.03</formula>
    </cfRule>
    <cfRule type="cellIs" dxfId="2142" priority="607" stopIfTrue="1" operator="lessThan">
      <formula>-0.03</formula>
    </cfRule>
  </conditionalFormatting>
  <conditionalFormatting sqref="AO49:AQ49">
    <cfRule type="cellIs" dxfId="2141" priority="598" operator="greaterThan">
      <formula>0.03</formula>
    </cfRule>
    <cfRule type="cellIs" dxfId="2140" priority="599" stopIfTrue="1" operator="lessThan">
      <formula>-0.03</formula>
    </cfRule>
  </conditionalFormatting>
  <conditionalFormatting sqref="AO39:AQ39">
    <cfRule type="cellIs" dxfId="2139" priority="590" operator="greaterThan">
      <formula>0.03</formula>
    </cfRule>
    <cfRule type="cellIs" dxfId="2138" priority="591" stopIfTrue="1" operator="lessThan">
      <formula>-0.03</formula>
    </cfRule>
  </conditionalFormatting>
  <conditionalFormatting sqref="AL49:AN49">
    <cfRule type="cellIs" dxfId="2137" priority="600" operator="greaterThan">
      <formula>0.03</formula>
    </cfRule>
    <cfRule type="cellIs" dxfId="2136" priority="601" stopIfTrue="1" operator="lessThan">
      <formula>-0.03</formula>
    </cfRule>
  </conditionalFormatting>
  <conditionalFormatting sqref="AL134:AN134">
    <cfRule type="cellIs" dxfId="2135" priority="680" operator="greaterThan">
      <formula>0.03</formula>
    </cfRule>
    <cfRule type="cellIs" dxfId="2134" priority="681" stopIfTrue="1" operator="lessThan">
      <formula>-0.03</formula>
    </cfRule>
  </conditionalFormatting>
  <conditionalFormatting sqref="AO134:AQ134">
    <cfRule type="cellIs" dxfId="2133" priority="678" operator="greaterThan">
      <formula>0.03</formula>
    </cfRule>
    <cfRule type="cellIs" dxfId="2132" priority="679" stopIfTrue="1" operator="lessThan">
      <formula>-0.03</formula>
    </cfRule>
  </conditionalFormatting>
  <conditionalFormatting sqref="AL24:AN24">
    <cfRule type="cellIs" dxfId="2131" priority="580" operator="greaterThan">
      <formula>0.03</formula>
    </cfRule>
    <cfRule type="cellIs" dxfId="2130" priority="581" stopIfTrue="1" operator="lessThan">
      <formula>-0.03</formula>
    </cfRule>
  </conditionalFormatting>
  <conditionalFormatting sqref="AO24:AQ24">
    <cfRule type="cellIs" dxfId="2129" priority="578" operator="greaterThan">
      <formula>0.03</formula>
    </cfRule>
    <cfRule type="cellIs" dxfId="2128" priority="579" stopIfTrue="1" operator="lessThan">
      <formula>-0.03</formula>
    </cfRule>
  </conditionalFormatting>
  <conditionalFormatting sqref="AL14:AN14">
    <cfRule type="cellIs" dxfId="2127" priority="572" operator="greaterThan">
      <formula>0.03</formula>
    </cfRule>
    <cfRule type="cellIs" dxfId="2126" priority="573" stopIfTrue="1" operator="lessThan">
      <formula>-0.03</formula>
    </cfRule>
  </conditionalFormatting>
  <conditionalFormatting sqref="AO14:AQ14">
    <cfRule type="cellIs" dxfId="2125" priority="570" operator="greaterThan">
      <formula>0.03</formula>
    </cfRule>
    <cfRule type="cellIs" dxfId="2124" priority="571" stopIfTrue="1" operator="lessThan">
      <formula>-0.03</formula>
    </cfRule>
  </conditionalFormatting>
  <conditionalFormatting sqref="AL149:AN149">
    <cfRule type="cellIs" dxfId="2123" priority="676" operator="greaterThan">
      <formula>0.03</formula>
    </cfRule>
    <cfRule type="cellIs" dxfId="2122" priority="677" stopIfTrue="1" operator="lessThan">
      <formula>-0.03</formula>
    </cfRule>
  </conditionalFormatting>
  <conditionalFormatting sqref="AO149:AQ149">
    <cfRule type="cellIs" dxfId="2121" priority="674" operator="greaterThan">
      <formula>0.03</formula>
    </cfRule>
    <cfRule type="cellIs" dxfId="2120" priority="675" stopIfTrue="1" operator="lessThan">
      <formula>-0.03</formula>
    </cfRule>
  </conditionalFormatting>
  <conditionalFormatting sqref="AL144:AN144">
    <cfRule type="cellIs" dxfId="2119" priority="672" operator="greaterThan">
      <formula>0.03</formula>
    </cfRule>
    <cfRule type="cellIs" dxfId="2118" priority="673" stopIfTrue="1" operator="lessThan">
      <formula>-0.03</formula>
    </cfRule>
  </conditionalFormatting>
  <conditionalFormatting sqref="AO144:AQ144">
    <cfRule type="cellIs" dxfId="2117" priority="670" operator="greaterThan">
      <formula>0.03</formula>
    </cfRule>
    <cfRule type="cellIs" dxfId="2116" priority="671" stopIfTrue="1" operator="lessThan">
      <formula>-0.03</formula>
    </cfRule>
  </conditionalFormatting>
  <conditionalFormatting sqref="AL139:AN139">
    <cfRule type="cellIs" dxfId="2115" priority="668" operator="greaterThan">
      <formula>0.03</formula>
    </cfRule>
    <cfRule type="cellIs" dxfId="2114" priority="669" stopIfTrue="1" operator="lessThan">
      <formula>-0.03</formula>
    </cfRule>
  </conditionalFormatting>
  <conditionalFormatting sqref="AO139:AQ139">
    <cfRule type="cellIs" dxfId="2113" priority="666" operator="greaterThan">
      <formula>0.03</formula>
    </cfRule>
    <cfRule type="cellIs" dxfId="2112" priority="667" stopIfTrue="1" operator="lessThan">
      <formula>-0.03</formula>
    </cfRule>
  </conditionalFormatting>
  <conditionalFormatting sqref="AL129:AN129">
    <cfRule type="cellIs" dxfId="2111" priority="664" operator="greaterThan">
      <formula>0.03</formula>
    </cfRule>
    <cfRule type="cellIs" dxfId="2110" priority="665" stopIfTrue="1" operator="lessThan">
      <formula>-0.03</formula>
    </cfRule>
  </conditionalFormatting>
  <conditionalFormatting sqref="AO129:AQ129">
    <cfRule type="cellIs" dxfId="2109" priority="662" operator="greaterThan">
      <formula>0.03</formula>
    </cfRule>
    <cfRule type="cellIs" dxfId="2108" priority="663" stopIfTrue="1" operator="lessThan">
      <formula>-0.03</formula>
    </cfRule>
  </conditionalFormatting>
  <conditionalFormatting sqref="AL124:AN124">
    <cfRule type="cellIs" dxfId="2107" priority="660" operator="greaterThan">
      <formula>0.03</formula>
    </cfRule>
    <cfRule type="cellIs" dxfId="2106" priority="661" stopIfTrue="1" operator="lessThan">
      <formula>-0.03</formula>
    </cfRule>
  </conditionalFormatting>
  <conditionalFormatting sqref="AO124:AQ124">
    <cfRule type="cellIs" dxfId="2105" priority="658" operator="greaterThan">
      <formula>0.03</formula>
    </cfRule>
    <cfRule type="cellIs" dxfId="2104" priority="659" stopIfTrue="1" operator="lessThan">
      <formula>-0.03</formula>
    </cfRule>
  </conditionalFormatting>
  <conditionalFormatting sqref="AL119:AN119">
    <cfRule type="cellIs" dxfId="2103" priority="656" operator="greaterThan">
      <formula>0.03</formula>
    </cfRule>
    <cfRule type="cellIs" dxfId="2102" priority="657" stopIfTrue="1" operator="lessThan">
      <formula>-0.03</formula>
    </cfRule>
  </conditionalFormatting>
  <conditionalFormatting sqref="AO119:AQ119">
    <cfRule type="cellIs" dxfId="2101" priority="654" operator="greaterThan">
      <formula>0.03</formula>
    </cfRule>
    <cfRule type="cellIs" dxfId="2100" priority="655" stopIfTrue="1" operator="lessThan">
      <formula>-0.03</formula>
    </cfRule>
  </conditionalFormatting>
  <conditionalFormatting sqref="AL114:AN114">
    <cfRule type="cellIs" dxfId="2099" priority="652" operator="greaterThan">
      <formula>0.03</formula>
    </cfRule>
    <cfRule type="cellIs" dxfId="2098" priority="653" stopIfTrue="1" operator="lessThan">
      <formula>-0.03</formula>
    </cfRule>
  </conditionalFormatting>
  <conditionalFormatting sqref="AO114:AQ114">
    <cfRule type="cellIs" dxfId="2097" priority="650" operator="greaterThan">
      <formula>0.03</formula>
    </cfRule>
    <cfRule type="cellIs" dxfId="2096" priority="651" stopIfTrue="1" operator="lessThan">
      <formula>-0.03</formula>
    </cfRule>
  </conditionalFormatting>
  <conditionalFormatting sqref="AL109:AN109">
    <cfRule type="cellIs" dxfId="2095" priority="648" operator="greaterThan">
      <formula>0.03</formula>
    </cfRule>
    <cfRule type="cellIs" dxfId="2094" priority="649" stopIfTrue="1" operator="lessThan">
      <formula>-0.03</formula>
    </cfRule>
  </conditionalFormatting>
  <conditionalFormatting sqref="AO109:AQ109">
    <cfRule type="cellIs" dxfId="2093" priority="646" operator="greaterThan">
      <formula>0.03</formula>
    </cfRule>
    <cfRule type="cellIs" dxfId="2092" priority="647" stopIfTrue="1" operator="lessThan">
      <formula>-0.03</formula>
    </cfRule>
  </conditionalFormatting>
  <conditionalFormatting sqref="AL104:AN104">
    <cfRule type="cellIs" dxfId="2091" priority="644" operator="greaterThan">
      <formula>0.03</formula>
    </cfRule>
    <cfRule type="cellIs" dxfId="2090" priority="645" stopIfTrue="1" operator="lessThan">
      <formula>-0.03</formula>
    </cfRule>
  </conditionalFormatting>
  <conditionalFormatting sqref="AO104:AQ104">
    <cfRule type="cellIs" dxfId="2089" priority="642" operator="greaterThan">
      <formula>0.03</formula>
    </cfRule>
    <cfRule type="cellIs" dxfId="2088" priority="643" stopIfTrue="1" operator="lessThan">
      <formula>-0.03</formula>
    </cfRule>
  </conditionalFormatting>
  <conditionalFormatting sqref="AL99:AN99">
    <cfRule type="cellIs" dxfId="2087" priority="640" operator="greaterThan">
      <formula>0.03</formula>
    </cfRule>
    <cfRule type="cellIs" dxfId="2086" priority="641" stopIfTrue="1" operator="lessThan">
      <formula>-0.03</formula>
    </cfRule>
  </conditionalFormatting>
  <conditionalFormatting sqref="AO99:AQ99">
    <cfRule type="cellIs" dxfId="2085" priority="638" operator="greaterThan">
      <formula>0.03</formula>
    </cfRule>
    <cfRule type="cellIs" dxfId="2084" priority="639" stopIfTrue="1" operator="lessThan">
      <formula>-0.03</formula>
    </cfRule>
  </conditionalFormatting>
  <conditionalFormatting sqref="AL94:AN94">
    <cfRule type="cellIs" dxfId="2083" priority="636" operator="greaterThan">
      <formula>0.03</formula>
    </cfRule>
    <cfRule type="cellIs" dxfId="2082" priority="637" stopIfTrue="1" operator="lessThan">
      <formula>-0.03</formula>
    </cfRule>
  </conditionalFormatting>
  <conditionalFormatting sqref="AO94:AQ94">
    <cfRule type="cellIs" dxfId="2081" priority="634" operator="greaterThan">
      <formula>0.03</formula>
    </cfRule>
    <cfRule type="cellIs" dxfId="2080" priority="635" stopIfTrue="1" operator="lessThan">
      <formula>-0.03</formula>
    </cfRule>
  </conditionalFormatting>
  <conditionalFormatting sqref="AL89:AN89">
    <cfRule type="cellIs" dxfId="2079" priority="632" operator="greaterThan">
      <formula>0.03</formula>
    </cfRule>
    <cfRule type="cellIs" dxfId="2078" priority="633" stopIfTrue="1" operator="lessThan">
      <formula>-0.03</formula>
    </cfRule>
  </conditionalFormatting>
  <conditionalFormatting sqref="AO89:AQ89">
    <cfRule type="cellIs" dxfId="2077" priority="630" operator="greaterThan">
      <formula>0.03</formula>
    </cfRule>
    <cfRule type="cellIs" dxfId="2076" priority="631" stopIfTrue="1" operator="lessThan">
      <formula>-0.03</formula>
    </cfRule>
  </conditionalFormatting>
  <conditionalFormatting sqref="AL84:AN84">
    <cfRule type="cellIs" dxfId="2075" priority="628" operator="greaterThan">
      <formula>0.03</formula>
    </cfRule>
    <cfRule type="cellIs" dxfId="2074" priority="629" stopIfTrue="1" operator="lessThan">
      <formula>-0.03</formula>
    </cfRule>
  </conditionalFormatting>
  <conditionalFormatting sqref="AO84:AQ84">
    <cfRule type="cellIs" dxfId="2073" priority="626" operator="greaterThan">
      <formula>0.03</formula>
    </cfRule>
    <cfRule type="cellIs" dxfId="2072" priority="627" stopIfTrue="1" operator="lessThan">
      <formula>-0.03</formula>
    </cfRule>
  </conditionalFormatting>
  <conditionalFormatting sqref="AL79:AN79">
    <cfRule type="cellIs" dxfId="2071" priority="624" operator="greaterThan">
      <formula>0.03</formula>
    </cfRule>
    <cfRule type="cellIs" dxfId="2070" priority="625" stopIfTrue="1" operator="lessThan">
      <formula>-0.03</formula>
    </cfRule>
  </conditionalFormatting>
  <conditionalFormatting sqref="AO79:AQ79">
    <cfRule type="cellIs" dxfId="2069" priority="622" operator="greaterThan">
      <formula>0.03</formula>
    </cfRule>
    <cfRule type="cellIs" dxfId="2068" priority="623" stopIfTrue="1" operator="lessThan">
      <formula>-0.03</formula>
    </cfRule>
  </conditionalFormatting>
  <conditionalFormatting sqref="AL74:AN74">
    <cfRule type="cellIs" dxfId="2067" priority="620" operator="greaterThan">
      <formula>0.03</formula>
    </cfRule>
    <cfRule type="cellIs" dxfId="2066" priority="621" stopIfTrue="1" operator="lessThan">
      <formula>-0.03</formula>
    </cfRule>
  </conditionalFormatting>
  <conditionalFormatting sqref="AO74:AQ74">
    <cfRule type="cellIs" dxfId="2065" priority="618" operator="greaterThan">
      <formula>0.03</formula>
    </cfRule>
    <cfRule type="cellIs" dxfId="2064" priority="619" stopIfTrue="1" operator="lessThan">
      <formula>-0.03</formula>
    </cfRule>
  </conditionalFormatting>
  <conditionalFormatting sqref="AL69:AN69">
    <cfRule type="cellIs" dxfId="2063" priority="616" operator="greaterThan">
      <formula>0.03</formula>
    </cfRule>
    <cfRule type="cellIs" dxfId="2062" priority="617" stopIfTrue="1" operator="lessThan">
      <formula>-0.03</formula>
    </cfRule>
  </conditionalFormatting>
  <conditionalFormatting sqref="AO69:AQ69">
    <cfRule type="cellIs" dxfId="2061" priority="614" operator="greaterThan">
      <formula>0.03</formula>
    </cfRule>
    <cfRule type="cellIs" dxfId="2060" priority="615" stopIfTrue="1" operator="lessThan">
      <formula>-0.03</formula>
    </cfRule>
  </conditionalFormatting>
  <conditionalFormatting sqref="AL64:AN64">
    <cfRule type="cellIs" dxfId="2059" priority="612" operator="greaterThan">
      <formula>0.03</formula>
    </cfRule>
    <cfRule type="cellIs" dxfId="2058" priority="613" stopIfTrue="1" operator="lessThan">
      <formula>-0.03</formula>
    </cfRule>
  </conditionalFormatting>
  <conditionalFormatting sqref="AO64:AQ64">
    <cfRule type="cellIs" dxfId="2057" priority="610" operator="greaterThan">
      <formula>0.03</formula>
    </cfRule>
    <cfRule type="cellIs" dxfId="2056" priority="611" stopIfTrue="1" operator="lessThan">
      <formula>-0.03</formula>
    </cfRule>
  </conditionalFormatting>
  <conditionalFormatting sqref="AL59:AN59">
    <cfRule type="cellIs" dxfId="2055" priority="608" operator="greaterThan">
      <formula>0.03</formula>
    </cfRule>
    <cfRule type="cellIs" dxfId="2054" priority="609" stopIfTrue="1" operator="lessThan">
      <formula>-0.03</formula>
    </cfRule>
  </conditionalFormatting>
  <conditionalFormatting sqref="AL54:AN54">
    <cfRule type="cellIs" dxfId="2053" priority="604" operator="greaterThan">
      <formula>0.03</formula>
    </cfRule>
    <cfRule type="cellIs" dxfId="2052" priority="605" stopIfTrue="1" operator="lessThan">
      <formula>-0.03</formula>
    </cfRule>
  </conditionalFormatting>
  <conditionalFormatting sqref="AO54:AQ54">
    <cfRule type="cellIs" dxfId="2051" priority="602" operator="greaterThan">
      <formula>0.03</formula>
    </cfRule>
    <cfRule type="cellIs" dxfId="2050" priority="603" stopIfTrue="1" operator="lessThan">
      <formula>-0.03</formula>
    </cfRule>
  </conditionalFormatting>
  <conditionalFormatting sqref="AL44:AN44">
    <cfRule type="cellIs" dxfId="2049" priority="596" operator="greaterThan">
      <formula>0.03</formula>
    </cfRule>
    <cfRule type="cellIs" dxfId="2048" priority="597" stopIfTrue="1" operator="lessThan">
      <formula>-0.03</formula>
    </cfRule>
  </conditionalFormatting>
  <conditionalFormatting sqref="AO44:AQ44">
    <cfRule type="cellIs" dxfId="2047" priority="594" operator="greaterThan">
      <formula>0.03</formula>
    </cfRule>
    <cfRule type="cellIs" dxfId="2046" priority="595" stopIfTrue="1" operator="lessThan">
      <formula>-0.03</formula>
    </cfRule>
  </conditionalFormatting>
  <conditionalFormatting sqref="AL39:AN39">
    <cfRule type="cellIs" dxfId="2045" priority="592" operator="greaterThan">
      <formula>0.03</formula>
    </cfRule>
    <cfRule type="cellIs" dxfId="2044" priority="593" stopIfTrue="1" operator="lessThan">
      <formula>-0.03</formula>
    </cfRule>
  </conditionalFormatting>
  <conditionalFormatting sqref="AL34:AN34">
    <cfRule type="cellIs" dxfId="2043" priority="588" operator="greaterThan">
      <formula>0.03</formula>
    </cfRule>
    <cfRule type="cellIs" dxfId="2042" priority="589" stopIfTrue="1" operator="lessThan">
      <formula>-0.03</formula>
    </cfRule>
  </conditionalFormatting>
  <conditionalFormatting sqref="AO34:AQ34">
    <cfRule type="cellIs" dxfId="2041" priority="586" operator="greaterThan">
      <formula>0.03</formula>
    </cfRule>
    <cfRule type="cellIs" dxfId="2040" priority="587" stopIfTrue="1" operator="lessThan">
      <formula>-0.03</formula>
    </cfRule>
  </conditionalFormatting>
  <conditionalFormatting sqref="AO29:AQ29">
    <cfRule type="cellIs" dxfId="2039" priority="582" operator="greaterThan">
      <formula>0.03</formula>
    </cfRule>
    <cfRule type="cellIs" dxfId="2038" priority="583" stopIfTrue="1" operator="lessThan">
      <formula>-0.03</formula>
    </cfRule>
  </conditionalFormatting>
  <conditionalFormatting sqref="AL19:AN19">
    <cfRule type="cellIs" dxfId="2037" priority="576" operator="greaterThan">
      <formula>0.03</formula>
    </cfRule>
    <cfRule type="cellIs" dxfId="2036" priority="577" stopIfTrue="1" operator="lessThan">
      <formula>-0.03</formula>
    </cfRule>
  </conditionalFormatting>
  <conditionalFormatting sqref="AL9:AN9">
    <cfRule type="cellIs" dxfId="2035" priority="568" operator="greaterThan">
      <formula>0.03</formula>
    </cfRule>
    <cfRule type="cellIs" dxfId="2034" priority="569" stopIfTrue="1" operator="lessThan">
      <formula>-0.03</formula>
    </cfRule>
  </conditionalFormatting>
  <conditionalFormatting sqref="AO9:AQ9">
    <cfRule type="cellIs" dxfId="2033" priority="566" operator="greaterThan">
      <formula>0.03</formula>
    </cfRule>
    <cfRule type="cellIs" dxfId="2032" priority="567" stopIfTrue="1" operator="lessThan">
      <formula>-0.03</formula>
    </cfRule>
  </conditionalFormatting>
  <conditionalFormatting sqref="AL4:AN4">
    <cfRule type="cellIs" dxfId="2031" priority="564" operator="greaterThan">
      <formula>0.03</formula>
    </cfRule>
    <cfRule type="cellIs" dxfId="2030" priority="565" stopIfTrue="1" operator="lessThan">
      <formula>-0.03</formula>
    </cfRule>
  </conditionalFormatting>
  <conditionalFormatting sqref="AF3:AW1048576">
    <cfRule type="cellIs" dxfId="2029" priority="559" operator="greaterThan">
      <formula>0</formula>
    </cfRule>
    <cfRule type="cellIs" dxfId="2028" priority="560" operator="lessThan">
      <formula>0</formula>
    </cfRule>
    <cfRule type="cellIs" dxfId="2027" priority="561" operator="lessThan">
      <formula>0</formula>
    </cfRule>
  </conditionalFormatting>
  <conditionalFormatting sqref="AI8">
    <cfRule type="cellIs" dxfId="2026" priority="557" operator="greaterThan">
      <formula>0.03</formula>
    </cfRule>
    <cfRule type="cellIs" dxfId="2025" priority="558" stopIfTrue="1" operator="lessThan">
      <formula>-0.03</formula>
    </cfRule>
  </conditionalFormatting>
  <conditionalFormatting sqref="AI13">
    <cfRule type="cellIs" dxfId="2024" priority="555" operator="greaterThan">
      <formula>0.03</formula>
    </cfRule>
    <cfRule type="cellIs" dxfId="2023" priority="556" stopIfTrue="1" operator="lessThan">
      <formula>-0.03</formula>
    </cfRule>
  </conditionalFormatting>
  <conditionalFormatting sqref="AI13">
    <cfRule type="cellIs" dxfId="2022" priority="553" operator="greaterThan">
      <formula>0.03</formula>
    </cfRule>
    <cfRule type="cellIs" dxfId="2021" priority="554" stopIfTrue="1" operator="lessThan">
      <formula>-0.03</formula>
    </cfRule>
  </conditionalFormatting>
  <conditionalFormatting sqref="AI18">
    <cfRule type="cellIs" dxfId="2020" priority="551" operator="greaterThan">
      <formula>0.03</formula>
    </cfRule>
    <cfRule type="cellIs" dxfId="2019" priority="552" stopIfTrue="1" operator="lessThan">
      <formula>-0.03</formula>
    </cfRule>
  </conditionalFormatting>
  <conditionalFormatting sqref="AI18">
    <cfRule type="cellIs" dxfId="2018" priority="549" operator="greaterThan">
      <formula>0.03</formula>
    </cfRule>
    <cfRule type="cellIs" dxfId="2017" priority="550" stopIfTrue="1" operator="lessThan">
      <formula>-0.03</formula>
    </cfRule>
  </conditionalFormatting>
  <conditionalFormatting sqref="AI23">
    <cfRule type="cellIs" dxfId="2016" priority="547" operator="greaterThan">
      <formula>0.03</formula>
    </cfRule>
    <cfRule type="cellIs" dxfId="2015" priority="548" stopIfTrue="1" operator="lessThan">
      <formula>-0.03</formula>
    </cfRule>
  </conditionalFormatting>
  <conditionalFormatting sqref="AI23">
    <cfRule type="cellIs" dxfId="2014" priority="545" operator="greaterThan">
      <formula>0.03</formula>
    </cfRule>
    <cfRule type="cellIs" dxfId="2013" priority="546" stopIfTrue="1" operator="lessThan">
      <formula>-0.03</formula>
    </cfRule>
  </conditionalFormatting>
  <conditionalFormatting sqref="AI28">
    <cfRule type="cellIs" dxfId="2012" priority="543" operator="greaterThan">
      <formula>0.03</formula>
    </cfRule>
    <cfRule type="cellIs" dxfId="2011" priority="544" stopIfTrue="1" operator="lessThan">
      <formula>-0.03</formula>
    </cfRule>
  </conditionalFormatting>
  <conditionalFormatting sqref="AI28">
    <cfRule type="cellIs" dxfId="2010" priority="541" operator="greaterThan">
      <formula>0.03</formula>
    </cfRule>
    <cfRule type="cellIs" dxfId="2009" priority="542" stopIfTrue="1" operator="lessThan">
      <formula>-0.03</formula>
    </cfRule>
  </conditionalFormatting>
  <conditionalFormatting sqref="AI33">
    <cfRule type="cellIs" dxfId="2008" priority="539" operator="greaterThan">
      <formula>0.03</formula>
    </cfRule>
    <cfRule type="cellIs" dxfId="2007" priority="540" stopIfTrue="1" operator="lessThan">
      <formula>-0.03</formula>
    </cfRule>
  </conditionalFormatting>
  <conditionalFormatting sqref="AI33">
    <cfRule type="cellIs" dxfId="2006" priority="537" operator="greaterThan">
      <formula>0.03</formula>
    </cfRule>
    <cfRule type="cellIs" dxfId="2005" priority="538" stopIfTrue="1" operator="lessThan">
      <formula>-0.03</formula>
    </cfRule>
  </conditionalFormatting>
  <conditionalFormatting sqref="AI38">
    <cfRule type="cellIs" dxfId="2004" priority="535" operator="greaterThan">
      <formula>0.03</formula>
    </cfRule>
    <cfRule type="cellIs" dxfId="2003" priority="536" stopIfTrue="1" operator="lessThan">
      <formula>-0.03</formula>
    </cfRule>
  </conditionalFormatting>
  <conditionalFormatting sqref="AI38">
    <cfRule type="cellIs" dxfId="2002" priority="533" operator="greaterThan">
      <formula>0.03</formula>
    </cfRule>
    <cfRule type="cellIs" dxfId="2001" priority="534" stopIfTrue="1" operator="lessThan">
      <formula>-0.03</formula>
    </cfRule>
  </conditionalFormatting>
  <conditionalFormatting sqref="AI43">
    <cfRule type="cellIs" dxfId="2000" priority="531" operator="greaterThan">
      <formula>0.03</formula>
    </cfRule>
    <cfRule type="cellIs" dxfId="1999" priority="532" stopIfTrue="1" operator="lessThan">
      <formula>-0.03</formula>
    </cfRule>
  </conditionalFormatting>
  <conditionalFormatting sqref="AI43">
    <cfRule type="cellIs" dxfId="1998" priority="529" operator="greaterThan">
      <formula>0.03</formula>
    </cfRule>
    <cfRule type="cellIs" dxfId="1997" priority="530" stopIfTrue="1" operator="lessThan">
      <formula>-0.03</formula>
    </cfRule>
  </conditionalFormatting>
  <conditionalFormatting sqref="AI48">
    <cfRule type="cellIs" dxfId="1996" priority="527" operator="greaterThan">
      <formula>0.03</formula>
    </cfRule>
    <cfRule type="cellIs" dxfId="1995" priority="528" stopIfTrue="1" operator="lessThan">
      <formula>-0.03</formula>
    </cfRule>
  </conditionalFormatting>
  <conditionalFormatting sqref="AI48">
    <cfRule type="cellIs" dxfId="1994" priority="525" operator="greaterThan">
      <formula>0.03</formula>
    </cfRule>
    <cfRule type="cellIs" dxfId="1993" priority="526" stopIfTrue="1" operator="lessThan">
      <formula>-0.03</formula>
    </cfRule>
  </conditionalFormatting>
  <conditionalFormatting sqref="AI53">
    <cfRule type="cellIs" dxfId="1992" priority="523" operator="greaterThan">
      <formula>0.03</formula>
    </cfRule>
    <cfRule type="cellIs" dxfId="1991" priority="524" stopIfTrue="1" operator="lessThan">
      <formula>-0.03</formula>
    </cfRule>
  </conditionalFormatting>
  <conditionalFormatting sqref="AI53">
    <cfRule type="cellIs" dxfId="1990" priority="521" operator="greaterThan">
      <formula>0.03</formula>
    </cfRule>
    <cfRule type="cellIs" dxfId="1989" priority="522" stopIfTrue="1" operator="lessThan">
      <formula>-0.03</formula>
    </cfRule>
  </conditionalFormatting>
  <conditionalFormatting sqref="AI58">
    <cfRule type="cellIs" dxfId="1988" priority="519" operator="greaterThan">
      <formula>0.03</formula>
    </cfRule>
    <cfRule type="cellIs" dxfId="1987" priority="520" stopIfTrue="1" operator="lessThan">
      <formula>-0.03</formula>
    </cfRule>
  </conditionalFormatting>
  <conditionalFormatting sqref="AI58">
    <cfRule type="cellIs" dxfId="1986" priority="517" operator="greaterThan">
      <formula>0.03</formula>
    </cfRule>
    <cfRule type="cellIs" dxfId="1985" priority="518" stopIfTrue="1" operator="lessThan">
      <formula>-0.03</formula>
    </cfRule>
  </conditionalFormatting>
  <conditionalFormatting sqref="AI63">
    <cfRule type="cellIs" dxfId="1984" priority="515" operator="greaterThan">
      <formula>0.03</formula>
    </cfRule>
    <cfRule type="cellIs" dxfId="1983" priority="516" stopIfTrue="1" operator="lessThan">
      <formula>-0.03</formula>
    </cfRule>
  </conditionalFormatting>
  <conditionalFormatting sqref="AI63">
    <cfRule type="cellIs" dxfId="1982" priority="513" operator="greaterThan">
      <formula>0.03</formula>
    </cfRule>
    <cfRule type="cellIs" dxfId="1981" priority="514" stopIfTrue="1" operator="lessThan">
      <formula>-0.03</formula>
    </cfRule>
  </conditionalFormatting>
  <conditionalFormatting sqref="AI68">
    <cfRule type="cellIs" dxfId="1980" priority="511" operator="greaterThan">
      <formula>0.03</formula>
    </cfRule>
    <cfRule type="cellIs" dxfId="1979" priority="512" stopIfTrue="1" operator="lessThan">
      <formula>-0.03</formula>
    </cfRule>
  </conditionalFormatting>
  <conditionalFormatting sqref="AI68">
    <cfRule type="cellIs" dxfId="1978" priority="509" operator="greaterThan">
      <formula>0.03</formula>
    </cfRule>
    <cfRule type="cellIs" dxfId="1977" priority="510" stopIfTrue="1" operator="lessThan">
      <formula>-0.03</formula>
    </cfRule>
  </conditionalFormatting>
  <conditionalFormatting sqref="AI73">
    <cfRule type="cellIs" dxfId="1976" priority="507" operator="greaterThan">
      <formula>0.03</formula>
    </cfRule>
    <cfRule type="cellIs" dxfId="1975" priority="508" stopIfTrue="1" operator="lessThan">
      <formula>-0.03</formula>
    </cfRule>
  </conditionalFormatting>
  <conditionalFormatting sqref="AI73">
    <cfRule type="cellIs" dxfId="1974" priority="505" operator="greaterThan">
      <formula>0.03</formula>
    </cfRule>
    <cfRule type="cellIs" dxfId="1973" priority="506" stopIfTrue="1" operator="lessThan">
      <formula>-0.03</formula>
    </cfRule>
  </conditionalFormatting>
  <conditionalFormatting sqref="AI78">
    <cfRule type="cellIs" dxfId="1972" priority="503" operator="greaterThan">
      <formula>0.03</formula>
    </cfRule>
    <cfRule type="cellIs" dxfId="1971" priority="504" stopIfTrue="1" operator="lessThan">
      <formula>-0.03</formula>
    </cfRule>
  </conditionalFormatting>
  <conditionalFormatting sqref="AI78">
    <cfRule type="cellIs" dxfId="1970" priority="501" operator="greaterThan">
      <formula>0.03</formula>
    </cfRule>
    <cfRule type="cellIs" dxfId="1969" priority="502" stopIfTrue="1" operator="lessThan">
      <formula>-0.03</formula>
    </cfRule>
  </conditionalFormatting>
  <conditionalFormatting sqref="AI83">
    <cfRule type="cellIs" dxfId="1968" priority="499" operator="greaterThan">
      <formula>0.03</formula>
    </cfRule>
    <cfRule type="cellIs" dxfId="1967" priority="500" stopIfTrue="1" operator="lessThan">
      <formula>-0.03</formula>
    </cfRule>
  </conditionalFormatting>
  <conditionalFormatting sqref="AI83">
    <cfRule type="cellIs" dxfId="1966" priority="497" operator="greaterThan">
      <formula>0.03</formula>
    </cfRule>
    <cfRule type="cellIs" dxfId="1965" priority="498" stopIfTrue="1" operator="lessThan">
      <formula>-0.03</formula>
    </cfRule>
  </conditionalFormatting>
  <conditionalFormatting sqref="AI88">
    <cfRule type="cellIs" dxfId="1964" priority="495" operator="greaterThan">
      <formula>0.03</formula>
    </cfRule>
    <cfRule type="cellIs" dxfId="1963" priority="496" stopIfTrue="1" operator="lessThan">
      <formula>-0.03</formula>
    </cfRule>
  </conditionalFormatting>
  <conditionalFormatting sqref="AI88">
    <cfRule type="cellIs" dxfId="1962" priority="493" operator="greaterThan">
      <formula>0.03</formula>
    </cfRule>
    <cfRule type="cellIs" dxfId="1961" priority="494" stopIfTrue="1" operator="lessThan">
      <formula>-0.03</formula>
    </cfRule>
  </conditionalFormatting>
  <conditionalFormatting sqref="AI93">
    <cfRule type="cellIs" dxfId="1960" priority="491" operator="greaterThan">
      <formula>0.03</formula>
    </cfRule>
    <cfRule type="cellIs" dxfId="1959" priority="492" stopIfTrue="1" operator="lessThan">
      <formula>-0.03</formula>
    </cfRule>
  </conditionalFormatting>
  <conditionalFormatting sqref="AI93">
    <cfRule type="cellIs" dxfId="1958" priority="489" operator="greaterThan">
      <formula>0.03</formula>
    </cfRule>
    <cfRule type="cellIs" dxfId="1957" priority="490" stopIfTrue="1" operator="lessThan">
      <formula>-0.03</formula>
    </cfRule>
  </conditionalFormatting>
  <conditionalFormatting sqref="AI98">
    <cfRule type="cellIs" dxfId="1956" priority="487" operator="greaterThan">
      <formula>0.03</formula>
    </cfRule>
    <cfRule type="cellIs" dxfId="1955" priority="488" stopIfTrue="1" operator="lessThan">
      <formula>-0.03</formula>
    </cfRule>
  </conditionalFormatting>
  <conditionalFormatting sqref="AI98">
    <cfRule type="cellIs" dxfId="1954" priority="485" operator="greaterThan">
      <formula>0.03</formula>
    </cfRule>
    <cfRule type="cellIs" dxfId="1953" priority="486" stopIfTrue="1" operator="lessThan">
      <formula>-0.03</formula>
    </cfRule>
  </conditionalFormatting>
  <conditionalFormatting sqref="AI103">
    <cfRule type="cellIs" dxfId="1952" priority="483" operator="greaterThan">
      <formula>0.03</formula>
    </cfRule>
    <cfRule type="cellIs" dxfId="1951" priority="484" stopIfTrue="1" operator="lessThan">
      <formula>-0.03</formula>
    </cfRule>
  </conditionalFormatting>
  <conditionalFormatting sqref="AI103">
    <cfRule type="cellIs" dxfId="1950" priority="481" operator="greaterThan">
      <formula>0.03</formula>
    </cfRule>
    <cfRule type="cellIs" dxfId="1949" priority="482" stopIfTrue="1" operator="lessThan">
      <formula>-0.03</formula>
    </cfRule>
  </conditionalFormatting>
  <conditionalFormatting sqref="AI108">
    <cfRule type="cellIs" dxfId="1948" priority="479" operator="greaterThan">
      <formula>0.03</formula>
    </cfRule>
    <cfRule type="cellIs" dxfId="1947" priority="480" stopIfTrue="1" operator="lessThan">
      <formula>-0.03</formula>
    </cfRule>
  </conditionalFormatting>
  <conditionalFormatting sqref="AI108">
    <cfRule type="cellIs" dxfId="1946" priority="477" operator="greaterThan">
      <formula>0.03</formula>
    </cfRule>
    <cfRule type="cellIs" dxfId="1945" priority="478" stopIfTrue="1" operator="lessThan">
      <formula>-0.03</formula>
    </cfRule>
  </conditionalFormatting>
  <conditionalFormatting sqref="AI113">
    <cfRule type="cellIs" dxfId="1944" priority="475" operator="greaterThan">
      <formula>0.03</formula>
    </cfRule>
    <cfRule type="cellIs" dxfId="1943" priority="476" stopIfTrue="1" operator="lessThan">
      <formula>-0.03</formula>
    </cfRule>
  </conditionalFormatting>
  <conditionalFormatting sqref="AI113">
    <cfRule type="cellIs" dxfId="1942" priority="473" operator="greaterThan">
      <formula>0.03</formula>
    </cfRule>
    <cfRule type="cellIs" dxfId="1941" priority="474" stopIfTrue="1" operator="lessThan">
      <formula>-0.03</formula>
    </cfRule>
  </conditionalFormatting>
  <conditionalFormatting sqref="AI118">
    <cfRule type="cellIs" dxfId="1940" priority="471" operator="greaterThan">
      <formula>0.03</formula>
    </cfRule>
    <cfRule type="cellIs" dxfId="1939" priority="472" stopIfTrue="1" operator="lessThan">
      <formula>-0.03</formula>
    </cfRule>
  </conditionalFormatting>
  <conditionalFormatting sqref="AI118">
    <cfRule type="cellIs" dxfId="1938" priority="469" operator="greaterThan">
      <formula>0.03</formula>
    </cfRule>
    <cfRule type="cellIs" dxfId="1937" priority="470" stopIfTrue="1" operator="lessThan">
      <formula>-0.03</formula>
    </cfRule>
  </conditionalFormatting>
  <conditionalFormatting sqref="AI123">
    <cfRule type="cellIs" dxfId="1936" priority="467" operator="greaterThan">
      <formula>0.03</formula>
    </cfRule>
    <cfRule type="cellIs" dxfId="1935" priority="468" stopIfTrue="1" operator="lessThan">
      <formula>-0.03</formula>
    </cfRule>
  </conditionalFormatting>
  <conditionalFormatting sqref="AI123">
    <cfRule type="cellIs" dxfId="1934" priority="465" operator="greaterThan">
      <formula>0.03</formula>
    </cfRule>
    <cfRule type="cellIs" dxfId="1933" priority="466" stopIfTrue="1" operator="lessThan">
      <formula>-0.03</formula>
    </cfRule>
  </conditionalFormatting>
  <conditionalFormatting sqref="AI128">
    <cfRule type="cellIs" dxfId="1932" priority="463" operator="greaterThan">
      <formula>0.03</formula>
    </cfRule>
    <cfRule type="cellIs" dxfId="1931" priority="464" stopIfTrue="1" operator="lessThan">
      <formula>-0.03</formula>
    </cfRule>
  </conditionalFormatting>
  <conditionalFormatting sqref="AI128">
    <cfRule type="cellIs" dxfId="1930" priority="461" operator="greaterThan">
      <formula>0.03</formula>
    </cfRule>
    <cfRule type="cellIs" dxfId="1929" priority="462" stopIfTrue="1" operator="lessThan">
      <formula>-0.03</formula>
    </cfRule>
  </conditionalFormatting>
  <conditionalFormatting sqref="AO9">
    <cfRule type="cellIs" dxfId="1928" priority="459" operator="greaterThan">
      <formula>0.03</formula>
    </cfRule>
    <cfRule type="cellIs" dxfId="1927" priority="460" stopIfTrue="1" operator="lessThan">
      <formula>-0.03</formula>
    </cfRule>
  </conditionalFormatting>
  <conditionalFormatting sqref="AO14">
    <cfRule type="cellIs" dxfId="1926" priority="457" operator="greaterThan">
      <formula>0.03</formula>
    </cfRule>
    <cfRule type="cellIs" dxfId="1925" priority="458" stopIfTrue="1" operator="lessThan">
      <formula>-0.03</formula>
    </cfRule>
  </conditionalFormatting>
  <conditionalFormatting sqref="AO19">
    <cfRule type="cellIs" dxfId="1924" priority="455" operator="greaterThan">
      <formula>0.03</formula>
    </cfRule>
    <cfRule type="cellIs" dxfId="1923" priority="456" stopIfTrue="1" operator="lessThan">
      <formula>-0.03</formula>
    </cfRule>
  </conditionalFormatting>
  <conditionalFormatting sqref="AO24">
    <cfRule type="cellIs" dxfId="1922" priority="453" operator="greaterThan">
      <formula>0.03</formula>
    </cfRule>
    <cfRule type="cellIs" dxfId="1921" priority="454" stopIfTrue="1" operator="lessThan">
      <formula>-0.03</formula>
    </cfRule>
  </conditionalFormatting>
  <conditionalFormatting sqref="AO29">
    <cfRule type="cellIs" dxfId="1920" priority="451" operator="greaterThan">
      <formula>0.03</formula>
    </cfRule>
    <cfRule type="cellIs" dxfId="1919" priority="452" stopIfTrue="1" operator="lessThan">
      <formula>-0.03</formula>
    </cfRule>
  </conditionalFormatting>
  <conditionalFormatting sqref="AO34">
    <cfRule type="cellIs" dxfId="1918" priority="449" operator="greaterThan">
      <formula>0.03</formula>
    </cfRule>
    <cfRule type="cellIs" dxfId="1917" priority="450" stopIfTrue="1" operator="lessThan">
      <formula>-0.03</formula>
    </cfRule>
  </conditionalFormatting>
  <conditionalFormatting sqref="AO39">
    <cfRule type="cellIs" dxfId="1916" priority="447" operator="greaterThan">
      <formula>0.03</formula>
    </cfRule>
    <cfRule type="cellIs" dxfId="1915" priority="448" stopIfTrue="1" operator="lessThan">
      <formula>-0.03</formula>
    </cfRule>
  </conditionalFormatting>
  <conditionalFormatting sqref="AO44">
    <cfRule type="cellIs" dxfId="1914" priority="445" operator="greaterThan">
      <formula>0.03</formula>
    </cfRule>
    <cfRule type="cellIs" dxfId="1913" priority="446" stopIfTrue="1" operator="lessThan">
      <formula>-0.03</formula>
    </cfRule>
  </conditionalFormatting>
  <conditionalFormatting sqref="AO49">
    <cfRule type="cellIs" dxfId="1912" priority="443" operator="greaterThan">
      <formula>0.03</formula>
    </cfRule>
    <cfRule type="cellIs" dxfId="1911" priority="444" stopIfTrue="1" operator="lessThan">
      <formula>-0.03</formula>
    </cfRule>
  </conditionalFormatting>
  <conditionalFormatting sqref="AO54">
    <cfRule type="cellIs" dxfId="1910" priority="441" operator="greaterThan">
      <formula>0.03</formula>
    </cfRule>
    <cfRule type="cellIs" dxfId="1909" priority="442" stopIfTrue="1" operator="lessThan">
      <formula>-0.03</formula>
    </cfRule>
  </conditionalFormatting>
  <conditionalFormatting sqref="AO59">
    <cfRule type="cellIs" dxfId="1908" priority="439" operator="greaterThan">
      <formula>0.03</formula>
    </cfRule>
    <cfRule type="cellIs" dxfId="1907" priority="440" stopIfTrue="1" operator="lessThan">
      <formula>-0.03</formula>
    </cfRule>
  </conditionalFormatting>
  <conditionalFormatting sqref="AO64">
    <cfRule type="cellIs" dxfId="1906" priority="437" operator="greaterThan">
      <formula>0.03</formula>
    </cfRule>
    <cfRule type="cellIs" dxfId="1905" priority="438" stopIfTrue="1" operator="lessThan">
      <formula>-0.03</formula>
    </cfRule>
  </conditionalFormatting>
  <conditionalFormatting sqref="AO69">
    <cfRule type="cellIs" dxfId="1904" priority="435" operator="greaterThan">
      <formula>0.03</formula>
    </cfRule>
    <cfRule type="cellIs" dxfId="1903" priority="436" stopIfTrue="1" operator="lessThan">
      <formula>-0.03</formula>
    </cfRule>
  </conditionalFormatting>
  <conditionalFormatting sqref="AO74">
    <cfRule type="cellIs" dxfId="1902" priority="433" operator="greaterThan">
      <formula>0.03</formula>
    </cfRule>
    <cfRule type="cellIs" dxfId="1901" priority="434" stopIfTrue="1" operator="lessThan">
      <formula>-0.03</formula>
    </cfRule>
  </conditionalFormatting>
  <conditionalFormatting sqref="AO79">
    <cfRule type="cellIs" dxfId="1900" priority="431" operator="greaterThan">
      <formula>0.03</formula>
    </cfRule>
    <cfRule type="cellIs" dxfId="1899" priority="432" stopIfTrue="1" operator="lessThan">
      <formula>-0.03</formula>
    </cfRule>
  </conditionalFormatting>
  <conditionalFormatting sqref="AO84">
    <cfRule type="cellIs" dxfId="1898" priority="429" operator="greaterThan">
      <formula>0.03</formula>
    </cfRule>
    <cfRule type="cellIs" dxfId="1897" priority="430" stopIfTrue="1" operator="lessThan">
      <formula>-0.03</formula>
    </cfRule>
  </conditionalFormatting>
  <conditionalFormatting sqref="AO89">
    <cfRule type="cellIs" dxfId="1896" priority="427" operator="greaterThan">
      <formula>0.03</formula>
    </cfRule>
    <cfRule type="cellIs" dxfId="1895" priority="428" stopIfTrue="1" operator="lessThan">
      <formula>-0.03</formula>
    </cfRule>
  </conditionalFormatting>
  <conditionalFormatting sqref="AO94">
    <cfRule type="cellIs" dxfId="1894" priority="425" operator="greaterThan">
      <formula>0.03</formula>
    </cfRule>
    <cfRule type="cellIs" dxfId="1893" priority="426" stopIfTrue="1" operator="lessThan">
      <formula>-0.03</formula>
    </cfRule>
  </conditionalFormatting>
  <conditionalFormatting sqref="AO99">
    <cfRule type="cellIs" dxfId="1892" priority="423" operator="greaterThan">
      <formula>0.03</formula>
    </cfRule>
    <cfRule type="cellIs" dxfId="1891" priority="424" stopIfTrue="1" operator="lessThan">
      <formula>-0.03</formula>
    </cfRule>
  </conditionalFormatting>
  <conditionalFormatting sqref="AO104">
    <cfRule type="cellIs" dxfId="1890" priority="421" operator="greaterThan">
      <formula>0.03</formula>
    </cfRule>
    <cfRule type="cellIs" dxfId="1889" priority="422" stopIfTrue="1" operator="lessThan">
      <formula>-0.03</formula>
    </cfRule>
  </conditionalFormatting>
  <conditionalFormatting sqref="AO109">
    <cfRule type="cellIs" dxfId="1888" priority="419" operator="greaterThan">
      <formula>0.03</formula>
    </cfRule>
    <cfRule type="cellIs" dxfId="1887" priority="420" stopIfTrue="1" operator="lessThan">
      <formula>-0.03</formula>
    </cfRule>
  </conditionalFormatting>
  <conditionalFormatting sqref="AO114">
    <cfRule type="cellIs" dxfId="1886" priority="417" operator="greaterThan">
      <formula>0.03</formula>
    </cfRule>
    <cfRule type="cellIs" dxfId="1885" priority="418" stopIfTrue="1" operator="lessThan">
      <formula>-0.03</formula>
    </cfRule>
  </conditionalFormatting>
  <conditionalFormatting sqref="AO119">
    <cfRule type="cellIs" dxfId="1884" priority="415" operator="greaterThan">
      <formula>0.03</formula>
    </cfRule>
    <cfRule type="cellIs" dxfId="1883" priority="416" stopIfTrue="1" operator="lessThan">
      <formula>-0.03</formula>
    </cfRule>
  </conditionalFormatting>
  <conditionalFormatting sqref="AO124">
    <cfRule type="cellIs" dxfId="1882" priority="413" operator="greaterThan">
      <formula>0.03</formula>
    </cfRule>
    <cfRule type="cellIs" dxfId="1881" priority="414" stopIfTrue="1" operator="lessThan">
      <formula>-0.03</formula>
    </cfRule>
  </conditionalFormatting>
  <conditionalFormatting sqref="AO129">
    <cfRule type="cellIs" dxfId="1880" priority="411" operator="greaterThan">
      <formula>0.03</formula>
    </cfRule>
    <cfRule type="cellIs" dxfId="1879" priority="412" stopIfTrue="1" operator="lessThan">
      <formula>-0.03</formula>
    </cfRule>
  </conditionalFormatting>
  <conditionalFormatting sqref="AU8">
    <cfRule type="cellIs" dxfId="1878" priority="409" operator="greaterThan">
      <formula>0.03</formula>
    </cfRule>
    <cfRule type="cellIs" dxfId="1877" priority="410" stopIfTrue="1" operator="lessThan">
      <formula>-0.03</formula>
    </cfRule>
  </conditionalFormatting>
  <conditionalFormatting sqref="AU13">
    <cfRule type="cellIs" dxfId="1876" priority="407" operator="greaterThan">
      <formula>0.03</formula>
    </cfRule>
    <cfRule type="cellIs" dxfId="1875" priority="408" stopIfTrue="1" operator="lessThan">
      <formula>-0.03</formula>
    </cfRule>
  </conditionalFormatting>
  <conditionalFormatting sqref="AU18">
    <cfRule type="cellIs" dxfId="1874" priority="405" operator="greaterThan">
      <formula>0.03</formula>
    </cfRule>
    <cfRule type="cellIs" dxfId="1873" priority="406" stopIfTrue="1" operator="lessThan">
      <formula>-0.03</formula>
    </cfRule>
  </conditionalFormatting>
  <conditionalFormatting sqref="AU23">
    <cfRule type="cellIs" dxfId="1872" priority="403" operator="greaterThan">
      <formula>0.03</formula>
    </cfRule>
    <cfRule type="cellIs" dxfId="1871" priority="404" stopIfTrue="1" operator="lessThan">
      <formula>-0.03</formula>
    </cfRule>
  </conditionalFormatting>
  <conditionalFormatting sqref="AU28">
    <cfRule type="cellIs" dxfId="1870" priority="401" operator="greaterThan">
      <formula>0.03</formula>
    </cfRule>
    <cfRule type="cellIs" dxfId="1869" priority="402" stopIfTrue="1" operator="lessThan">
      <formula>-0.03</formula>
    </cfRule>
  </conditionalFormatting>
  <conditionalFormatting sqref="AU33">
    <cfRule type="cellIs" dxfId="1868" priority="399" operator="greaterThan">
      <formula>0.03</formula>
    </cfRule>
    <cfRule type="cellIs" dxfId="1867" priority="400" stopIfTrue="1" operator="lessThan">
      <formula>-0.03</formula>
    </cfRule>
  </conditionalFormatting>
  <conditionalFormatting sqref="AU38">
    <cfRule type="cellIs" dxfId="1866" priority="397" operator="greaterThan">
      <formula>0.03</formula>
    </cfRule>
    <cfRule type="cellIs" dxfId="1865" priority="398" stopIfTrue="1" operator="lessThan">
      <formula>-0.03</formula>
    </cfRule>
  </conditionalFormatting>
  <conditionalFormatting sqref="AU43">
    <cfRule type="cellIs" dxfId="1864" priority="395" operator="greaterThan">
      <formula>0.03</formula>
    </cfRule>
    <cfRule type="cellIs" dxfId="1863" priority="396" stopIfTrue="1" operator="lessThan">
      <formula>-0.03</formula>
    </cfRule>
  </conditionalFormatting>
  <conditionalFormatting sqref="AU48">
    <cfRule type="cellIs" dxfId="1862" priority="393" operator="greaterThan">
      <formula>0.03</formula>
    </cfRule>
    <cfRule type="cellIs" dxfId="1861" priority="394" stopIfTrue="1" operator="lessThan">
      <formula>-0.03</formula>
    </cfRule>
  </conditionalFormatting>
  <conditionalFormatting sqref="AU53">
    <cfRule type="cellIs" dxfId="1860" priority="391" operator="greaterThan">
      <formula>0.03</formula>
    </cfRule>
    <cfRule type="cellIs" dxfId="1859" priority="392" stopIfTrue="1" operator="lessThan">
      <formula>-0.03</formula>
    </cfRule>
  </conditionalFormatting>
  <conditionalFormatting sqref="AU58">
    <cfRule type="cellIs" dxfId="1858" priority="389" operator="greaterThan">
      <formula>0.03</formula>
    </cfRule>
    <cfRule type="cellIs" dxfId="1857" priority="390" stopIfTrue="1" operator="lessThan">
      <formula>-0.03</formula>
    </cfRule>
  </conditionalFormatting>
  <conditionalFormatting sqref="AU63">
    <cfRule type="cellIs" dxfId="1856" priority="387" operator="greaterThan">
      <formula>0.03</formula>
    </cfRule>
    <cfRule type="cellIs" dxfId="1855" priority="388" stopIfTrue="1" operator="lessThan">
      <formula>-0.03</formula>
    </cfRule>
  </conditionalFormatting>
  <conditionalFormatting sqref="AU68">
    <cfRule type="cellIs" dxfId="1854" priority="385" operator="greaterThan">
      <formula>0.03</formula>
    </cfRule>
    <cfRule type="cellIs" dxfId="1853" priority="386" stopIfTrue="1" operator="lessThan">
      <formula>-0.03</formula>
    </cfRule>
  </conditionalFormatting>
  <conditionalFormatting sqref="AU73">
    <cfRule type="cellIs" dxfId="1852" priority="383" operator="greaterThan">
      <formula>0.03</formula>
    </cfRule>
    <cfRule type="cellIs" dxfId="1851" priority="384" stopIfTrue="1" operator="lessThan">
      <formula>-0.03</formula>
    </cfRule>
  </conditionalFormatting>
  <conditionalFormatting sqref="AU78">
    <cfRule type="cellIs" dxfId="1850" priority="381" operator="greaterThan">
      <formula>0.03</formula>
    </cfRule>
    <cfRule type="cellIs" dxfId="1849" priority="382" stopIfTrue="1" operator="lessThan">
      <formula>-0.03</formula>
    </cfRule>
  </conditionalFormatting>
  <conditionalFormatting sqref="AU83">
    <cfRule type="cellIs" dxfId="1848" priority="379" operator="greaterThan">
      <formula>0.03</formula>
    </cfRule>
    <cfRule type="cellIs" dxfId="1847" priority="380" stopIfTrue="1" operator="lessThan">
      <formula>-0.03</formula>
    </cfRule>
  </conditionalFormatting>
  <conditionalFormatting sqref="AU88">
    <cfRule type="cellIs" dxfId="1846" priority="377" operator="greaterThan">
      <formula>0.03</formula>
    </cfRule>
    <cfRule type="cellIs" dxfId="1845" priority="378" stopIfTrue="1" operator="lessThan">
      <formula>-0.03</formula>
    </cfRule>
  </conditionalFormatting>
  <conditionalFormatting sqref="AU93">
    <cfRule type="cellIs" dxfId="1844" priority="375" operator="greaterThan">
      <formula>0.03</formula>
    </cfRule>
    <cfRule type="cellIs" dxfId="1843" priority="376" stopIfTrue="1" operator="lessThan">
      <formula>-0.03</formula>
    </cfRule>
  </conditionalFormatting>
  <conditionalFormatting sqref="AU98">
    <cfRule type="cellIs" dxfId="1842" priority="373" operator="greaterThan">
      <formula>0.03</formula>
    </cfRule>
    <cfRule type="cellIs" dxfId="1841" priority="374" stopIfTrue="1" operator="lessThan">
      <formula>-0.03</formula>
    </cfRule>
  </conditionalFormatting>
  <conditionalFormatting sqref="AU103">
    <cfRule type="cellIs" dxfId="1840" priority="371" operator="greaterThan">
      <formula>0.03</formula>
    </cfRule>
    <cfRule type="cellIs" dxfId="1839" priority="372" stopIfTrue="1" operator="lessThan">
      <formula>-0.03</formula>
    </cfRule>
  </conditionalFormatting>
  <conditionalFormatting sqref="AU108">
    <cfRule type="cellIs" dxfId="1838" priority="369" operator="greaterThan">
      <formula>0.03</formula>
    </cfRule>
    <cfRule type="cellIs" dxfId="1837" priority="370" stopIfTrue="1" operator="lessThan">
      <formula>-0.03</formula>
    </cfRule>
  </conditionalFormatting>
  <conditionalFormatting sqref="AU113">
    <cfRule type="cellIs" dxfId="1836" priority="367" operator="greaterThan">
      <formula>0.03</formula>
    </cfRule>
    <cfRule type="cellIs" dxfId="1835" priority="368" stopIfTrue="1" operator="lessThan">
      <formula>-0.03</formula>
    </cfRule>
  </conditionalFormatting>
  <conditionalFormatting sqref="AU118">
    <cfRule type="cellIs" dxfId="1834" priority="365" operator="greaterThan">
      <formula>0.03</formula>
    </cfRule>
    <cfRule type="cellIs" dxfId="1833" priority="366" stopIfTrue="1" operator="lessThan">
      <formula>-0.03</formula>
    </cfRule>
  </conditionalFormatting>
  <conditionalFormatting sqref="AU123">
    <cfRule type="cellIs" dxfId="1832" priority="363" operator="greaterThan">
      <formula>0.03</formula>
    </cfRule>
    <cfRule type="cellIs" dxfId="1831" priority="364" stopIfTrue="1" operator="lessThan">
      <formula>-0.03</formula>
    </cfRule>
  </conditionalFormatting>
  <conditionalFormatting sqref="AU128">
    <cfRule type="cellIs" dxfId="1830" priority="361" operator="greaterThan">
      <formula>0.03</formula>
    </cfRule>
    <cfRule type="cellIs" dxfId="1829" priority="362" stopIfTrue="1" operator="lessThan">
      <formula>-0.03</formula>
    </cfRule>
  </conditionalFormatting>
  <conditionalFormatting sqref="AG73">
    <cfRule type="cellIs" dxfId="1828" priority="359" operator="equal">
      <formula>0</formula>
    </cfRule>
    <cfRule type="cellIs" dxfId="1827" priority="360" operator="equal">
      <formula>0</formula>
    </cfRule>
  </conditionalFormatting>
  <conditionalFormatting sqref="AP9">
    <cfRule type="cellIs" dxfId="1826" priority="357" operator="greaterThan">
      <formula>0.03</formula>
    </cfRule>
    <cfRule type="cellIs" dxfId="1825" priority="358" stopIfTrue="1" operator="lessThan">
      <formula>-0.03</formula>
    </cfRule>
  </conditionalFormatting>
  <conditionalFormatting sqref="AP14">
    <cfRule type="cellIs" dxfId="1824" priority="355" operator="greaterThan">
      <formula>0.03</formula>
    </cfRule>
    <cfRule type="cellIs" dxfId="1823" priority="356" stopIfTrue="1" operator="lessThan">
      <formula>-0.03</formula>
    </cfRule>
  </conditionalFormatting>
  <conditionalFormatting sqref="AP19">
    <cfRule type="cellIs" dxfId="1822" priority="353" operator="greaterThan">
      <formula>0.03</formula>
    </cfRule>
    <cfRule type="cellIs" dxfId="1821" priority="354" stopIfTrue="1" operator="lessThan">
      <formula>-0.03</formula>
    </cfRule>
  </conditionalFormatting>
  <conditionalFormatting sqref="AP24">
    <cfRule type="cellIs" dxfId="1820" priority="351" operator="greaterThan">
      <formula>0.03</formula>
    </cfRule>
    <cfRule type="cellIs" dxfId="1819" priority="352" stopIfTrue="1" operator="lessThan">
      <formula>-0.03</formula>
    </cfRule>
  </conditionalFormatting>
  <conditionalFormatting sqref="AP29">
    <cfRule type="cellIs" dxfId="1818" priority="349" operator="greaterThan">
      <formula>0.03</formula>
    </cfRule>
    <cfRule type="cellIs" dxfId="1817" priority="350" stopIfTrue="1" operator="lessThan">
      <formula>-0.03</formula>
    </cfRule>
  </conditionalFormatting>
  <conditionalFormatting sqref="AP34">
    <cfRule type="cellIs" dxfId="1816" priority="347" operator="greaterThan">
      <formula>0.03</formula>
    </cfRule>
    <cfRule type="cellIs" dxfId="1815" priority="348" stopIfTrue="1" operator="lessThan">
      <formula>-0.03</formula>
    </cfRule>
  </conditionalFormatting>
  <conditionalFormatting sqref="AP39">
    <cfRule type="cellIs" dxfId="1814" priority="345" operator="greaterThan">
      <formula>0.03</formula>
    </cfRule>
    <cfRule type="cellIs" dxfId="1813" priority="346" stopIfTrue="1" operator="lessThan">
      <formula>-0.03</formula>
    </cfRule>
  </conditionalFormatting>
  <conditionalFormatting sqref="AP44">
    <cfRule type="cellIs" dxfId="1812" priority="343" operator="greaterThan">
      <formula>0.03</formula>
    </cfRule>
    <cfRule type="cellIs" dxfId="1811" priority="344" stopIfTrue="1" operator="lessThan">
      <formula>-0.03</formula>
    </cfRule>
  </conditionalFormatting>
  <conditionalFormatting sqref="AP49">
    <cfRule type="cellIs" dxfId="1810" priority="341" operator="greaterThan">
      <formula>0.03</formula>
    </cfRule>
    <cfRule type="cellIs" dxfId="1809" priority="342" stopIfTrue="1" operator="lessThan">
      <formula>-0.03</formula>
    </cfRule>
  </conditionalFormatting>
  <conditionalFormatting sqref="AP54">
    <cfRule type="cellIs" dxfId="1808" priority="339" operator="greaterThan">
      <formula>0.03</formula>
    </cfRule>
    <cfRule type="cellIs" dxfId="1807" priority="340" stopIfTrue="1" operator="lessThan">
      <formula>-0.03</formula>
    </cfRule>
  </conditionalFormatting>
  <conditionalFormatting sqref="AP59">
    <cfRule type="cellIs" dxfId="1806" priority="337" operator="greaterThan">
      <formula>0.03</formula>
    </cfRule>
    <cfRule type="cellIs" dxfId="1805" priority="338" stopIfTrue="1" operator="lessThan">
      <formula>-0.03</formula>
    </cfRule>
  </conditionalFormatting>
  <conditionalFormatting sqref="AP64">
    <cfRule type="cellIs" dxfId="1804" priority="335" operator="greaterThan">
      <formula>0.03</formula>
    </cfRule>
    <cfRule type="cellIs" dxfId="1803" priority="336" stopIfTrue="1" operator="lessThan">
      <formula>-0.03</formula>
    </cfRule>
  </conditionalFormatting>
  <conditionalFormatting sqref="AP69">
    <cfRule type="cellIs" dxfId="1802" priority="333" operator="greaterThan">
      <formula>0.03</formula>
    </cfRule>
    <cfRule type="cellIs" dxfId="1801" priority="334" stopIfTrue="1" operator="lessThan">
      <formula>-0.03</formula>
    </cfRule>
  </conditionalFormatting>
  <conditionalFormatting sqref="AP74">
    <cfRule type="cellIs" dxfId="1800" priority="331" operator="greaterThan">
      <formula>0.03</formula>
    </cfRule>
    <cfRule type="cellIs" dxfId="1799" priority="332" stopIfTrue="1" operator="lessThan">
      <formula>-0.03</formula>
    </cfRule>
  </conditionalFormatting>
  <conditionalFormatting sqref="AP79">
    <cfRule type="cellIs" dxfId="1798" priority="329" operator="greaterThan">
      <formula>0.03</formula>
    </cfRule>
    <cfRule type="cellIs" dxfId="1797" priority="330" stopIfTrue="1" operator="lessThan">
      <formula>-0.03</formula>
    </cfRule>
  </conditionalFormatting>
  <conditionalFormatting sqref="AP84">
    <cfRule type="cellIs" dxfId="1796" priority="327" operator="greaterThan">
      <formula>0.03</formula>
    </cfRule>
    <cfRule type="cellIs" dxfId="1795" priority="328" stopIfTrue="1" operator="lessThan">
      <formula>-0.03</formula>
    </cfRule>
  </conditionalFormatting>
  <conditionalFormatting sqref="AP89">
    <cfRule type="cellIs" dxfId="1794" priority="325" operator="greaterThan">
      <formula>0.03</formula>
    </cfRule>
    <cfRule type="cellIs" dxfId="1793" priority="326" stopIfTrue="1" operator="lessThan">
      <formula>-0.03</formula>
    </cfRule>
  </conditionalFormatting>
  <conditionalFormatting sqref="AP94">
    <cfRule type="cellIs" dxfId="1792" priority="323" operator="greaterThan">
      <formula>0.03</formula>
    </cfRule>
    <cfRule type="cellIs" dxfId="1791" priority="324" stopIfTrue="1" operator="lessThan">
      <formula>-0.03</formula>
    </cfRule>
  </conditionalFormatting>
  <conditionalFormatting sqref="AP99">
    <cfRule type="cellIs" dxfId="1790" priority="321" operator="greaterThan">
      <formula>0.03</formula>
    </cfRule>
    <cfRule type="cellIs" dxfId="1789" priority="322" stopIfTrue="1" operator="lessThan">
      <formula>-0.03</formula>
    </cfRule>
  </conditionalFormatting>
  <conditionalFormatting sqref="AP104">
    <cfRule type="cellIs" dxfId="1788" priority="319" operator="greaterThan">
      <formula>0.03</formula>
    </cfRule>
    <cfRule type="cellIs" dxfId="1787" priority="320" stopIfTrue="1" operator="lessThan">
      <formula>-0.03</formula>
    </cfRule>
  </conditionalFormatting>
  <conditionalFormatting sqref="AP109">
    <cfRule type="cellIs" dxfId="1786" priority="317" operator="greaterThan">
      <formula>0.03</formula>
    </cfRule>
    <cfRule type="cellIs" dxfId="1785" priority="318" stopIfTrue="1" operator="lessThan">
      <formula>-0.03</formula>
    </cfRule>
  </conditionalFormatting>
  <conditionalFormatting sqref="AP114">
    <cfRule type="cellIs" dxfId="1784" priority="315" operator="greaterThan">
      <formula>0.03</formula>
    </cfRule>
    <cfRule type="cellIs" dxfId="1783" priority="316" stopIfTrue="1" operator="lessThan">
      <formula>-0.03</formula>
    </cfRule>
  </conditionalFormatting>
  <conditionalFormatting sqref="AP119">
    <cfRule type="cellIs" dxfId="1782" priority="313" operator="greaterThan">
      <formula>0.03</formula>
    </cfRule>
    <cfRule type="cellIs" dxfId="1781" priority="314" stopIfTrue="1" operator="lessThan">
      <formula>-0.03</formula>
    </cfRule>
  </conditionalFormatting>
  <conditionalFormatting sqref="AP124">
    <cfRule type="cellIs" dxfId="1780" priority="311" operator="greaterThan">
      <formula>0.03</formula>
    </cfRule>
    <cfRule type="cellIs" dxfId="1779" priority="312" stopIfTrue="1" operator="lessThan">
      <formula>-0.03</formula>
    </cfRule>
  </conditionalFormatting>
  <conditionalFormatting sqref="AP129">
    <cfRule type="cellIs" dxfId="1778" priority="309" operator="greaterThan">
      <formula>0.03</formula>
    </cfRule>
    <cfRule type="cellIs" dxfId="1777" priority="310" stopIfTrue="1" operator="lessThan">
      <formula>-0.03</formula>
    </cfRule>
  </conditionalFormatting>
  <conditionalFormatting sqref="AI8:AK8">
    <cfRule type="cellIs" dxfId="1776" priority="307" operator="greaterThan">
      <formula>0.03</formula>
    </cfRule>
    <cfRule type="cellIs" dxfId="1775" priority="308" stopIfTrue="1" operator="lessThan">
      <formula>-0.03</formula>
    </cfRule>
  </conditionalFormatting>
  <conditionalFormatting sqref="AF8:AH8">
    <cfRule type="cellIs" dxfId="1774" priority="305" operator="greaterThan">
      <formula>0.03</formula>
    </cfRule>
    <cfRule type="cellIs" dxfId="1773" priority="306" stopIfTrue="1" operator="lessThan">
      <formula>-0.03</formula>
    </cfRule>
  </conditionalFormatting>
  <conditionalFormatting sqref="AI13:AK13">
    <cfRule type="cellIs" dxfId="1772" priority="303" operator="greaterThan">
      <formula>0.03</formula>
    </cfRule>
    <cfRule type="cellIs" dxfId="1771" priority="304" stopIfTrue="1" operator="lessThan">
      <formula>-0.03</formula>
    </cfRule>
  </conditionalFormatting>
  <conditionalFormatting sqref="AF13:AH13">
    <cfRule type="cellIs" dxfId="1770" priority="301" operator="greaterThan">
      <formula>0.03</formula>
    </cfRule>
    <cfRule type="cellIs" dxfId="1769" priority="302" stopIfTrue="1" operator="lessThan">
      <formula>-0.03</formula>
    </cfRule>
  </conditionalFormatting>
  <conditionalFormatting sqref="AI18:AK18">
    <cfRule type="cellIs" dxfId="1768" priority="299" operator="greaterThan">
      <formula>0.03</formula>
    </cfRule>
    <cfRule type="cellIs" dxfId="1767" priority="300" stopIfTrue="1" operator="lessThan">
      <formula>-0.03</formula>
    </cfRule>
  </conditionalFormatting>
  <conditionalFormatting sqref="AF18:AH18">
    <cfRule type="cellIs" dxfId="1766" priority="297" operator="greaterThan">
      <formula>0.03</formula>
    </cfRule>
    <cfRule type="cellIs" dxfId="1765" priority="298" stopIfTrue="1" operator="lessThan">
      <formula>-0.03</formula>
    </cfRule>
  </conditionalFormatting>
  <conditionalFormatting sqref="AI23:AK23">
    <cfRule type="cellIs" dxfId="1764" priority="295" operator="greaterThan">
      <formula>0.03</formula>
    </cfRule>
    <cfRule type="cellIs" dxfId="1763" priority="296" stopIfTrue="1" operator="lessThan">
      <formula>-0.03</formula>
    </cfRule>
  </conditionalFormatting>
  <conditionalFormatting sqref="AF23:AH23">
    <cfRule type="cellIs" dxfId="1762" priority="293" operator="greaterThan">
      <formula>0.03</formula>
    </cfRule>
    <cfRule type="cellIs" dxfId="1761" priority="294" stopIfTrue="1" operator="lessThan">
      <formula>-0.03</formula>
    </cfRule>
  </conditionalFormatting>
  <conditionalFormatting sqref="AI28:AK28">
    <cfRule type="cellIs" dxfId="1760" priority="291" operator="greaterThan">
      <formula>0.03</formula>
    </cfRule>
    <cfRule type="cellIs" dxfId="1759" priority="292" stopIfTrue="1" operator="lessThan">
      <formula>-0.03</formula>
    </cfRule>
  </conditionalFormatting>
  <conditionalFormatting sqref="AF28:AH28">
    <cfRule type="cellIs" dxfId="1758" priority="289" operator="greaterThan">
      <formula>0.03</formula>
    </cfRule>
    <cfRule type="cellIs" dxfId="1757" priority="290" stopIfTrue="1" operator="lessThan">
      <formula>-0.03</formula>
    </cfRule>
  </conditionalFormatting>
  <conditionalFormatting sqref="AI33:AK33">
    <cfRule type="cellIs" dxfId="1756" priority="287" operator="greaterThan">
      <formula>0.03</formula>
    </cfRule>
    <cfRule type="cellIs" dxfId="1755" priority="288" stopIfTrue="1" operator="lessThan">
      <formula>-0.03</formula>
    </cfRule>
  </conditionalFormatting>
  <conditionalFormatting sqref="AF33:AH33">
    <cfRule type="cellIs" dxfId="1754" priority="285" operator="greaterThan">
      <formula>0.03</formula>
    </cfRule>
    <cfRule type="cellIs" dxfId="1753" priority="286" stopIfTrue="1" operator="lessThan">
      <formula>-0.03</formula>
    </cfRule>
  </conditionalFormatting>
  <conditionalFormatting sqref="AI38:AK38">
    <cfRule type="cellIs" dxfId="1752" priority="283" operator="greaterThan">
      <formula>0.03</formula>
    </cfRule>
    <cfRule type="cellIs" dxfId="1751" priority="284" stopIfTrue="1" operator="lessThan">
      <formula>-0.03</formula>
    </cfRule>
  </conditionalFormatting>
  <conditionalFormatting sqref="AF38:AH38">
    <cfRule type="cellIs" dxfId="1750" priority="281" operator="greaterThan">
      <formula>0.03</formula>
    </cfRule>
    <cfRule type="cellIs" dxfId="1749" priority="282" stopIfTrue="1" operator="lessThan">
      <formula>-0.03</formula>
    </cfRule>
  </conditionalFormatting>
  <conditionalFormatting sqref="AI43:AK43">
    <cfRule type="cellIs" dxfId="1748" priority="279" operator="greaterThan">
      <formula>0.03</formula>
    </cfRule>
    <cfRule type="cellIs" dxfId="1747" priority="280" stopIfTrue="1" operator="lessThan">
      <formula>-0.03</formula>
    </cfRule>
  </conditionalFormatting>
  <conditionalFormatting sqref="AF43:AH43">
    <cfRule type="cellIs" dxfId="1746" priority="277" operator="greaterThan">
      <formula>0.03</formula>
    </cfRule>
    <cfRule type="cellIs" dxfId="1745" priority="278" stopIfTrue="1" operator="lessThan">
      <formula>-0.03</formula>
    </cfRule>
  </conditionalFormatting>
  <conditionalFormatting sqref="AI48:AK48">
    <cfRule type="cellIs" dxfId="1744" priority="275" operator="greaterThan">
      <formula>0.03</formula>
    </cfRule>
    <cfRule type="cellIs" dxfId="1743" priority="276" stopIfTrue="1" operator="lessThan">
      <formula>-0.03</formula>
    </cfRule>
  </conditionalFormatting>
  <conditionalFormatting sqref="AF48:AH48">
    <cfRule type="cellIs" dxfId="1742" priority="273" operator="greaterThan">
      <formula>0.03</formula>
    </cfRule>
    <cfRule type="cellIs" dxfId="1741" priority="274" stopIfTrue="1" operator="lessThan">
      <formula>-0.03</formula>
    </cfRule>
  </conditionalFormatting>
  <conditionalFormatting sqref="AI53:AK53">
    <cfRule type="cellIs" dxfId="1740" priority="271" operator="greaterThan">
      <formula>0.03</formula>
    </cfRule>
    <cfRule type="cellIs" dxfId="1739" priority="272" stopIfTrue="1" operator="lessThan">
      <formula>-0.03</formula>
    </cfRule>
  </conditionalFormatting>
  <conditionalFormatting sqref="AF53:AH53">
    <cfRule type="cellIs" dxfId="1738" priority="269" operator="greaterThan">
      <formula>0.03</formula>
    </cfRule>
    <cfRule type="cellIs" dxfId="1737" priority="270" stopIfTrue="1" operator="lessThan">
      <formula>-0.03</formula>
    </cfRule>
  </conditionalFormatting>
  <conditionalFormatting sqref="AI58:AK58">
    <cfRule type="cellIs" dxfId="1736" priority="267" operator="greaterThan">
      <formula>0.03</formula>
    </cfRule>
    <cfRule type="cellIs" dxfId="1735" priority="268" stopIfTrue="1" operator="lessThan">
      <formula>-0.03</formula>
    </cfRule>
  </conditionalFormatting>
  <conditionalFormatting sqref="AF58:AH58">
    <cfRule type="cellIs" dxfId="1734" priority="265" operator="greaterThan">
      <formula>0.03</formula>
    </cfRule>
    <cfRule type="cellIs" dxfId="1733" priority="266" stopIfTrue="1" operator="lessThan">
      <formula>-0.03</formula>
    </cfRule>
  </conditionalFormatting>
  <conditionalFormatting sqref="AI63:AK63">
    <cfRule type="cellIs" dxfId="1732" priority="263" operator="greaterThan">
      <formula>0.03</formula>
    </cfRule>
    <cfRule type="cellIs" dxfId="1731" priority="264" stopIfTrue="1" operator="lessThan">
      <formula>-0.03</formula>
    </cfRule>
  </conditionalFormatting>
  <conditionalFormatting sqref="AF63:AH63">
    <cfRule type="cellIs" dxfId="1730" priority="261" operator="greaterThan">
      <formula>0.03</formula>
    </cfRule>
    <cfRule type="cellIs" dxfId="1729" priority="262" stopIfTrue="1" operator="lessThan">
      <formula>-0.03</formula>
    </cfRule>
  </conditionalFormatting>
  <conditionalFormatting sqref="AI68:AK68">
    <cfRule type="cellIs" dxfId="1728" priority="259" operator="greaterThan">
      <formula>0.03</formula>
    </cfRule>
    <cfRule type="cellIs" dxfId="1727" priority="260" stopIfTrue="1" operator="lessThan">
      <formula>-0.03</formula>
    </cfRule>
  </conditionalFormatting>
  <conditionalFormatting sqref="AF68:AH68">
    <cfRule type="cellIs" dxfId="1726" priority="257" operator="greaterThan">
      <formula>0.03</formula>
    </cfRule>
    <cfRule type="cellIs" dxfId="1725" priority="258" stopIfTrue="1" operator="lessThan">
      <formula>-0.03</formula>
    </cfRule>
  </conditionalFormatting>
  <conditionalFormatting sqref="AI73:AK73">
    <cfRule type="cellIs" dxfId="1724" priority="255" operator="greaterThan">
      <formula>0.03</formula>
    </cfRule>
    <cfRule type="cellIs" dxfId="1723" priority="256" stopIfTrue="1" operator="lessThan">
      <formula>-0.03</formula>
    </cfRule>
  </conditionalFormatting>
  <conditionalFormatting sqref="AF73:AH73">
    <cfRule type="cellIs" dxfId="1722" priority="253" operator="greaterThan">
      <formula>0.03</formula>
    </cfRule>
    <cfRule type="cellIs" dxfId="1721" priority="254" stopIfTrue="1" operator="lessThan">
      <formula>-0.03</formula>
    </cfRule>
  </conditionalFormatting>
  <conditionalFormatting sqref="AI78:AK78">
    <cfRule type="cellIs" dxfId="1720" priority="251" operator="greaterThan">
      <formula>0.03</formula>
    </cfRule>
    <cfRule type="cellIs" dxfId="1719" priority="252" stopIfTrue="1" operator="lessThan">
      <formula>-0.03</formula>
    </cfRule>
  </conditionalFormatting>
  <conditionalFormatting sqref="AF78:AH78">
    <cfRule type="cellIs" dxfId="1718" priority="249" operator="greaterThan">
      <formula>0.03</formula>
    </cfRule>
    <cfRule type="cellIs" dxfId="1717" priority="250" stopIfTrue="1" operator="lessThan">
      <formula>-0.03</formula>
    </cfRule>
  </conditionalFormatting>
  <conditionalFormatting sqref="AI83:AK83">
    <cfRule type="cellIs" dxfId="1716" priority="247" operator="greaterThan">
      <formula>0.03</formula>
    </cfRule>
    <cfRule type="cellIs" dxfId="1715" priority="248" stopIfTrue="1" operator="lessThan">
      <formula>-0.03</formula>
    </cfRule>
  </conditionalFormatting>
  <conditionalFormatting sqref="AF83:AH83">
    <cfRule type="cellIs" dxfId="1714" priority="245" operator="greaterThan">
      <formula>0.03</formula>
    </cfRule>
    <cfRule type="cellIs" dxfId="1713" priority="246" stopIfTrue="1" operator="lessThan">
      <formula>-0.03</formula>
    </cfRule>
  </conditionalFormatting>
  <conditionalFormatting sqref="AI88:AK88">
    <cfRule type="cellIs" dxfId="1712" priority="243" operator="greaterThan">
      <formula>0.03</formula>
    </cfRule>
    <cfRule type="cellIs" dxfId="1711" priority="244" stopIfTrue="1" operator="lessThan">
      <formula>-0.03</formula>
    </cfRule>
  </conditionalFormatting>
  <conditionalFormatting sqref="AF88:AH88">
    <cfRule type="cellIs" dxfId="1710" priority="241" operator="greaterThan">
      <formula>0.03</formula>
    </cfRule>
    <cfRule type="cellIs" dxfId="1709" priority="242" stopIfTrue="1" operator="lessThan">
      <formula>-0.03</formula>
    </cfRule>
  </conditionalFormatting>
  <conditionalFormatting sqref="AI93:AK93">
    <cfRule type="cellIs" dxfId="1708" priority="239" operator="greaterThan">
      <formula>0.03</formula>
    </cfRule>
    <cfRule type="cellIs" dxfId="1707" priority="240" stopIfTrue="1" operator="lessThan">
      <formula>-0.03</formula>
    </cfRule>
  </conditionalFormatting>
  <conditionalFormatting sqref="AF93:AH93">
    <cfRule type="cellIs" dxfId="1706" priority="237" operator="greaterThan">
      <formula>0.03</formula>
    </cfRule>
    <cfRule type="cellIs" dxfId="1705" priority="238" stopIfTrue="1" operator="lessThan">
      <formula>-0.03</formula>
    </cfRule>
  </conditionalFormatting>
  <conditionalFormatting sqref="AI98:AK98">
    <cfRule type="cellIs" dxfId="1704" priority="235" operator="greaterThan">
      <formula>0.03</formula>
    </cfRule>
    <cfRule type="cellIs" dxfId="1703" priority="236" stopIfTrue="1" operator="lessThan">
      <formula>-0.03</formula>
    </cfRule>
  </conditionalFormatting>
  <conditionalFormatting sqref="AF98:AH98">
    <cfRule type="cellIs" dxfId="1702" priority="233" operator="greaterThan">
      <formula>0.03</formula>
    </cfRule>
    <cfRule type="cellIs" dxfId="1701" priority="234" stopIfTrue="1" operator="lessThan">
      <formula>-0.03</formula>
    </cfRule>
  </conditionalFormatting>
  <conditionalFormatting sqref="AI103:AK103">
    <cfRule type="cellIs" dxfId="1700" priority="231" operator="greaterThan">
      <formula>0.03</formula>
    </cfRule>
    <cfRule type="cellIs" dxfId="1699" priority="232" stopIfTrue="1" operator="lessThan">
      <formula>-0.03</formula>
    </cfRule>
  </conditionalFormatting>
  <conditionalFormatting sqref="AF103:AH103">
    <cfRule type="cellIs" dxfId="1698" priority="229" operator="greaterThan">
      <formula>0.03</formula>
    </cfRule>
    <cfRule type="cellIs" dxfId="1697" priority="230" stopIfTrue="1" operator="lessThan">
      <formula>-0.03</formula>
    </cfRule>
  </conditionalFormatting>
  <conditionalFormatting sqref="AI108:AK108">
    <cfRule type="cellIs" dxfId="1696" priority="227" operator="greaterThan">
      <formula>0.03</formula>
    </cfRule>
    <cfRule type="cellIs" dxfId="1695" priority="228" stopIfTrue="1" operator="lessThan">
      <formula>-0.03</formula>
    </cfRule>
  </conditionalFormatting>
  <conditionalFormatting sqref="AF108:AH108">
    <cfRule type="cellIs" dxfId="1694" priority="225" operator="greaterThan">
      <formula>0.03</formula>
    </cfRule>
    <cfRule type="cellIs" dxfId="1693" priority="226" stopIfTrue="1" operator="lessThan">
      <formula>-0.03</formula>
    </cfRule>
  </conditionalFormatting>
  <conditionalFormatting sqref="AI113:AK113">
    <cfRule type="cellIs" dxfId="1692" priority="223" operator="greaterThan">
      <formula>0.03</formula>
    </cfRule>
    <cfRule type="cellIs" dxfId="1691" priority="224" stopIfTrue="1" operator="lessThan">
      <formula>-0.03</formula>
    </cfRule>
  </conditionalFormatting>
  <conditionalFormatting sqref="AF113:AH113">
    <cfRule type="cellIs" dxfId="1690" priority="221" operator="greaterThan">
      <formula>0.03</formula>
    </cfRule>
    <cfRule type="cellIs" dxfId="1689" priority="222" stopIfTrue="1" operator="lessThan">
      <formula>-0.03</formula>
    </cfRule>
  </conditionalFormatting>
  <conditionalFormatting sqref="AI118:AK118">
    <cfRule type="cellIs" dxfId="1688" priority="219" operator="greaterThan">
      <formula>0.03</formula>
    </cfRule>
    <cfRule type="cellIs" dxfId="1687" priority="220" stopIfTrue="1" operator="lessThan">
      <formula>-0.03</formula>
    </cfRule>
  </conditionalFormatting>
  <conditionalFormatting sqref="AF118:AH118">
    <cfRule type="cellIs" dxfId="1686" priority="217" operator="greaterThan">
      <formula>0.03</formula>
    </cfRule>
    <cfRule type="cellIs" dxfId="1685" priority="218" stopIfTrue="1" operator="lessThan">
      <formula>-0.03</formula>
    </cfRule>
  </conditionalFormatting>
  <conditionalFormatting sqref="AI123:AK123">
    <cfRule type="cellIs" dxfId="1684" priority="215" operator="greaterThan">
      <formula>0.03</formula>
    </cfRule>
    <cfRule type="cellIs" dxfId="1683" priority="216" stopIfTrue="1" operator="lessThan">
      <formula>-0.03</formula>
    </cfRule>
  </conditionalFormatting>
  <conditionalFormatting sqref="AF123:AH123">
    <cfRule type="cellIs" dxfId="1682" priority="213" operator="greaterThan">
      <formula>0.03</formula>
    </cfRule>
    <cfRule type="cellIs" dxfId="1681" priority="214" stopIfTrue="1" operator="lessThan">
      <formula>-0.03</formula>
    </cfRule>
  </conditionalFormatting>
  <conditionalFormatting sqref="AI128:AK128">
    <cfRule type="cellIs" dxfId="1680" priority="211" operator="greaterThan">
      <formula>0.03</formula>
    </cfRule>
    <cfRule type="cellIs" dxfId="1679" priority="212" stopIfTrue="1" operator="lessThan">
      <formula>-0.03</formula>
    </cfRule>
  </conditionalFormatting>
  <conditionalFormatting sqref="AF128:AH128">
    <cfRule type="cellIs" dxfId="1678" priority="209" operator="greaterThan">
      <formula>0.03</formula>
    </cfRule>
    <cfRule type="cellIs" dxfId="1677" priority="210" stopIfTrue="1" operator="lessThan">
      <formula>-0.03</formula>
    </cfRule>
  </conditionalFormatting>
  <conditionalFormatting sqref="AO9:AQ9">
    <cfRule type="cellIs" dxfId="1676" priority="205" operator="greaterThan">
      <formula>0.03</formula>
    </cfRule>
    <cfRule type="cellIs" dxfId="1675" priority="206" stopIfTrue="1" operator="lessThan">
      <formula>-0.03</formula>
    </cfRule>
  </conditionalFormatting>
  <conditionalFormatting sqref="AL9:AN9">
    <cfRule type="cellIs" dxfId="1674" priority="207" operator="greaterThan">
      <formula>0.03</formula>
    </cfRule>
    <cfRule type="cellIs" dxfId="1673" priority="208" stopIfTrue="1" operator="lessThan">
      <formula>-0.03</formula>
    </cfRule>
  </conditionalFormatting>
  <conditionalFormatting sqref="AO14:AQ14">
    <cfRule type="cellIs" dxfId="1672" priority="201" operator="greaterThan">
      <formula>0.03</formula>
    </cfRule>
    <cfRule type="cellIs" dxfId="1671" priority="202" stopIfTrue="1" operator="lessThan">
      <formula>-0.03</formula>
    </cfRule>
  </conditionalFormatting>
  <conditionalFormatting sqref="AL14:AN14">
    <cfRule type="cellIs" dxfId="1670" priority="203" operator="greaterThan">
      <formula>0.03</formula>
    </cfRule>
    <cfRule type="cellIs" dxfId="1669" priority="204" stopIfTrue="1" operator="lessThan">
      <formula>-0.03</formula>
    </cfRule>
  </conditionalFormatting>
  <conditionalFormatting sqref="AO19:AQ19">
    <cfRule type="cellIs" dxfId="1668" priority="197" operator="greaterThan">
      <formula>0.03</formula>
    </cfRule>
    <cfRule type="cellIs" dxfId="1667" priority="198" stopIfTrue="1" operator="lessThan">
      <formula>-0.03</formula>
    </cfRule>
  </conditionalFormatting>
  <conditionalFormatting sqref="AL19:AN19">
    <cfRule type="cellIs" dxfId="1666" priority="199" operator="greaterThan">
      <formula>0.03</formula>
    </cfRule>
    <cfRule type="cellIs" dxfId="1665" priority="200" stopIfTrue="1" operator="lessThan">
      <formula>-0.03</formula>
    </cfRule>
  </conditionalFormatting>
  <conditionalFormatting sqref="AO24:AQ24">
    <cfRule type="cellIs" dxfId="1664" priority="193" operator="greaterThan">
      <formula>0.03</formula>
    </cfRule>
    <cfRule type="cellIs" dxfId="1663" priority="194" stopIfTrue="1" operator="lessThan">
      <formula>-0.03</formula>
    </cfRule>
  </conditionalFormatting>
  <conditionalFormatting sqref="AL24:AN24">
    <cfRule type="cellIs" dxfId="1662" priority="195" operator="greaterThan">
      <formula>0.03</formula>
    </cfRule>
    <cfRule type="cellIs" dxfId="1661" priority="196" stopIfTrue="1" operator="lessThan">
      <formula>-0.03</formula>
    </cfRule>
  </conditionalFormatting>
  <conditionalFormatting sqref="AO29:AQ29">
    <cfRule type="cellIs" dxfId="1660" priority="189" operator="greaterThan">
      <formula>0.03</formula>
    </cfRule>
    <cfRule type="cellIs" dxfId="1659" priority="190" stopIfTrue="1" operator="lessThan">
      <formula>-0.03</formula>
    </cfRule>
  </conditionalFormatting>
  <conditionalFormatting sqref="AL29:AN29">
    <cfRule type="cellIs" dxfId="1658" priority="191" operator="greaterThan">
      <formula>0.03</formula>
    </cfRule>
    <cfRule type="cellIs" dxfId="1657" priority="192" stopIfTrue="1" operator="lessThan">
      <formula>-0.03</formula>
    </cfRule>
  </conditionalFormatting>
  <conditionalFormatting sqref="AO34:AQ34">
    <cfRule type="cellIs" dxfId="1656" priority="185" operator="greaterThan">
      <formula>0.03</formula>
    </cfRule>
    <cfRule type="cellIs" dxfId="1655" priority="186" stopIfTrue="1" operator="lessThan">
      <formula>-0.03</formula>
    </cfRule>
  </conditionalFormatting>
  <conditionalFormatting sqref="AL34:AN34">
    <cfRule type="cellIs" dxfId="1654" priority="187" operator="greaterThan">
      <formula>0.03</formula>
    </cfRule>
    <cfRule type="cellIs" dxfId="1653" priority="188" stopIfTrue="1" operator="lessThan">
      <formula>-0.03</formula>
    </cfRule>
  </conditionalFormatting>
  <conditionalFormatting sqref="AO39:AQ39">
    <cfRule type="cellIs" dxfId="1652" priority="181" operator="greaterThan">
      <formula>0.03</formula>
    </cfRule>
    <cfRule type="cellIs" dxfId="1651" priority="182" stopIfTrue="1" operator="lessThan">
      <formula>-0.03</formula>
    </cfRule>
  </conditionalFormatting>
  <conditionalFormatting sqref="AL39:AN39">
    <cfRule type="cellIs" dxfId="1650" priority="183" operator="greaterThan">
      <formula>0.03</formula>
    </cfRule>
    <cfRule type="cellIs" dxfId="1649" priority="184" stopIfTrue="1" operator="lessThan">
      <formula>-0.03</formula>
    </cfRule>
  </conditionalFormatting>
  <conditionalFormatting sqref="AO44:AQ44">
    <cfRule type="cellIs" dxfId="1648" priority="177" operator="greaterThan">
      <formula>0.03</formula>
    </cfRule>
    <cfRule type="cellIs" dxfId="1647" priority="178" stopIfTrue="1" operator="lessThan">
      <formula>-0.03</formula>
    </cfRule>
  </conditionalFormatting>
  <conditionalFormatting sqref="AL44:AN44">
    <cfRule type="cellIs" dxfId="1646" priority="179" operator="greaterThan">
      <formula>0.03</formula>
    </cfRule>
    <cfRule type="cellIs" dxfId="1645" priority="180" stopIfTrue="1" operator="lessThan">
      <formula>-0.03</formula>
    </cfRule>
  </conditionalFormatting>
  <conditionalFormatting sqref="AO49:AQ49">
    <cfRule type="cellIs" dxfId="1644" priority="173" operator="greaterThan">
      <formula>0.03</formula>
    </cfRule>
    <cfRule type="cellIs" dxfId="1643" priority="174" stopIfTrue="1" operator="lessThan">
      <formula>-0.03</formula>
    </cfRule>
  </conditionalFormatting>
  <conditionalFormatting sqref="AL49:AN49">
    <cfRule type="cellIs" dxfId="1642" priority="175" operator="greaterThan">
      <formula>0.03</formula>
    </cfRule>
    <cfRule type="cellIs" dxfId="1641" priority="176" stopIfTrue="1" operator="lessThan">
      <formula>-0.03</formula>
    </cfRule>
  </conditionalFormatting>
  <conditionalFormatting sqref="AO54:AQ54">
    <cfRule type="cellIs" dxfId="1640" priority="169" operator="greaterThan">
      <formula>0.03</formula>
    </cfRule>
    <cfRule type="cellIs" dxfId="1639" priority="170" stopIfTrue="1" operator="lessThan">
      <formula>-0.03</formula>
    </cfRule>
  </conditionalFormatting>
  <conditionalFormatting sqref="AL54:AN54">
    <cfRule type="cellIs" dxfId="1638" priority="171" operator="greaterThan">
      <formula>0.03</formula>
    </cfRule>
    <cfRule type="cellIs" dxfId="1637" priority="172" stopIfTrue="1" operator="lessThan">
      <formula>-0.03</formula>
    </cfRule>
  </conditionalFormatting>
  <conditionalFormatting sqref="AO59:AQ59">
    <cfRule type="cellIs" dxfId="1636" priority="165" operator="greaterThan">
      <formula>0.03</formula>
    </cfRule>
    <cfRule type="cellIs" dxfId="1635" priority="166" stopIfTrue="1" operator="lessThan">
      <formula>-0.03</formula>
    </cfRule>
  </conditionalFormatting>
  <conditionalFormatting sqref="AL59:AN59">
    <cfRule type="cellIs" dxfId="1634" priority="167" operator="greaterThan">
      <formula>0.03</formula>
    </cfRule>
    <cfRule type="cellIs" dxfId="1633" priority="168" stopIfTrue="1" operator="lessThan">
      <formula>-0.03</formula>
    </cfRule>
  </conditionalFormatting>
  <conditionalFormatting sqref="AO64:AQ64">
    <cfRule type="cellIs" dxfId="1632" priority="161" operator="greaterThan">
      <formula>0.03</formula>
    </cfRule>
    <cfRule type="cellIs" dxfId="1631" priority="162" stopIfTrue="1" operator="lessThan">
      <formula>-0.03</formula>
    </cfRule>
  </conditionalFormatting>
  <conditionalFormatting sqref="AL64:AN64">
    <cfRule type="cellIs" dxfId="1630" priority="163" operator="greaterThan">
      <formula>0.03</formula>
    </cfRule>
    <cfRule type="cellIs" dxfId="1629" priority="164" stopIfTrue="1" operator="lessThan">
      <formula>-0.03</formula>
    </cfRule>
  </conditionalFormatting>
  <conditionalFormatting sqref="AO69:AQ69">
    <cfRule type="cellIs" dxfId="1628" priority="157" operator="greaterThan">
      <formula>0.03</formula>
    </cfRule>
    <cfRule type="cellIs" dxfId="1627" priority="158" stopIfTrue="1" operator="lessThan">
      <formula>-0.03</formula>
    </cfRule>
  </conditionalFormatting>
  <conditionalFormatting sqref="AL69:AN69">
    <cfRule type="cellIs" dxfId="1626" priority="159" operator="greaterThan">
      <formula>0.03</formula>
    </cfRule>
    <cfRule type="cellIs" dxfId="1625" priority="160" stopIfTrue="1" operator="lessThan">
      <formula>-0.03</formula>
    </cfRule>
  </conditionalFormatting>
  <conditionalFormatting sqref="AO74:AQ74">
    <cfRule type="cellIs" dxfId="1624" priority="153" operator="greaterThan">
      <formula>0.03</formula>
    </cfRule>
    <cfRule type="cellIs" dxfId="1623" priority="154" stopIfTrue="1" operator="lessThan">
      <formula>-0.03</formula>
    </cfRule>
  </conditionalFormatting>
  <conditionalFormatting sqref="AL74:AN74">
    <cfRule type="cellIs" dxfId="1622" priority="155" operator="greaterThan">
      <formula>0.03</formula>
    </cfRule>
    <cfRule type="cellIs" dxfId="1621" priority="156" stopIfTrue="1" operator="lessThan">
      <formula>-0.03</formula>
    </cfRule>
  </conditionalFormatting>
  <conditionalFormatting sqref="AO79:AQ79">
    <cfRule type="cellIs" dxfId="1620" priority="149" operator="greaterThan">
      <formula>0.03</formula>
    </cfRule>
    <cfRule type="cellIs" dxfId="1619" priority="150" stopIfTrue="1" operator="lessThan">
      <formula>-0.03</formula>
    </cfRule>
  </conditionalFormatting>
  <conditionalFormatting sqref="AL79:AN79">
    <cfRule type="cellIs" dxfId="1618" priority="151" operator="greaterThan">
      <formula>0.03</formula>
    </cfRule>
    <cfRule type="cellIs" dxfId="1617" priority="152" stopIfTrue="1" operator="lessThan">
      <formula>-0.03</formula>
    </cfRule>
  </conditionalFormatting>
  <conditionalFormatting sqref="AO84:AQ84">
    <cfRule type="cellIs" dxfId="1616" priority="145" operator="greaterThan">
      <formula>0.03</formula>
    </cfRule>
    <cfRule type="cellIs" dxfId="1615" priority="146" stopIfTrue="1" operator="lessThan">
      <formula>-0.03</formula>
    </cfRule>
  </conditionalFormatting>
  <conditionalFormatting sqref="AL84:AN84">
    <cfRule type="cellIs" dxfId="1614" priority="147" operator="greaterThan">
      <formula>0.03</formula>
    </cfRule>
    <cfRule type="cellIs" dxfId="1613" priority="148" stopIfTrue="1" operator="lessThan">
      <formula>-0.03</formula>
    </cfRule>
  </conditionalFormatting>
  <conditionalFormatting sqref="AO89:AQ89">
    <cfRule type="cellIs" dxfId="1612" priority="141" operator="greaterThan">
      <formula>0.03</formula>
    </cfRule>
    <cfRule type="cellIs" dxfId="1611" priority="142" stopIfTrue="1" operator="lessThan">
      <formula>-0.03</formula>
    </cfRule>
  </conditionalFormatting>
  <conditionalFormatting sqref="AL89:AN89">
    <cfRule type="cellIs" dxfId="1610" priority="143" operator="greaterThan">
      <formula>0.03</formula>
    </cfRule>
    <cfRule type="cellIs" dxfId="1609" priority="144" stopIfTrue="1" operator="lessThan">
      <formula>-0.03</formula>
    </cfRule>
  </conditionalFormatting>
  <conditionalFormatting sqref="AO94:AQ94">
    <cfRule type="cellIs" dxfId="1608" priority="137" operator="greaterThan">
      <formula>0.03</formula>
    </cfRule>
    <cfRule type="cellIs" dxfId="1607" priority="138" stopIfTrue="1" operator="lessThan">
      <formula>-0.03</formula>
    </cfRule>
  </conditionalFormatting>
  <conditionalFormatting sqref="AL94:AN94">
    <cfRule type="cellIs" dxfId="1606" priority="139" operator="greaterThan">
      <formula>0.03</formula>
    </cfRule>
    <cfRule type="cellIs" dxfId="1605" priority="140" stopIfTrue="1" operator="lessThan">
      <formula>-0.03</formula>
    </cfRule>
  </conditionalFormatting>
  <conditionalFormatting sqref="AO99:AQ99">
    <cfRule type="cellIs" dxfId="1604" priority="133" operator="greaterThan">
      <formula>0.03</formula>
    </cfRule>
    <cfRule type="cellIs" dxfId="1603" priority="134" stopIfTrue="1" operator="lessThan">
      <formula>-0.03</formula>
    </cfRule>
  </conditionalFormatting>
  <conditionalFormatting sqref="AL99:AN99">
    <cfRule type="cellIs" dxfId="1602" priority="135" operator="greaterThan">
      <formula>0.03</formula>
    </cfRule>
    <cfRule type="cellIs" dxfId="1601" priority="136" stopIfTrue="1" operator="lessThan">
      <formula>-0.03</formula>
    </cfRule>
  </conditionalFormatting>
  <conditionalFormatting sqref="AO104:AQ104">
    <cfRule type="cellIs" dxfId="1600" priority="129" operator="greaterThan">
      <formula>0.03</formula>
    </cfRule>
    <cfRule type="cellIs" dxfId="1599" priority="130" stopIfTrue="1" operator="lessThan">
      <formula>-0.03</formula>
    </cfRule>
  </conditionalFormatting>
  <conditionalFormatting sqref="AL104:AN104">
    <cfRule type="cellIs" dxfId="1598" priority="131" operator="greaterThan">
      <formula>0.03</formula>
    </cfRule>
    <cfRule type="cellIs" dxfId="1597" priority="132" stopIfTrue="1" operator="lessThan">
      <formula>-0.03</formula>
    </cfRule>
  </conditionalFormatting>
  <conditionalFormatting sqref="AO109:AQ109">
    <cfRule type="cellIs" dxfId="1596" priority="125" operator="greaterThan">
      <formula>0.03</formula>
    </cfRule>
    <cfRule type="cellIs" dxfId="1595" priority="126" stopIfTrue="1" operator="lessThan">
      <formula>-0.03</formula>
    </cfRule>
  </conditionalFormatting>
  <conditionalFormatting sqref="AL109:AN109">
    <cfRule type="cellIs" dxfId="1594" priority="127" operator="greaterThan">
      <formula>0.03</formula>
    </cfRule>
    <cfRule type="cellIs" dxfId="1593" priority="128" stopIfTrue="1" operator="lessThan">
      <formula>-0.03</formula>
    </cfRule>
  </conditionalFormatting>
  <conditionalFormatting sqref="AO114:AQ114">
    <cfRule type="cellIs" dxfId="1592" priority="121" operator="greaterThan">
      <formula>0.03</formula>
    </cfRule>
    <cfRule type="cellIs" dxfId="1591" priority="122" stopIfTrue="1" operator="lessThan">
      <formula>-0.03</formula>
    </cfRule>
  </conditionalFormatting>
  <conditionalFormatting sqref="AL114:AN114">
    <cfRule type="cellIs" dxfId="1590" priority="123" operator="greaterThan">
      <formula>0.03</formula>
    </cfRule>
    <cfRule type="cellIs" dxfId="1589" priority="124" stopIfTrue="1" operator="lessThan">
      <formula>-0.03</formula>
    </cfRule>
  </conditionalFormatting>
  <conditionalFormatting sqref="AO119:AQ119">
    <cfRule type="cellIs" dxfId="1588" priority="117" operator="greaterThan">
      <formula>0.03</formula>
    </cfRule>
    <cfRule type="cellIs" dxfId="1587" priority="118" stopIfTrue="1" operator="lessThan">
      <formula>-0.03</formula>
    </cfRule>
  </conditionalFormatting>
  <conditionalFormatting sqref="AL119:AN119">
    <cfRule type="cellIs" dxfId="1586" priority="119" operator="greaterThan">
      <formula>0.03</formula>
    </cfRule>
    <cfRule type="cellIs" dxfId="1585" priority="120" stopIfTrue="1" operator="lessThan">
      <formula>-0.03</formula>
    </cfRule>
  </conditionalFormatting>
  <conditionalFormatting sqref="AO124:AQ124">
    <cfRule type="cellIs" dxfId="1584" priority="113" operator="greaterThan">
      <formula>0.03</formula>
    </cfRule>
    <cfRule type="cellIs" dxfId="1583" priority="114" stopIfTrue="1" operator="lessThan">
      <formula>-0.03</formula>
    </cfRule>
  </conditionalFormatting>
  <conditionalFormatting sqref="AL124:AN124">
    <cfRule type="cellIs" dxfId="1582" priority="115" operator="greaterThan">
      <formula>0.03</formula>
    </cfRule>
    <cfRule type="cellIs" dxfId="1581" priority="116" stopIfTrue="1" operator="lessThan">
      <formula>-0.03</formula>
    </cfRule>
  </conditionalFormatting>
  <conditionalFormatting sqref="AO129:AQ129">
    <cfRule type="cellIs" dxfId="1580" priority="109" operator="greaterThan">
      <formula>0.03</formula>
    </cfRule>
    <cfRule type="cellIs" dxfId="1579" priority="110" stopIfTrue="1" operator="lessThan">
      <formula>-0.03</formula>
    </cfRule>
  </conditionalFormatting>
  <conditionalFormatting sqref="AL129:AN129">
    <cfRule type="cellIs" dxfId="1578" priority="111" operator="greaterThan">
      <formula>0.03</formula>
    </cfRule>
    <cfRule type="cellIs" dxfId="1577" priority="112" stopIfTrue="1" operator="lessThan">
      <formula>-0.03</formula>
    </cfRule>
  </conditionalFormatting>
  <conditionalFormatting sqref="AU8:AW8">
    <cfRule type="cellIs" dxfId="1576" priority="107" operator="greaterThan">
      <formula>0.03</formula>
    </cfRule>
    <cfRule type="cellIs" dxfId="1575" priority="108" stopIfTrue="1" operator="lessThan">
      <formula>-0.03</formula>
    </cfRule>
  </conditionalFormatting>
  <conditionalFormatting sqref="AR8:AT8">
    <cfRule type="cellIs" dxfId="1574" priority="105" operator="greaterThan">
      <formula>0.03</formula>
    </cfRule>
    <cfRule type="cellIs" dxfId="1573" priority="106" stopIfTrue="1" operator="lessThan">
      <formula>-0.03</formula>
    </cfRule>
  </conditionalFormatting>
  <conditionalFormatting sqref="AU13:AW13">
    <cfRule type="cellIs" dxfId="1572" priority="103" operator="greaterThan">
      <formula>0.03</formula>
    </cfRule>
    <cfRule type="cellIs" dxfId="1571" priority="104" stopIfTrue="1" operator="lessThan">
      <formula>-0.03</formula>
    </cfRule>
  </conditionalFormatting>
  <conditionalFormatting sqref="AR13:AT13">
    <cfRule type="cellIs" dxfId="1570" priority="101" operator="greaterThan">
      <formula>0.03</formula>
    </cfRule>
    <cfRule type="cellIs" dxfId="1569" priority="102" stopIfTrue="1" operator="lessThan">
      <formula>-0.03</formula>
    </cfRule>
  </conditionalFormatting>
  <conditionalFormatting sqref="AU18:AW18">
    <cfRule type="cellIs" dxfId="1568" priority="99" operator="greaterThan">
      <formula>0.03</formula>
    </cfRule>
    <cfRule type="cellIs" dxfId="1567" priority="100" stopIfTrue="1" operator="lessThan">
      <formula>-0.03</formula>
    </cfRule>
  </conditionalFormatting>
  <conditionalFormatting sqref="AR18:AT18">
    <cfRule type="cellIs" dxfId="1566" priority="97" operator="greaterThan">
      <formula>0.03</formula>
    </cfRule>
    <cfRule type="cellIs" dxfId="1565" priority="98" stopIfTrue="1" operator="lessThan">
      <formula>-0.03</formula>
    </cfRule>
  </conditionalFormatting>
  <conditionalFormatting sqref="AU23:AW23">
    <cfRule type="cellIs" dxfId="1564" priority="95" operator="greaterThan">
      <formula>0.03</formula>
    </cfRule>
    <cfRule type="cellIs" dxfId="1563" priority="96" stopIfTrue="1" operator="lessThan">
      <formula>-0.03</formula>
    </cfRule>
  </conditionalFormatting>
  <conditionalFormatting sqref="AR23:AT23">
    <cfRule type="cellIs" dxfId="1562" priority="93" operator="greaterThan">
      <formula>0.03</formula>
    </cfRule>
    <cfRule type="cellIs" dxfId="1561" priority="94" stopIfTrue="1" operator="lessThan">
      <formula>-0.03</formula>
    </cfRule>
  </conditionalFormatting>
  <conditionalFormatting sqref="AU28:AW28">
    <cfRule type="cellIs" dxfId="1560" priority="91" operator="greaterThan">
      <formula>0.03</formula>
    </cfRule>
    <cfRule type="cellIs" dxfId="1559" priority="92" stopIfTrue="1" operator="lessThan">
      <formula>-0.03</formula>
    </cfRule>
  </conditionalFormatting>
  <conditionalFormatting sqref="AR28:AT28">
    <cfRule type="cellIs" dxfId="1558" priority="89" operator="greaterThan">
      <formula>0.03</formula>
    </cfRule>
    <cfRule type="cellIs" dxfId="1557" priority="90" stopIfTrue="1" operator="lessThan">
      <formula>-0.03</formula>
    </cfRule>
  </conditionalFormatting>
  <conditionalFormatting sqref="AU33:AW33">
    <cfRule type="cellIs" dxfId="1556" priority="87" operator="greaterThan">
      <formula>0.03</formula>
    </cfRule>
    <cfRule type="cellIs" dxfId="1555" priority="88" stopIfTrue="1" operator="lessThan">
      <formula>-0.03</formula>
    </cfRule>
  </conditionalFormatting>
  <conditionalFormatting sqref="AR33:AT33">
    <cfRule type="cellIs" dxfId="1554" priority="85" operator="greaterThan">
      <formula>0.03</formula>
    </cfRule>
    <cfRule type="cellIs" dxfId="1553" priority="86" stopIfTrue="1" operator="lessThan">
      <formula>-0.03</formula>
    </cfRule>
  </conditionalFormatting>
  <conditionalFormatting sqref="AU38:AW38">
    <cfRule type="cellIs" dxfId="1552" priority="83" operator="greaterThan">
      <formula>0.03</formula>
    </cfRule>
    <cfRule type="cellIs" dxfId="1551" priority="84" stopIfTrue="1" operator="lessThan">
      <formula>-0.03</formula>
    </cfRule>
  </conditionalFormatting>
  <conditionalFormatting sqref="AR38:AT38">
    <cfRule type="cellIs" dxfId="1550" priority="81" operator="greaterThan">
      <formula>0.03</formula>
    </cfRule>
    <cfRule type="cellIs" dxfId="1549" priority="82" stopIfTrue="1" operator="lessThan">
      <formula>-0.03</formula>
    </cfRule>
  </conditionalFormatting>
  <conditionalFormatting sqref="AU43:AW43">
    <cfRule type="cellIs" dxfId="1548" priority="79" operator="greaterThan">
      <formula>0.03</formula>
    </cfRule>
    <cfRule type="cellIs" dxfId="1547" priority="80" stopIfTrue="1" operator="lessThan">
      <formula>-0.03</formula>
    </cfRule>
  </conditionalFormatting>
  <conditionalFormatting sqref="AR43:AT43">
    <cfRule type="cellIs" dxfId="1546" priority="77" operator="greaterThan">
      <formula>0.03</formula>
    </cfRule>
    <cfRule type="cellIs" dxfId="1545" priority="78" stopIfTrue="1" operator="lessThan">
      <formula>-0.03</formula>
    </cfRule>
  </conditionalFormatting>
  <conditionalFormatting sqref="AU48:AW48">
    <cfRule type="cellIs" dxfId="1544" priority="75" operator="greaterThan">
      <formula>0.03</formula>
    </cfRule>
    <cfRule type="cellIs" dxfId="1543" priority="76" stopIfTrue="1" operator="lessThan">
      <formula>-0.03</formula>
    </cfRule>
  </conditionalFormatting>
  <conditionalFormatting sqref="AR48:AT48">
    <cfRule type="cellIs" dxfId="1542" priority="73" operator="greaterThan">
      <formula>0.03</formula>
    </cfRule>
    <cfRule type="cellIs" dxfId="1541" priority="74" stopIfTrue="1" operator="lessThan">
      <formula>-0.03</formula>
    </cfRule>
  </conditionalFormatting>
  <conditionalFormatting sqref="AU53:AW53">
    <cfRule type="cellIs" dxfId="1540" priority="71" operator="greaterThan">
      <formula>0.03</formula>
    </cfRule>
    <cfRule type="cellIs" dxfId="1539" priority="72" stopIfTrue="1" operator="lessThan">
      <formula>-0.03</formula>
    </cfRule>
  </conditionalFormatting>
  <conditionalFormatting sqref="AR53:AT53">
    <cfRule type="cellIs" dxfId="1538" priority="69" operator="greaterThan">
      <formula>0.03</formula>
    </cfRule>
    <cfRule type="cellIs" dxfId="1537" priority="70" stopIfTrue="1" operator="lessThan">
      <formula>-0.03</formula>
    </cfRule>
  </conditionalFormatting>
  <conditionalFormatting sqref="AU58:AW58">
    <cfRule type="cellIs" dxfId="1536" priority="67" operator="greaterThan">
      <formula>0.03</formula>
    </cfRule>
    <cfRule type="cellIs" dxfId="1535" priority="68" stopIfTrue="1" operator="lessThan">
      <formula>-0.03</formula>
    </cfRule>
  </conditionalFormatting>
  <conditionalFormatting sqref="AR58:AT58">
    <cfRule type="cellIs" dxfId="1534" priority="65" operator="greaterThan">
      <formula>0.03</formula>
    </cfRule>
    <cfRule type="cellIs" dxfId="1533" priority="66" stopIfTrue="1" operator="lessThan">
      <formula>-0.03</formula>
    </cfRule>
  </conditionalFormatting>
  <conditionalFormatting sqref="AU63:AW63">
    <cfRule type="cellIs" dxfId="1532" priority="63" operator="greaterThan">
      <formula>0.03</formula>
    </cfRule>
    <cfRule type="cellIs" dxfId="1531" priority="64" stopIfTrue="1" operator="lessThan">
      <formula>-0.03</formula>
    </cfRule>
  </conditionalFormatting>
  <conditionalFormatting sqref="AR63:AT63">
    <cfRule type="cellIs" dxfId="1530" priority="61" operator="greaterThan">
      <formula>0.03</formula>
    </cfRule>
    <cfRule type="cellIs" dxfId="1529" priority="62" stopIfTrue="1" operator="lessThan">
      <formula>-0.03</formula>
    </cfRule>
  </conditionalFormatting>
  <conditionalFormatting sqref="AU68:AW68">
    <cfRule type="cellIs" dxfId="1528" priority="59" operator="greaterThan">
      <formula>0.03</formula>
    </cfRule>
    <cfRule type="cellIs" dxfId="1527" priority="60" stopIfTrue="1" operator="lessThan">
      <formula>-0.03</formula>
    </cfRule>
  </conditionalFormatting>
  <conditionalFormatting sqref="AR68:AT68">
    <cfRule type="cellIs" dxfId="1526" priority="57" operator="greaterThan">
      <formula>0.03</formula>
    </cfRule>
    <cfRule type="cellIs" dxfId="1525" priority="58" stopIfTrue="1" operator="lessThan">
      <formula>-0.03</formula>
    </cfRule>
  </conditionalFormatting>
  <conditionalFormatting sqref="AU78:AW78">
    <cfRule type="cellIs" dxfId="1524" priority="55" operator="greaterThan">
      <formula>0.03</formula>
    </cfRule>
    <cfRule type="cellIs" dxfId="1523" priority="56" stopIfTrue="1" operator="lessThan">
      <formula>-0.03</formula>
    </cfRule>
  </conditionalFormatting>
  <conditionalFormatting sqref="AR78:AT78">
    <cfRule type="cellIs" dxfId="1522" priority="53" operator="greaterThan">
      <formula>0.03</formula>
    </cfRule>
    <cfRule type="cellIs" dxfId="1521" priority="54" stopIfTrue="1" operator="lessThan">
      <formula>-0.03</formula>
    </cfRule>
  </conditionalFormatting>
  <conditionalFormatting sqref="AU83:AW83">
    <cfRule type="cellIs" dxfId="1520" priority="51" operator="greaterThan">
      <formula>0.03</formula>
    </cfRule>
    <cfRule type="cellIs" dxfId="1519" priority="52" stopIfTrue="1" operator="lessThan">
      <formula>-0.03</formula>
    </cfRule>
  </conditionalFormatting>
  <conditionalFormatting sqref="AR83:AT83">
    <cfRule type="cellIs" dxfId="1518" priority="49" operator="greaterThan">
      <formula>0.03</formula>
    </cfRule>
    <cfRule type="cellIs" dxfId="1517" priority="50" stopIfTrue="1" operator="lessThan">
      <formula>-0.03</formula>
    </cfRule>
  </conditionalFormatting>
  <conditionalFormatting sqref="AU88:AW88">
    <cfRule type="cellIs" dxfId="1516" priority="47" operator="greaterThan">
      <formula>0.03</formula>
    </cfRule>
    <cfRule type="cellIs" dxfId="1515" priority="48" stopIfTrue="1" operator="lessThan">
      <formula>-0.03</formula>
    </cfRule>
  </conditionalFormatting>
  <conditionalFormatting sqref="AR88:AT88">
    <cfRule type="cellIs" dxfId="1514" priority="45" operator="greaterThan">
      <formula>0.03</formula>
    </cfRule>
    <cfRule type="cellIs" dxfId="1513" priority="46" stopIfTrue="1" operator="lessThan">
      <formula>-0.03</formula>
    </cfRule>
  </conditionalFormatting>
  <conditionalFormatting sqref="AU93:AW93">
    <cfRule type="cellIs" dxfId="1512" priority="43" operator="greaterThan">
      <formula>0.03</formula>
    </cfRule>
    <cfRule type="cellIs" dxfId="1511" priority="44" stopIfTrue="1" operator="lessThan">
      <formula>-0.03</formula>
    </cfRule>
  </conditionalFormatting>
  <conditionalFormatting sqref="AR93:AT93">
    <cfRule type="cellIs" dxfId="1510" priority="41" operator="greaterThan">
      <formula>0.03</formula>
    </cfRule>
    <cfRule type="cellIs" dxfId="1509" priority="42" stopIfTrue="1" operator="lessThan">
      <formula>-0.03</formula>
    </cfRule>
  </conditionalFormatting>
  <conditionalFormatting sqref="AU98:AW98">
    <cfRule type="cellIs" dxfId="1508" priority="39" operator="greaterThan">
      <formula>0.03</formula>
    </cfRule>
    <cfRule type="cellIs" dxfId="1507" priority="40" stopIfTrue="1" operator="lessThan">
      <formula>-0.03</formula>
    </cfRule>
  </conditionalFormatting>
  <conditionalFormatting sqref="AR98:AT98">
    <cfRule type="cellIs" dxfId="1506" priority="37" operator="greaterThan">
      <formula>0.03</formula>
    </cfRule>
    <cfRule type="cellIs" dxfId="1505" priority="38" stopIfTrue="1" operator="lessThan">
      <formula>-0.03</formula>
    </cfRule>
  </conditionalFormatting>
  <conditionalFormatting sqref="AU103:AW103">
    <cfRule type="cellIs" dxfId="1504" priority="35" operator="greaterThan">
      <formula>0.03</formula>
    </cfRule>
    <cfRule type="cellIs" dxfId="1503" priority="36" stopIfTrue="1" operator="lessThan">
      <formula>-0.03</formula>
    </cfRule>
  </conditionalFormatting>
  <conditionalFormatting sqref="AR103:AT103">
    <cfRule type="cellIs" dxfId="1502" priority="33" operator="greaterThan">
      <formula>0.03</formula>
    </cfRule>
    <cfRule type="cellIs" dxfId="1501" priority="34" stopIfTrue="1" operator="lessThan">
      <formula>-0.03</formula>
    </cfRule>
  </conditionalFormatting>
  <conditionalFormatting sqref="AU108:AW108">
    <cfRule type="cellIs" dxfId="1500" priority="31" operator="greaterThan">
      <formula>0.03</formula>
    </cfRule>
    <cfRule type="cellIs" dxfId="1499" priority="32" stopIfTrue="1" operator="lessThan">
      <formula>-0.03</formula>
    </cfRule>
  </conditionalFormatting>
  <conditionalFormatting sqref="AR108:AT108">
    <cfRule type="cellIs" dxfId="1498" priority="29" operator="greaterThan">
      <formula>0.03</formula>
    </cfRule>
    <cfRule type="cellIs" dxfId="1497" priority="30" stopIfTrue="1" operator="lessThan">
      <formula>-0.03</formula>
    </cfRule>
  </conditionalFormatting>
  <conditionalFormatting sqref="AU113:AW113">
    <cfRule type="cellIs" dxfId="1496" priority="27" operator="greaterThan">
      <formula>0.03</formula>
    </cfRule>
    <cfRule type="cellIs" dxfId="1495" priority="28" stopIfTrue="1" operator="lessThan">
      <formula>-0.03</formula>
    </cfRule>
  </conditionalFormatting>
  <conditionalFormatting sqref="AR113:AT113">
    <cfRule type="cellIs" dxfId="1494" priority="25" operator="greaterThan">
      <formula>0.03</formula>
    </cfRule>
    <cfRule type="cellIs" dxfId="1493" priority="26" stopIfTrue="1" operator="lessThan">
      <formula>-0.03</formula>
    </cfRule>
  </conditionalFormatting>
  <conditionalFormatting sqref="AU118:AW118">
    <cfRule type="cellIs" dxfId="1492" priority="23" operator="greaterThan">
      <formula>0.03</formula>
    </cfRule>
    <cfRule type="cellIs" dxfId="1491" priority="24" stopIfTrue="1" operator="lessThan">
      <formula>-0.03</formula>
    </cfRule>
  </conditionalFormatting>
  <conditionalFormatting sqref="AR118:AT118">
    <cfRule type="cellIs" dxfId="1490" priority="21" operator="greaterThan">
      <formula>0.03</formula>
    </cfRule>
    <cfRule type="cellIs" dxfId="1489" priority="22" stopIfTrue="1" operator="lessThan">
      <formula>-0.03</formula>
    </cfRule>
  </conditionalFormatting>
  <conditionalFormatting sqref="AU123:AW123">
    <cfRule type="cellIs" dxfId="1488" priority="19" operator="greaterThan">
      <formula>0.03</formula>
    </cfRule>
    <cfRule type="cellIs" dxfId="1487" priority="20" stopIfTrue="1" operator="lessThan">
      <formula>-0.03</formula>
    </cfRule>
  </conditionalFormatting>
  <conditionalFormatting sqref="AR123:AT123">
    <cfRule type="cellIs" dxfId="1486" priority="17" operator="greaterThan">
      <formula>0.03</formula>
    </cfRule>
    <cfRule type="cellIs" dxfId="1485" priority="18" stopIfTrue="1" operator="lessThan">
      <formula>-0.03</formula>
    </cfRule>
  </conditionalFormatting>
  <conditionalFormatting sqref="AU128:AW128">
    <cfRule type="cellIs" dxfId="1484" priority="15" operator="greaterThan">
      <formula>0.03</formula>
    </cfRule>
    <cfRule type="cellIs" dxfId="1483" priority="16" stopIfTrue="1" operator="lessThan">
      <formula>-0.03</formula>
    </cfRule>
  </conditionalFormatting>
  <conditionalFormatting sqref="AR128:AT128">
    <cfRule type="cellIs" dxfId="1482" priority="13" operator="greaterThan">
      <formula>0.03</formula>
    </cfRule>
    <cfRule type="cellIs" dxfId="1481" priority="14" stopIfTrue="1" operator="lessThan">
      <formula>-0.03</formula>
    </cfRule>
  </conditionalFormatting>
  <conditionalFormatting sqref="AF93">
    <cfRule type="cellIs" dxfId="1480" priority="11" operator="greaterThan">
      <formula>0.03</formula>
    </cfRule>
    <cfRule type="cellIs" dxfId="1479" priority="12" stopIfTrue="1" operator="lessThan">
      <formula>-0.03</formula>
    </cfRule>
  </conditionalFormatting>
  <conditionalFormatting sqref="AF93">
    <cfRule type="cellIs" dxfId="1478" priority="9" operator="greaterThan">
      <formula>0.03</formula>
    </cfRule>
    <cfRule type="cellIs" dxfId="1477" priority="10" stopIfTrue="1" operator="lessThan">
      <formula>-0.03</formula>
    </cfRule>
  </conditionalFormatting>
  <conditionalFormatting sqref="AL94">
    <cfRule type="cellIs" dxfId="1476" priority="7" operator="greaterThan">
      <formula>0.03</formula>
    </cfRule>
    <cfRule type="cellIs" dxfId="1475" priority="8" stopIfTrue="1" operator="lessThan">
      <formula>-0.03</formula>
    </cfRule>
  </conditionalFormatting>
  <conditionalFormatting sqref="AL94">
    <cfRule type="cellIs" dxfId="1474" priority="5" operator="greaterThan">
      <formula>0.03</formula>
    </cfRule>
    <cfRule type="cellIs" dxfId="1473" priority="6" stopIfTrue="1" operator="lessThan">
      <formula>-0.03</formula>
    </cfRule>
  </conditionalFormatting>
  <conditionalFormatting sqref="AR93">
    <cfRule type="cellIs" dxfId="1472" priority="3" operator="greaterThan">
      <formula>0.03</formula>
    </cfRule>
    <cfRule type="cellIs" dxfId="1471" priority="4" stopIfTrue="1" operator="lessThan">
      <formula>-0.03</formula>
    </cfRule>
  </conditionalFormatting>
  <conditionalFormatting sqref="AR93">
    <cfRule type="cellIs" dxfId="1470" priority="1" operator="greaterThan">
      <formula>0.03</formula>
    </cfRule>
    <cfRule type="cellIs" dxfId="1469" priority="2" stopIfTrue="1" operator="lessThan">
      <formula>-0.03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08900-5254-4F54-9CC0-839E7E3ABBDA}">
  <sheetPr>
    <tabColor theme="4" tint="0.59999389629810485"/>
  </sheetPr>
  <dimension ref="A1:BC187"/>
  <sheetViews>
    <sheetView topLeftCell="I115" workbookViewId="0">
      <selection activeCell="AF194" sqref="AF194"/>
    </sheetView>
  </sheetViews>
  <sheetFormatPr defaultColWidth="10.75" defaultRowHeight="12" x14ac:dyDescent="0.2"/>
  <cols>
    <col min="1" max="1" width="8.25" style="1" customWidth="1"/>
    <col min="2" max="2" width="14.75" style="1" customWidth="1"/>
    <col min="3" max="3" width="7.75" style="1" customWidth="1"/>
    <col min="4" max="7" width="9.75" style="1" customWidth="1"/>
    <col min="8" max="10" width="6.75" style="1" customWidth="1"/>
    <col min="11" max="14" width="8.75" style="1" customWidth="1"/>
    <col min="15" max="15" width="2.75" style="1" customWidth="1"/>
    <col min="16" max="19" width="9.75" style="1" customWidth="1"/>
    <col min="20" max="22" width="6.75" style="1" customWidth="1"/>
    <col min="23" max="26" width="8.75" style="1" customWidth="1"/>
    <col min="27" max="30" width="5.125" style="1" customWidth="1"/>
    <col min="31" max="31" width="2.75" style="1" customWidth="1"/>
    <col min="32" max="34" width="8.75" style="1" customWidth="1"/>
    <col min="35" max="37" width="8.75" style="1" hidden="1" customWidth="1"/>
    <col min="38" max="40" width="8.75" style="1" customWidth="1"/>
    <col min="41" max="43" width="8.75" style="1" hidden="1" customWidth="1"/>
    <col min="44" max="46" width="8.75" style="1" customWidth="1"/>
    <col min="47" max="49" width="8.75" style="1" hidden="1" customWidth="1"/>
    <col min="50" max="53" width="5.125" style="1" hidden="1" customWidth="1"/>
    <col min="54" max="54" width="5.625" style="1" hidden="1" customWidth="1"/>
    <col min="55" max="55" width="5.5" style="1" hidden="1" customWidth="1"/>
    <col min="56" max="56" width="0" style="1" hidden="1" customWidth="1"/>
    <col min="57" max="16384" width="10.75" style="1"/>
  </cols>
  <sheetData>
    <row r="1" spans="1:55" ht="12.75" thickBot="1" x14ac:dyDescent="0.25">
      <c r="D1" s="68" t="s">
        <v>12</v>
      </c>
      <c r="E1" s="69"/>
      <c r="F1" s="69"/>
      <c r="G1" s="69"/>
      <c r="H1" s="69"/>
      <c r="I1" s="69"/>
      <c r="J1" s="69"/>
      <c r="K1" s="69"/>
      <c r="L1" s="69"/>
      <c r="M1" s="69"/>
      <c r="N1" s="70"/>
      <c r="P1" s="68" t="s">
        <v>13</v>
      </c>
      <c r="Q1" s="69"/>
      <c r="R1" s="69"/>
      <c r="S1" s="69"/>
      <c r="T1" s="69"/>
      <c r="U1" s="69"/>
      <c r="V1" s="69"/>
      <c r="W1" s="69"/>
      <c r="X1" s="69"/>
      <c r="Y1" s="69"/>
      <c r="Z1" s="70"/>
      <c r="AA1" s="24"/>
      <c r="AB1" s="24" t="s">
        <v>74</v>
      </c>
      <c r="AC1" s="24" t="s">
        <v>75</v>
      </c>
      <c r="AD1" s="24"/>
      <c r="AE1" s="2"/>
      <c r="AF1" s="68" t="s">
        <v>62</v>
      </c>
      <c r="AG1" s="69"/>
      <c r="AH1" s="70"/>
      <c r="AI1" s="68" t="s">
        <v>61</v>
      </c>
      <c r="AJ1" s="69"/>
      <c r="AK1" s="70"/>
      <c r="AL1" s="68" t="s">
        <v>59</v>
      </c>
      <c r="AM1" s="69"/>
      <c r="AN1" s="70"/>
      <c r="AO1" s="68" t="s">
        <v>60</v>
      </c>
      <c r="AP1" s="69"/>
      <c r="AQ1" s="70"/>
      <c r="AR1" s="68" t="s">
        <v>76</v>
      </c>
      <c r="AS1" s="69"/>
      <c r="AT1" s="70"/>
      <c r="AU1" s="68" t="s">
        <v>76</v>
      </c>
      <c r="AV1" s="69"/>
      <c r="AW1" s="70"/>
      <c r="AX1" s="71" t="s">
        <v>71</v>
      </c>
      <c r="AY1" s="72"/>
      <c r="AZ1" s="24"/>
      <c r="BA1" s="72" t="s">
        <v>70</v>
      </c>
      <c r="BB1" s="72"/>
    </row>
    <row r="2" spans="1:55" ht="12.75" thickBot="1" x14ac:dyDescent="0.25">
      <c r="A2" s="39"/>
      <c r="B2" s="35"/>
      <c r="C2" s="34" t="s">
        <v>0</v>
      </c>
      <c r="D2" s="5" t="s">
        <v>14</v>
      </c>
      <c r="E2" s="6" t="s">
        <v>56</v>
      </c>
      <c r="F2" s="6" t="s">
        <v>57</v>
      </c>
      <c r="G2" s="6" t="s">
        <v>58</v>
      </c>
      <c r="H2" s="6" t="s">
        <v>53</v>
      </c>
      <c r="I2" s="6" t="s">
        <v>54</v>
      </c>
      <c r="J2" s="6" t="s">
        <v>55</v>
      </c>
      <c r="K2" s="6" t="s">
        <v>15</v>
      </c>
      <c r="L2" s="6" t="s">
        <v>72</v>
      </c>
      <c r="M2" s="49" t="s">
        <v>73</v>
      </c>
      <c r="N2" s="7" t="s">
        <v>16</v>
      </c>
      <c r="O2" s="2"/>
      <c r="P2" s="5" t="s">
        <v>14</v>
      </c>
      <c r="Q2" s="6" t="s">
        <v>56</v>
      </c>
      <c r="R2" s="6" t="s">
        <v>57</v>
      </c>
      <c r="S2" s="6" t="s">
        <v>58</v>
      </c>
      <c r="T2" s="6" t="s">
        <v>53</v>
      </c>
      <c r="U2" s="6" t="s">
        <v>54</v>
      </c>
      <c r="V2" s="6" t="s">
        <v>55</v>
      </c>
      <c r="W2" s="6" t="s">
        <v>15</v>
      </c>
      <c r="X2" s="6" t="s">
        <v>72</v>
      </c>
      <c r="Y2" s="6" t="s">
        <v>73</v>
      </c>
      <c r="Z2" s="7" t="s">
        <v>16</v>
      </c>
      <c r="AA2" s="2" t="s">
        <v>38</v>
      </c>
      <c r="AB2" s="2" t="s">
        <v>39</v>
      </c>
      <c r="AC2" s="2" t="s">
        <v>39</v>
      </c>
      <c r="AD2" s="24" t="s">
        <v>63</v>
      </c>
      <c r="AE2" s="2"/>
      <c r="AF2" s="5" t="s">
        <v>56</v>
      </c>
      <c r="AG2" s="6" t="s">
        <v>57</v>
      </c>
      <c r="AH2" s="7" t="s">
        <v>58</v>
      </c>
      <c r="AI2" s="5" t="s">
        <v>53</v>
      </c>
      <c r="AJ2" s="6" t="s">
        <v>54</v>
      </c>
      <c r="AK2" s="7" t="s">
        <v>55</v>
      </c>
      <c r="AL2" s="5" t="s">
        <v>56</v>
      </c>
      <c r="AM2" s="6" t="s">
        <v>57</v>
      </c>
      <c r="AN2" s="7" t="s">
        <v>58</v>
      </c>
      <c r="AO2" s="5" t="s">
        <v>53</v>
      </c>
      <c r="AP2" s="6" t="s">
        <v>54</v>
      </c>
      <c r="AQ2" s="7" t="s">
        <v>55</v>
      </c>
      <c r="AR2" s="5" t="s">
        <v>56</v>
      </c>
      <c r="AS2" s="6" t="s">
        <v>57</v>
      </c>
      <c r="AT2" s="7" t="s">
        <v>58</v>
      </c>
      <c r="AU2" s="5" t="s">
        <v>53</v>
      </c>
      <c r="AV2" s="6" t="s">
        <v>54</v>
      </c>
      <c r="AW2" s="7" t="s">
        <v>55</v>
      </c>
      <c r="AX2" s="2" t="s">
        <v>38</v>
      </c>
      <c r="AY2" s="2" t="s">
        <v>39</v>
      </c>
      <c r="AZ2" s="24" t="s">
        <v>63</v>
      </c>
      <c r="BA2" s="2" t="s">
        <v>38</v>
      </c>
      <c r="BB2" s="2" t="s">
        <v>39</v>
      </c>
      <c r="BC2" s="24" t="s">
        <v>63</v>
      </c>
    </row>
    <row r="3" spans="1:55" ht="15" x14ac:dyDescent="0.2">
      <c r="A3" s="48" t="s">
        <v>40</v>
      </c>
      <c r="B3" s="8" t="s">
        <v>48</v>
      </c>
      <c r="C3" s="39">
        <v>22</v>
      </c>
      <c r="D3" s="53">
        <v>20721.509999999998</v>
      </c>
      <c r="E3" s="53">
        <v>44.472700000000003</v>
      </c>
      <c r="F3" s="53"/>
      <c r="G3" s="53"/>
      <c r="H3" s="53"/>
      <c r="I3" s="53"/>
      <c r="J3" s="53"/>
      <c r="K3" s="10">
        <v>0</v>
      </c>
      <c r="L3" s="10">
        <v>0</v>
      </c>
      <c r="M3" s="10">
        <v>0</v>
      </c>
      <c r="N3" s="11">
        <f t="shared" ref="N3:N66" si="0">K3/3600</f>
        <v>0</v>
      </c>
      <c r="P3" s="54">
        <v>20714.25</v>
      </c>
      <c r="Q3" s="54">
        <v>44.472799999999999</v>
      </c>
      <c r="R3" s="54"/>
      <c r="S3" s="54"/>
      <c r="T3" s="54"/>
      <c r="U3" s="54"/>
      <c r="V3" s="54"/>
      <c r="W3" s="10">
        <v>0</v>
      </c>
      <c r="X3" s="10">
        <v>0</v>
      </c>
      <c r="Y3" s="10">
        <v>0</v>
      </c>
      <c r="Z3" s="11">
        <f>W3/3600</f>
        <v>0</v>
      </c>
      <c r="AA3" s="10" t="e">
        <f t="shared" ref="AA3:AA66" si="1">V3/J3</f>
        <v>#DIV/0!</v>
      </c>
      <c r="AB3" s="10" t="e">
        <f t="shared" ref="AB3:AC18" si="2">X3/L3</f>
        <v>#DIV/0!</v>
      </c>
      <c r="AC3" s="10" t="e">
        <f t="shared" si="2"/>
        <v>#DIV/0!</v>
      </c>
      <c r="AD3" s="11">
        <f>ABS(P3-D3)/D3</f>
        <v>3.5036056735239854E-4</v>
      </c>
      <c r="AE3" s="40"/>
      <c r="AF3" s="25">
        <f t="shared" ref="AF3:AK3" si="3">bdRateExtend($D3:$D7,E3:E7,$P3:$P7,Q3:Q7)</f>
        <v>3.0438462050064174E-4</v>
      </c>
      <c r="AG3" s="30" t="e">
        <f t="shared" si="3"/>
        <v>#VALUE!</v>
      </c>
      <c r="AH3" s="31" t="e">
        <f t="shared" si="3"/>
        <v>#VALUE!</v>
      </c>
      <c r="AI3" s="25" t="e">
        <f t="shared" si="3"/>
        <v>#VALUE!</v>
      </c>
      <c r="AJ3" s="30" t="e">
        <f t="shared" si="3"/>
        <v>#VALUE!</v>
      </c>
      <c r="AK3" s="30" t="e">
        <f t="shared" si="3"/>
        <v>#VALUE!</v>
      </c>
      <c r="AL3" s="39"/>
      <c r="AM3" s="35"/>
      <c r="AN3" s="34"/>
      <c r="AO3" s="35"/>
      <c r="AP3" s="35"/>
      <c r="AQ3" s="34"/>
      <c r="AR3" s="30">
        <f t="shared" ref="AR3:AW3" si="4">bdrate($D3:$D6,E3:E6,$P3:$P6,Q3:Q6)</f>
        <v>-2.6172612120667349E-4</v>
      </c>
      <c r="AS3" s="30" t="e">
        <f t="shared" si="4"/>
        <v>#VALUE!</v>
      </c>
      <c r="AT3" s="31" t="e">
        <f t="shared" si="4"/>
        <v>#VALUE!</v>
      </c>
      <c r="AU3" s="25" t="e">
        <f t="shared" si="4"/>
        <v>#VALUE!</v>
      </c>
      <c r="AV3" s="30" t="e">
        <f t="shared" si="4"/>
        <v>#VALUE!</v>
      </c>
      <c r="AW3" s="31" t="e">
        <f t="shared" si="4"/>
        <v>#VALUE!</v>
      </c>
      <c r="AX3" s="10"/>
      <c r="AY3" s="10"/>
      <c r="AZ3" s="10"/>
      <c r="BA3" s="10" t="e">
        <f>V3/J3</f>
        <v>#DIV/0!</v>
      </c>
      <c r="BB3" s="10" t="e">
        <f t="shared" ref="BB3:BB6" si="5">X3/L3</f>
        <v>#DIV/0!</v>
      </c>
      <c r="BC3" s="10" t="e">
        <f>Z3/N3</f>
        <v>#DIV/0!</v>
      </c>
    </row>
    <row r="4" spans="1:55" ht="15" x14ac:dyDescent="0.2">
      <c r="A4" s="13" t="s">
        <v>19</v>
      </c>
      <c r="C4" s="43">
        <v>27</v>
      </c>
      <c r="D4" s="53">
        <v>8912.9699999999993</v>
      </c>
      <c r="E4" s="53">
        <v>40.903599999999997</v>
      </c>
      <c r="F4" s="53"/>
      <c r="G4" s="53"/>
      <c r="H4" s="53"/>
      <c r="I4" s="53"/>
      <c r="J4" s="53"/>
      <c r="K4" s="15">
        <v>0</v>
      </c>
      <c r="L4" s="15">
        <v>0</v>
      </c>
      <c r="M4" s="15">
        <v>0</v>
      </c>
      <c r="N4" s="16">
        <f t="shared" si="0"/>
        <v>0</v>
      </c>
      <c r="P4" s="54">
        <v>8927.5499999999993</v>
      </c>
      <c r="Q4" s="54">
        <v>40.912300000000002</v>
      </c>
      <c r="R4" s="54"/>
      <c r="S4" s="54"/>
      <c r="T4" s="54"/>
      <c r="U4" s="54"/>
      <c r="V4" s="54"/>
      <c r="W4" s="15">
        <v>0</v>
      </c>
      <c r="X4" s="15">
        <v>0</v>
      </c>
      <c r="Y4" s="15">
        <v>0</v>
      </c>
      <c r="Z4" s="16">
        <f t="shared" ref="Z4:Z67" si="6">W4/3600</f>
        <v>0</v>
      </c>
      <c r="AA4" s="15" t="e">
        <f t="shared" si="1"/>
        <v>#DIV/0!</v>
      </c>
      <c r="AB4" s="15" t="e">
        <f t="shared" si="2"/>
        <v>#DIV/0!</v>
      </c>
      <c r="AC4" s="15" t="e">
        <f t="shared" si="2"/>
        <v>#DIV/0!</v>
      </c>
      <c r="AD4" s="16">
        <f t="shared" ref="AD4:AD67" si="7">ABS(P4-D4)/D4</f>
        <v>1.6358183635757698E-3</v>
      </c>
      <c r="AE4" s="12"/>
      <c r="AF4" s="26"/>
      <c r="AG4" s="21"/>
      <c r="AH4" s="36"/>
      <c r="AI4" s="26"/>
      <c r="AJ4" s="21"/>
      <c r="AK4" s="21"/>
      <c r="AL4" s="26">
        <f>bdrate($D4:$D7,E4:E7,$P4:$P7,Q4:Q7)</f>
        <v>9.4020982796294561E-4</v>
      </c>
      <c r="AM4" s="21" t="e">
        <f>bdrate($D4:$D7,F4:F7,$P4:$P7,R4:R7)</f>
        <v>#VALUE!</v>
      </c>
      <c r="AN4" s="36" t="e">
        <f t="shared" ref="AN4" si="8">bdrate($D4:$D7,G4:G7,$P4:$P7,S4:S7)</f>
        <v>#VALUE!</v>
      </c>
      <c r="AO4" s="26" t="e">
        <f>bdrate($D4:$D7,H4:H7,$P4:$P7,T4:T7)</f>
        <v>#VALUE!</v>
      </c>
      <c r="AP4" s="21" t="e">
        <f>bdrate($D4:$D7,I4:I7,$P4:$P7,U4:U7)</f>
        <v>#VALUE!</v>
      </c>
      <c r="AQ4" s="36" t="e">
        <f>bdrate($D4:$D7,J4:J7,$P4:$P7,V4:V7)</f>
        <v>#VALUE!</v>
      </c>
      <c r="AR4" s="21"/>
      <c r="AS4" s="21"/>
      <c r="AT4" s="36"/>
      <c r="AU4" s="26"/>
      <c r="AV4" s="21"/>
      <c r="AW4" s="36"/>
      <c r="AX4" s="15" t="e">
        <f>V4/J4</f>
        <v>#DIV/0!</v>
      </c>
      <c r="AY4" s="15" t="e">
        <f t="shared" ref="AY4:AY7" si="9">X4/L4</f>
        <v>#DIV/0!</v>
      </c>
      <c r="AZ4" s="15" t="e">
        <f t="shared" ref="AZ4:AZ67" si="10">Z4/N4</f>
        <v>#DIV/0!</v>
      </c>
      <c r="BA4" s="15" t="e">
        <f>V4/J4</f>
        <v>#DIV/0!</v>
      </c>
      <c r="BB4" s="15" t="e">
        <f t="shared" si="5"/>
        <v>#DIV/0!</v>
      </c>
      <c r="BC4" s="15" t="e">
        <f t="shared" ref="BC4:BC66" si="11">Z4/N4</f>
        <v>#DIV/0!</v>
      </c>
    </row>
    <row r="5" spans="1:55" ht="15" x14ac:dyDescent="0.2">
      <c r="A5" s="13"/>
      <c r="B5" s="13"/>
      <c r="C5" s="43">
        <v>32</v>
      </c>
      <c r="D5" s="53">
        <v>3204.96</v>
      </c>
      <c r="E5" s="53">
        <v>38.310699999999997</v>
      </c>
      <c r="F5" s="53"/>
      <c r="G5" s="53"/>
      <c r="H5" s="53"/>
      <c r="I5" s="53"/>
      <c r="J5" s="53"/>
      <c r="K5" s="15">
        <v>0</v>
      </c>
      <c r="L5" s="15">
        <v>0</v>
      </c>
      <c r="M5" s="15">
        <v>0</v>
      </c>
      <c r="N5" s="16">
        <f t="shared" si="0"/>
        <v>0</v>
      </c>
      <c r="P5" s="54">
        <v>3201.78</v>
      </c>
      <c r="Q5" s="54">
        <v>38.307299999999998</v>
      </c>
      <c r="R5" s="54"/>
      <c r="S5" s="54"/>
      <c r="T5" s="54"/>
      <c r="U5" s="54"/>
      <c r="V5" s="54"/>
      <c r="W5" s="15">
        <v>0</v>
      </c>
      <c r="X5" s="15">
        <v>0</v>
      </c>
      <c r="Y5" s="15">
        <v>0</v>
      </c>
      <c r="Z5" s="16">
        <f t="shared" si="6"/>
        <v>0</v>
      </c>
      <c r="AA5" s="15" t="e">
        <f t="shared" si="1"/>
        <v>#DIV/0!</v>
      </c>
      <c r="AB5" s="15" t="e">
        <f t="shared" si="2"/>
        <v>#DIV/0!</v>
      </c>
      <c r="AC5" s="15" t="e">
        <f t="shared" si="2"/>
        <v>#DIV/0!</v>
      </c>
      <c r="AD5" s="16">
        <f t="shared" si="7"/>
        <v>9.9221207128945017E-4</v>
      </c>
      <c r="AE5" s="12"/>
      <c r="AF5" s="26"/>
      <c r="AG5" s="21"/>
      <c r="AH5" s="36"/>
      <c r="AI5" s="26"/>
      <c r="AJ5" s="21"/>
      <c r="AK5" s="21"/>
      <c r="AL5" s="26"/>
      <c r="AM5" s="21"/>
      <c r="AN5" s="36"/>
      <c r="AO5" s="21"/>
      <c r="AP5" s="21"/>
      <c r="AQ5" s="36"/>
      <c r="AR5" s="21"/>
      <c r="AS5" s="21"/>
      <c r="AT5" s="36"/>
      <c r="AU5" s="26"/>
      <c r="AV5" s="21"/>
      <c r="AW5" s="36"/>
      <c r="AX5" s="15" t="e">
        <f>V5/J5</f>
        <v>#DIV/0!</v>
      </c>
      <c r="AY5" s="15" t="e">
        <f t="shared" si="9"/>
        <v>#DIV/0!</v>
      </c>
      <c r="AZ5" s="15" t="e">
        <f t="shared" si="10"/>
        <v>#DIV/0!</v>
      </c>
      <c r="BA5" s="15" t="e">
        <f>V5/J5</f>
        <v>#DIV/0!</v>
      </c>
      <c r="BB5" s="15" t="e">
        <f t="shared" si="5"/>
        <v>#DIV/0!</v>
      </c>
      <c r="BC5" s="15" t="e">
        <f t="shared" si="11"/>
        <v>#DIV/0!</v>
      </c>
    </row>
    <row r="6" spans="1:55" ht="15" x14ac:dyDescent="0.2">
      <c r="A6" s="13"/>
      <c r="B6" s="13"/>
      <c r="C6" s="43">
        <v>37</v>
      </c>
      <c r="D6" s="53">
        <v>1668.39</v>
      </c>
      <c r="E6" s="53">
        <v>36.691600000000001</v>
      </c>
      <c r="F6" s="53"/>
      <c r="G6" s="53"/>
      <c r="H6" s="53"/>
      <c r="I6" s="53"/>
      <c r="J6" s="53"/>
      <c r="K6" s="15">
        <v>0</v>
      </c>
      <c r="L6" s="15">
        <v>0</v>
      </c>
      <c r="M6" s="15">
        <v>0</v>
      </c>
      <c r="N6" s="16">
        <f t="shared" si="0"/>
        <v>0</v>
      </c>
      <c r="P6" s="54">
        <v>1668</v>
      </c>
      <c r="Q6" s="54">
        <v>36.680500000000002</v>
      </c>
      <c r="R6" s="54"/>
      <c r="S6" s="54"/>
      <c r="T6" s="54"/>
      <c r="U6" s="54"/>
      <c r="V6" s="54"/>
      <c r="W6" s="15">
        <v>0</v>
      </c>
      <c r="X6" s="15">
        <v>0</v>
      </c>
      <c r="Y6" s="15">
        <v>0</v>
      </c>
      <c r="Z6" s="16">
        <f t="shared" si="6"/>
        <v>0</v>
      </c>
      <c r="AA6" s="15" t="e">
        <f t="shared" si="1"/>
        <v>#DIV/0!</v>
      </c>
      <c r="AB6" s="15" t="e">
        <f t="shared" si="2"/>
        <v>#DIV/0!</v>
      </c>
      <c r="AC6" s="15" t="e">
        <f t="shared" si="2"/>
        <v>#DIV/0!</v>
      </c>
      <c r="AD6" s="16">
        <f t="shared" si="7"/>
        <v>2.3375829392414244E-4</v>
      </c>
      <c r="AE6" s="12"/>
      <c r="AF6" s="26"/>
      <c r="AG6" s="21"/>
      <c r="AH6" s="36"/>
      <c r="AI6" s="26"/>
      <c r="AJ6" s="21"/>
      <c r="AK6" s="21"/>
      <c r="AL6" s="26"/>
      <c r="AM6" s="21"/>
      <c r="AN6" s="36"/>
      <c r="AO6" s="21"/>
      <c r="AP6" s="21"/>
      <c r="AQ6" s="36"/>
      <c r="AR6" s="21"/>
      <c r="AS6" s="21"/>
      <c r="AT6" s="36"/>
      <c r="AU6" s="26"/>
      <c r="AV6" s="21"/>
      <c r="AW6" s="36"/>
      <c r="AX6" s="15" t="e">
        <f>V6/J6</f>
        <v>#DIV/0!</v>
      </c>
      <c r="AY6" s="15" t="e">
        <f t="shared" si="9"/>
        <v>#DIV/0!</v>
      </c>
      <c r="AZ6" s="15" t="e">
        <f t="shared" si="10"/>
        <v>#DIV/0!</v>
      </c>
      <c r="BA6" s="15" t="e">
        <f>V6/J6</f>
        <v>#DIV/0!</v>
      </c>
      <c r="BB6" s="15" t="e">
        <f t="shared" si="5"/>
        <v>#DIV/0!</v>
      </c>
      <c r="BC6" s="15" t="e">
        <f t="shared" si="11"/>
        <v>#DIV/0!</v>
      </c>
    </row>
    <row r="7" spans="1:55" ht="15.75" thickBot="1" x14ac:dyDescent="0.25">
      <c r="A7" s="13"/>
      <c r="B7" s="17"/>
      <c r="C7" s="44">
        <v>42</v>
      </c>
      <c r="D7" s="53">
        <v>894.09</v>
      </c>
      <c r="E7" s="53">
        <v>35.027700000000003</v>
      </c>
      <c r="F7" s="53"/>
      <c r="G7" s="53"/>
      <c r="H7" s="53"/>
      <c r="I7" s="53"/>
      <c r="J7" s="53"/>
      <c r="K7" s="19">
        <v>0</v>
      </c>
      <c r="L7" s="19">
        <v>0</v>
      </c>
      <c r="M7" s="19">
        <v>0</v>
      </c>
      <c r="N7" s="20">
        <f t="shared" si="0"/>
        <v>0</v>
      </c>
      <c r="P7" s="54">
        <v>892.35</v>
      </c>
      <c r="Q7" s="54">
        <v>35.023200000000003</v>
      </c>
      <c r="R7" s="54"/>
      <c r="S7" s="54"/>
      <c r="T7" s="54"/>
      <c r="U7" s="54"/>
      <c r="V7" s="54"/>
      <c r="W7" s="19">
        <v>0</v>
      </c>
      <c r="X7" s="19">
        <v>0</v>
      </c>
      <c r="Y7" s="19">
        <v>0</v>
      </c>
      <c r="Z7" s="20">
        <f t="shared" si="6"/>
        <v>0</v>
      </c>
      <c r="AA7" s="15" t="e">
        <f t="shared" si="1"/>
        <v>#DIV/0!</v>
      </c>
      <c r="AB7" s="15" t="e">
        <f t="shared" si="2"/>
        <v>#DIV/0!</v>
      </c>
      <c r="AC7" s="15" t="e">
        <f t="shared" si="2"/>
        <v>#DIV/0!</v>
      </c>
      <c r="AD7" s="20">
        <f t="shared" si="7"/>
        <v>1.9461128074355031E-3</v>
      </c>
      <c r="AE7" s="12"/>
      <c r="AF7" s="27"/>
      <c r="AG7" s="37"/>
      <c r="AH7" s="38"/>
      <c r="AI7" s="27"/>
      <c r="AJ7" s="37"/>
      <c r="AK7" s="37"/>
      <c r="AL7" s="26"/>
      <c r="AM7" s="21"/>
      <c r="AN7" s="36"/>
      <c r="AO7" s="21"/>
      <c r="AP7" s="21"/>
      <c r="AQ7" s="36"/>
      <c r="AR7" s="37"/>
      <c r="AS7" s="37"/>
      <c r="AT7" s="38"/>
      <c r="AU7" s="27"/>
      <c r="AV7" s="37"/>
      <c r="AW7" s="38"/>
      <c r="AX7" s="15" t="e">
        <f>V7/J7</f>
        <v>#DIV/0!</v>
      </c>
      <c r="AY7" s="15" t="e">
        <f t="shared" si="9"/>
        <v>#DIV/0!</v>
      </c>
      <c r="AZ7" s="15" t="e">
        <f t="shared" si="10"/>
        <v>#DIV/0!</v>
      </c>
      <c r="BA7" s="15"/>
      <c r="BB7" s="15"/>
      <c r="BC7" s="15"/>
    </row>
    <row r="8" spans="1:55" ht="15" x14ac:dyDescent="0.2">
      <c r="A8" s="13"/>
      <c r="B8" s="8" t="s">
        <v>43</v>
      </c>
      <c r="C8" s="39">
        <v>22</v>
      </c>
      <c r="D8" s="53">
        <v>6077.1</v>
      </c>
      <c r="E8" s="53">
        <v>47.523699999999998</v>
      </c>
      <c r="F8" s="53"/>
      <c r="G8" s="53"/>
      <c r="H8" s="53"/>
      <c r="I8" s="53"/>
      <c r="J8" s="53"/>
      <c r="K8" s="10">
        <v>0</v>
      </c>
      <c r="L8" s="10">
        <v>0</v>
      </c>
      <c r="M8" s="10">
        <v>0</v>
      </c>
      <c r="N8" s="11">
        <f t="shared" si="0"/>
        <v>0</v>
      </c>
      <c r="P8" s="54">
        <v>6108.06</v>
      </c>
      <c r="Q8" s="54">
        <v>47.531100000000002</v>
      </c>
      <c r="R8" s="54"/>
      <c r="S8" s="54"/>
      <c r="T8" s="54"/>
      <c r="U8" s="54"/>
      <c r="V8" s="54"/>
      <c r="W8" s="10">
        <v>0</v>
      </c>
      <c r="X8" s="10">
        <v>0</v>
      </c>
      <c r="Y8" s="10">
        <v>0</v>
      </c>
      <c r="Z8" s="11">
        <f t="shared" si="6"/>
        <v>0</v>
      </c>
      <c r="AA8" s="15" t="e">
        <f t="shared" si="1"/>
        <v>#DIV/0!</v>
      </c>
      <c r="AB8" s="15" t="e">
        <f t="shared" si="2"/>
        <v>#DIV/0!</v>
      </c>
      <c r="AC8" s="15" t="e">
        <f t="shared" si="2"/>
        <v>#DIV/0!</v>
      </c>
      <c r="AD8" s="11">
        <f t="shared" si="7"/>
        <v>5.0945352223922651E-3</v>
      </c>
      <c r="AE8" s="12"/>
      <c r="AF8" s="25">
        <f t="shared" ref="AF8:AK8" si="12">bdRateExtend($D8:$D12,E8:E12,$P8:$P12,Q8:Q12)</f>
        <v>1.9032622093511087E-3</v>
      </c>
      <c r="AG8" s="30" t="e">
        <f t="shared" si="12"/>
        <v>#VALUE!</v>
      </c>
      <c r="AH8" s="31" t="e">
        <f t="shared" si="12"/>
        <v>#VALUE!</v>
      </c>
      <c r="AI8" s="25" t="e">
        <f t="shared" si="12"/>
        <v>#VALUE!</v>
      </c>
      <c r="AJ8" s="30" t="e">
        <f t="shared" si="12"/>
        <v>#VALUE!</v>
      </c>
      <c r="AK8" s="30" t="e">
        <f t="shared" si="12"/>
        <v>#VALUE!</v>
      </c>
      <c r="AL8" s="45"/>
      <c r="AM8" s="46"/>
      <c r="AN8" s="47"/>
      <c r="AO8" s="46"/>
      <c r="AP8" s="46"/>
      <c r="AQ8" s="47"/>
      <c r="AR8" s="30">
        <f t="shared" ref="AR8:AW8" si="13">bdrate($D8:$D11,E8:E11,$P8:$P11,Q8:Q11)</f>
        <v>5.2909556894742416E-4</v>
      </c>
      <c r="AS8" s="30" t="e">
        <f t="shared" si="13"/>
        <v>#VALUE!</v>
      </c>
      <c r="AT8" s="31" t="e">
        <f t="shared" si="13"/>
        <v>#VALUE!</v>
      </c>
      <c r="AU8" s="25" t="e">
        <f t="shared" si="13"/>
        <v>#VALUE!</v>
      </c>
      <c r="AV8" s="30" t="e">
        <f t="shared" si="13"/>
        <v>#VALUE!</v>
      </c>
      <c r="AW8" s="31" t="e">
        <f t="shared" si="13"/>
        <v>#VALUE!</v>
      </c>
      <c r="AX8" s="15"/>
      <c r="AY8" s="15"/>
      <c r="AZ8" s="15"/>
      <c r="BA8" s="15" t="e">
        <f>V8/J8</f>
        <v>#DIV/0!</v>
      </c>
      <c r="BB8" s="15" t="e">
        <f t="shared" ref="BB8:BB11" si="14">X8/L8</f>
        <v>#DIV/0!</v>
      </c>
      <c r="BC8" s="15" t="e">
        <f t="shared" si="11"/>
        <v>#DIV/0!</v>
      </c>
    </row>
    <row r="9" spans="1:55" ht="15" x14ac:dyDescent="0.2">
      <c r="A9" s="13"/>
      <c r="B9" s="13"/>
      <c r="C9" s="43">
        <v>27</v>
      </c>
      <c r="D9" s="53">
        <v>2767.2</v>
      </c>
      <c r="E9" s="53">
        <v>46.576799999999999</v>
      </c>
      <c r="F9" s="53"/>
      <c r="G9" s="53"/>
      <c r="H9" s="53"/>
      <c r="I9" s="53"/>
      <c r="J9" s="53"/>
      <c r="K9" s="15">
        <v>0</v>
      </c>
      <c r="L9" s="15">
        <v>0</v>
      </c>
      <c r="M9" s="15">
        <v>0</v>
      </c>
      <c r="N9" s="16">
        <f t="shared" si="0"/>
        <v>0</v>
      </c>
      <c r="P9" s="54">
        <v>2771.64</v>
      </c>
      <c r="Q9" s="54">
        <v>46.580100000000002</v>
      </c>
      <c r="R9" s="54"/>
      <c r="S9" s="54"/>
      <c r="T9" s="54"/>
      <c r="U9" s="54"/>
      <c r="V9" s="54"/>
      <c r="W9" s="15">
        <v>0</v>
      </c>
      <c r="X9" s="15">
        <v>0</v>
      </c>
      <c r="Y9" s="15">
        <v>0</v>
      </c>
      <c r="Z9" s="16">
        <f t="shared" si="6"/>
        <v>0</v>
      </c>
      <c r="AA9" s="15" t="e">
        <f t="shared" si="1"/>
        <v>#DIV/0!</v>
      </c>
      <c r="AB9" s="15" t="e">
        <f t="shared" si="2"/>
        <v>#DIV/0!</v>
      </c>
      <c r="AC9" s="15" t="e">
        <f t="shared" si="2"/>
        <v>#DIV/0!</v>
      </c>
      <c r="AD9" s="16">
        <f t="shared" si="7"/>
        <v>1.6045099739809391E-3</v>
      </c>
      <c r="AE9" s="12"/>
      <c r="AF9" s="26"/>
      <c r="AG9" s="21"/>
      <c r="AH9" s="36"/>
      <c r="AI9" s="26"/>
      <c r="AJ9" s="21"/>
      <c r="AK9" s="21"/>
      <c r="AL9" s="26">
        <f>bdrate($D9:$D12,E9:E12,$P9:$P12,Q9:Q12)</f>
        <v>2.6358375150350444E-3</v>
      </c>
      <c r="AM9" s="21" t="e">
        <f>bdrate($D9:$D12,F9:F12,$P9:$P12,R9:R12)</f>
        <v>#VALUE!</v>
      </c>
      <c r="AN9" s="36" t="e">
        <f t="shared" ref="AN9" si="15">bdrate($D9:$D12,G9:G12,$P9:$P12,S9:S12)</f>
        <v>#VALUE!</v>
      </c>
      <c r="AO9" s="26" t="e">
        <f>bdrate($D9:$D12,H9:H12,$P9:$P12,T9:T12)</f>
        <v>#VALUE!</v>
      </c>
      <c r="AP9" s="21" t="e">
        <f>bdrate($D9:$D12,I9:I12,$P9:$P12,U9:U12)</f>
        <v>#VALUE!</v>
      </c>
      <c r="AQ9" s="36" t="e">
        <f>bdrate($D9:$D12,J9:J12,$P9:$P12,V9:V12)</f>
        <v>#VALUE!</v>
      </c>
      <c r="AR9" s="21"/>
      <c r="AS9" s="21"/>
      <c r="AT9" s="36"/>
      <c r="AU9" s="26"/>
      <c r="AV9" s="21"/>
      <c r="AW9" s="36"/>
      <c r="AX9" s="15" t="e">
        <f>V9/J9</f>
        <v>#DIV/0!</v>
      </c>
      <c r="AY9" s="15" t="e">
        <f t="shared" ref="AY9:AY12" si="16">X9/L9</f>
        <v>#DIV/0!</v>
      </c>
      <c r="AZ9" s="15" t="e">
        <f t="shared" si="10"/>
        <v>#DIV/0!</v>
      </c>
      <c r="BA9" s="15" t="e">
        <f>V9/J9</f>
        <v>#DIV/0!</v>
      </c>
      <c r="BB9" s="15" t="e">
        <f t="shared" si="14"/>
        <v>#DIV/0!</v>
      </c>
      <c r="BC9" s="15" t="e">
        <f t="shared" si="11"/>
        <v>#DIV/0!</v>
      </c>
    </row>
    <row r="10" spans="1:55" ht="15" x14ac:dyDescent="0.2">
      <c r="A10" s="13"/>
      <c r="B10" s="13"/>
      <c r="C10" s="43">
        <v>32</v>
      </c>
      <c r="D10" s="53">
        <v>1745.58</v>
      </c>
      <c r="E10" s="53">
        <v>45.583799999999997</v>
      </c>
      <c r="F10" s="53"/>
      <c r="G10" s="53"/>
      <c r="H10" s="53"/>
      <c r="I10" s="53"/>
      <c r="J10" s="53"/>
      <c r="K10" s="15">
        <v>0</v>
      </c>
      <c r="L10" s="15">
        <v>0</v>
      </c>
      <c r="M10" s="15">
        <v>0</v>
      </c>
      <c r="N10" s="16">
        <f t="shared" si="0"/>
        <v>0</v>
      </c>
      <c r="P10" s="54">
        <v>1738.08</v>
      </c>
      <c r="Q10" s="54">
        <v>45.572699999999998</v>
      </c>
      <c r="R10" s="54"/>
      <c r="S10" s="54"/>
      <c r="T10" s="54"/>
      <c r="U10" s="54"/>
      <c r="V10" s="54"/>
      <c r="W10" s="15">
        <v>0</v>
      </c>
      <c r="X10" s="15">
        <v>0</v>
      </c>
      <c r="Y10" s="15">
        <v>0</v>
      </c>
      <c r="Z10" s="16">
        <f t="shared" si="6"/>
        <v>0</v>
      </c>
      <c r="AA10" s="15" t="e">
        <f t="shared" si="1"/>
        <v>#DIV/0!</v>
      </c>
      <c r="AB10" s="15" t="e">
        <f t="shared" si="2"/>
        <v>#DIV/0!</v>
      </c>
      <c r="AC10" s="15" t="e">
        <f t="shared" si="2"/>
        <v>#DIV/0!</v>
      </c>
      <c r="AD10" s="16">
        <f t="shared" si="7"/>
        <v>4.2965661843055031E-3</v>
      </c>
      <c r="AE10" s="12"/>
      <c r="AF10" s="26"/>
      <c r="AG10" s="21"/>
      <c r="AH10" s="36"/>
      <c r="AI10" s="26"/>
      <c r="AJ10" s="21"/>
      <c r="AK10" s="21"/>
      <c r="AL10" s="26"/>
      <c r="AM10" s="21"/>
      <c r="AN10" s="36"/>
      <c r="AO10" s="21"/>
      <c r="AP10" s="21"/>
      <c r="AQ10" s="36"/>
      <c r="AR10" s="21"/>
      <c r="AS10" s="21"/>
      <c r="AT10" s="36"/>
      <c r="AU10" s="26"/>
      <c r="AV10" s="21"/>
      <c r="AW10" s="36"/>
      <c r="AX10" s="15" t="e">
        <f>V10/J10</f>
        <v>#DIV/0!</v>
      </c>
      <c r="AY10" s="15" t="e">
        <f t="shared" si="16"/>
        <v>#DIV/0!</v>
      </c>
      <c r="AZ10" s="15" t="e">
        <f t="shared" si="10"/>
        <v>#DIV/0!</v>
      </c>
      <c r="BA10" s="15" t="e">
        <f>V10/J10</f>
        <v>#DIV/0!</v>
      </c>
      <c r="BB10" s="15" t="e">
        <f t="shared" si="14"/>
        <v>#DIV/0!</v>
      </c>
      <c r="BC10" s="15" t="e">
        <f t="shared" si="11"/>
        <v>#DIV/0!</v>
      </c>
    </row>
    <row r="11" spans="1:55" ht="15" x14ac:dyDescent="0.2">
      <c r="A11" s="13"/>
      <c r="B11" s="13"/>
      <c r="C11" s="43">
        <v>37</v>
      </c>
      <c r="D11" s="53">
        <v>1133.46</v>
      </c>
      <c r="E11" s="53">
        <v>44.218200000000003</v>
      </c>
      <c r="F11" s="53"/>
      <c r="G11" s="53"/>
      <c r="H11" s="53"/>
      <c r="I11" s="53"/>
      <c r="J11" s="53"/>
      <c r="K11" s="15">
        <v>0</v>
      </c>
      <c r="L11" s="15">
        <v>0</v>
      </c>
      <c r="M11" s="15">
        <v>0</v>
      </c>
      <c r="N11" s="16">
        <f t="shared" si="0"/>
        <v>0</v>
      </c>
      <c r="P11" s="54">
        <v>1134.24</v>
      </c>
      <c r="Q11" s="54">
        <v>44.196399999999997</v>
      </c>
      <c r="R11" s="54"/>
      <c r="S11" s="54"/>
      <c r="T11" s="54"/>
      <c r="U11" s="54"/>
      <c r="V11" s="54"/>
      <c r="W11" s="15">
        <v>0</v>
      </c>
      <c r="X11" s="15">
        <v>0</v>
      </c>
      <c r="Y11" s="15">
        <v>0</v>
      </c>
      <c r="Z11" s="16">
        <f t="shared" si="6"/>
        <v>0</v>
      </c>
      <c r="AA11" s="15" t="e">
        <f t="shared" si="1"/>
        <v>#DIV/0!</v>
      </c>
      <c r="AB11" s="15" t="e">
        <f t="shared" si="2"/>
        <v>#DIV/0!</v>
      </c>
      <c r="AC11" s="15" t="e">
        <f t="shared" si="2"/>
        <v>#DIV/0!</v>
      </c>
      <c r="AD11" s="16">
        <f t="shared" si="7"/>
        <v>6.8815838229842493E-4</v>
      </c>
      <c r="AE11" s="12"/>
      <c r="AF11" s="26"/>
      <c r="AG11" s="21"/>
      <c r="AH11" s="36"/>
      <c r="AI11" s="26"/>
      <c r="AJ11" s="21"/>
      <c r="AK11" s="21"/>
      <c r="AL11" s="26"/>
      <c r="AM11" s="21"/>
      <c r="AN11" s="36"/>
      <c r="AO11" s="21"/>
      <c r="AP11" s="21"/>
      <c r="AQ11" s="36"/>
      <c r="AR11" s="21"/>
      <c r="AS11" s="21"/>
      <c r="AT11" s="36"/>
      <c r="AU11" s="26"/>
      <c r="AV11" s="21"/>
      <c r="AW11" s="36"/>
      <c r="AX11" s="15" t="e">
        <f>V11/J11</f>
        <v>#DIV/0!</v>
      </c>
      <c r="AY11" s="15" t="e">
        <f t="shared" si="16"/>
        <v>#DIV/0!</v>
      </c>
      <c r="AZ11" s="15" t="e">
        <f t="shared" si="10"/>
        <v>#DIV/0!</v>
      </c>
      <c r="BA11" s="15" t="e">
        <f>V11/J11</f>
        <v>#DIV/0!</v>
      </c>
      <c r="BB11" s="15" t="e">
        <f t="shared" si="14"/>
        <v>#DIV/0!</v>
      </c>
      <c r="BC11" s="15" t="e">
        <f t="shared" si="11"/>
        <v>#DIV/0!</v>
      </c>
    </row>
    <row r="12" spans="1:55" ht="15.75" thickBot="1" x14ac:dyDescent="0.25">
      <c r="A12" s="13"/>
      <c r="B12" s="17"/>
      <c r="C12" s="44">
        <v>42</v>
      </c>
      <c r="D12" s="53">
        <v>746.46</v>
      </c>
      <c r="E12" s="53">
        <v>42.343699999999998</v>
      </c>
      <c r="F12" s="53"/>
      <c r="G12" s="53"/>
      <c r="H12" s="53"/>
      <c r="I12" s="53"/>
      <c r="J12" s="53"/>
      <c r="K12" s="19">
        <v>0</v>
      </c>
      <c r="L12" s="19">
        <v>0</v>
      </c>
      <c r="M12" s="19">
        <v>0</v>
      </c>
      <c r="N12" s="20">
        <f t="shared" si="0"/>
        <v>0</v>
      </c>
      <c r="P12" s="54">
        <v>743.64</v>
      </c>
      <c r="Q12" s="54">
        <v>42.336799999999997</v>
      </c>
      <c r="R12" s="54"/>
      <c r="S12" s="54"/>
      <c r="T12" s="54"/>
      <c r="U12" s="54"/>
      <c r="V12" s="54"/>
      <c r="W12" s="19">
        <v>0</v>
      </c>
      <c r="X12" s="19">
        <v>0</v>
      </c>
      <c r="Y12" s="19">
        <v>0</v>
      </c>
      <c r="Z12" s="20">
        <f t="shared" si="6"/>
        <v>0</v>
      </c>
      <c r="AA12" s="15" t="e">
        <f t="shared" si="1"/>
        <v>#DIV/0!</v>
      </c>
      <c r="AB12" s="15" t="e">
        <f t="shared" si="2"/>
        <v>#DIV/0!</v>
      </c>
      <c r="AC12" s="15" t="e">
        <f t="shared" si="2"/>
        <v>#DIV/0!</v>
      </c>
      <c r="AD12" s="20">
        <f t="shared" si="7"/>
        <v>3.7778313640383274E-3</v>
      </c>
      <c r="AE12" s="12"/>
      <c r="AF12" s="27"/>
      <c r="AG12" s="37"/>
      <c r="AH12" s="38"/>
      <c r="AI12" s="27"/>
      <c r="AJ12" s="37"/>
      <c r="AK12" s="37"/>
      <c r="AL12" s="27"/>
      <c r="AM12" s="37"/>
      <c r="AN12" s="38"/>
      <c r="AO12" s="37"/>
      <c r="AP12" s="37"/>
      <c r="AQ12" s="38"/>
      <c r="AR12" s="37"/>
      <c r="AS12" s="37"/>
      <c r="AT12" s="38"/>
      <c r="AU12" s="27"/>
      <c r="AV12" s="37"/>
      <c r="AW12" s="38"/>
      <c r="AX12" s="15" t="e">
        <f>V12/J12</f>
        <v>#DIV/0!</v>
      </c>
      <c r="AY12" s="15" t="e">
        <f t="shared" si="16"/>
        <v>#DIV/0!</v>
      </c>
      <c r="AZ12" s="15" t="e">
        <f t="shared" si="10"/>
        <v>#DIV/0!</v>
      </c>
      <c r="BA12" s="15"/>
      <c r="BB12" s="15"/>
      <c r="BC12" s="15"/>
    </row>
    <row r="13" spans="1:55" ht="15" x14ac:dyDescent="0.2">
      <c r="A13" s="13"/>
      <c r="B13" s="8" t="s">
        <v>42</v>
      </c>
      <c r="C13" s="39">
        <v>22</v>
      </c>
      <c r="D13" s="53">
        <v>18477.84</v>
      </c>
      <c r="E13" s="53">
        <v>43.499000000000002</v>
      </c>
      <c r="F13" s="53"/>
      <c r="G13" s="53"/>
      <c r="H13" s="53"/>
      <c r="I13" s="53"/>
      <c r="J13" s="53"/>
      <c r="K13" s="10">
        <v>0</v>
      </c>
      <c r="L13" s="10">
        <v>0</v>
      </c>
      <c r="M13" s="10">
        <v>0</v>
      </c>
      <c r="N13" s="11">
        <f t="shared" si="0"/>
        <v>0</v>
      </c>
      <c r="P13" s="54">
        <v>18403.560000000001</v>
      </c>
      <c r="Q13" s="54">
        <v>43.491500000000002</v>
      </c>
      <c r="R13" s="54"/>
      <c r="S13" s="54"/>
      <c r="T13" s="54"/>
      <c r="U13" s="54"/>
      <c r="V13" s="54"/>
      <c r="W13" s="10">
        <v>0</v>
      </c>
      <c r="X13" s="10">
        <v>0</v>
      </c>
      <c r="Y13" s="10">
        <v>0</v>
      </c>
      <c r="Z13" s="11">
        <f t="shared" si="6"/>
        <v>0</v>
      </c>
      <c r="AA13" s="15" t="e">
        <f t="shared" si="1"/>
        <v>#DIV/0!</v>
      </c>
      <c r="AB13" s="15" t="e">
        <f t="shared" si="2"/>
        <v>#DIV/0!</v>
      </c>
      <c r="AC13" s="15" t="e">
        <f t="shared" si="2"/>
        <v>#DIV/0!</v>
      </c>
      <c r="AD13" s="11">
        <f t="shared" si="7"/>
        <v>4.019950383811032E-3</v>
      </c>
      <c r="AE13" s="12"/>
      <c r="AF13" s="25">
        <f t="shared" ref="AF13:AK13" si="17">bdRateExtend($D13:$D17,E13:E17,$P13:$P17,Q13:Q17)</f>
        <v>2.0022933616832272E-3</v>
      </c>
      <c r="AG13" s="30" t="e">
        <f t="shared" si="17"/>
        <v>#VALUE!</v>
      </c>
      <c r="AH13" s="31" t="e">
        <f t="shared" si="17"/>
        <v>#VALUE!</v>
      </c>
      <c r="AI13" s="25" t="e">
        <f t="shared" si="17"/>
        <v>#VALUE!</v>
      </c>
      <c r="AJ13" s="30" t="e">
        <f t="shared" si="17"/>
        <v>#VALUE!</v>
      </c>
      <c r="AK13" s="30" t="e">
        <f t="shared" si="17"/>
        <v>#VALUE!</v>
      </c>
      <c r="AL13" s="26"/>
      <c r="AM13" s="21"/>
      <c r="AN13" s="36"/>
      <c r="AO13" s="21"/>
      <c r="AP13" s="21"/>
      <c r="AQ13" s="36"/>
      <c r="AR13" s="30">
        <f t="shared" ref="AR13:AW13" si="18">bdrate($D13:$D16,E13:E16,$P13:$P16,Q13:Q16)</f>
        <v>8.4461837361238246E-4</v>
      </c>
      <c r="AS13" s="30" t="e">
        <f t="shared" si="18"/>
        <v>#VALUE!</v>
      </c>
      <c r="AT13" s="31" t="e">
        <f t="shared" si="18"/>
        <v>#VALUE!</v>
      </c>
      <c r="AU13" s="25" t="e">
        <f t="shared" si="18"/>
        <v>#VALUE!</v>
      </c>
      <c r="AV13" s="30" t="e">
        <f t="shared" si="18"/>
        <v>#VALUE!</v>
      </c>
      <c r="AW13" s="31" t="e">
        <f t="shared" si="18"/>
        <v>#VALUE!</v>
      </c>
      <c r="AX13" s="15"/>
      <c r="AY13" s="15"/>
      <c r="AZ13" s="15"/>
      <c r="BA13" s="15" t="e">
        <f>V13/J13</f>
        <v>#DIV/0!</v>
      </c>
      <c r="BB13" s="15" t="e">
        <f t="shared" ref="BB13:BB16" si="19">X13/L13</f>
        <v>#DIV/0!</v>
      </c>
      <c r="BC13" s="15" t="e">
        <f t="shared" si="11"/>
        <v>#DIV/0!</v>
      </c>
    </row>
    <row r="14" spans="1:55" ht="15" x14ac:dyDescent="0.2">
      <c r="A14" s="13"/>
      <c r="B14" s="13"/>
      <c r="C14" s="43">
        <v>27</v>
      </c>
      <c r="D14" s="53">
        <v>4394.28</v>
      </c>
      <c r="E14" s="53">
        <v>41.684800000000003</v>
      </c>
      <c r="F14" s="53"/>
      <c r="G14" s="53"/>
      <c r="H14" s="53"/>
      <c r="I14" s="53"/>
      <c r="J14" s="53"/>
      <c r="K14" s="15">
        <v>0</v>
      </c>
      <c r="L14" s="15">
        <v>0</v>
      </c>
      <c r="M14" s="15">
        <v>0</v>
      </c>
      <c r="N14" s="16">
        <f t="shared" si="0"/>
        <v>0</v>
      </c>
      <c r="P14" s="54">
        <v>4390.0200000000004</v>
      </c>
      <c r="Q14" s="54">
        <v>41.685200000000002</v>
      </c>
      <c r="R14" s="54"/>
      <c r="S14" s="54"/>
      <c r="T14" s="54"/>
      <c r="U14" s="54"/>
      <c r="V14" s="54"/>
      <c r="W14" s="15">
        <v>0</v>
      </c>
      <c r="X14" s="15">
        <v>0</v>
      </c>
      <c r="Y14" s="15">
        <v>0</v>
      </c>
      <c r="Z14" s="16">
        <f t="shared" si="6"/>
        <v>0</v>
      </c>
      <c r="AA14" s="15" t="e">
        <f t="shared" si="1"/>
        <v>#DIV/0!</v>
      </c>
      <c r="AB14" s="15" t="e">
        <f t="shared" si="2"/>
        <v>#DIV/0!</v>
      </c>
      <c r="AC14" s="15" t="e">
        <f t="shared" si="2"/>
        <v>#DIV/0!</v>
      </c>
      <c r="AD14" s="16">
        <f t="shared" si="7"/>
        <v>9.6944209290243427E-4</v>
      </c>
      <c r="AE14" s="12"/>
      <c r="AF14" s="26"/>
      <c r="AG14" s="21"/>
      <c r="AH14" s="36"/>
      <c r="AI14" s="26"/>
      <c r="AJ14" s="21"/>
      <c r="AK14" s="21"/>
      <c r="AL14" s="26">
        <f>bdrate($D14:$D17,E14:E17,$P14:$P17,Q14:Q17)</f>
        <v>2.9626783364169462E-3</v>
      </c>
      <c r="AM14" s="21" t="e">
        <f>bdrate($D14:$D17,F14:F17,$P14:$P17,R14:R17)</f>
        <v>#VALUE!</v>
      </c>
      <c r="AN14" s="36" t="e">
        <f t="shared" ref="AN14" si="20">bdrate($D14:$D17,G14:G17,$P14:$P17,S14:S17)</f>
        <v>#VALUE!</v>
      </c>
      <c r="AO14" s="26" t="e">
        <f>bdrate($D14:$D17,H14:H17,$P14:$P17,T14:T17)</f>
        <v>#VALUE!</v>
      </c>
      <c r="AP14" s="21" t="e">
        <f>bdrate($D14:$D17,I14:I17,$P14:$P17,U14:U17)</f>
        <v>#VALUE!</v>
      </c>
      <c r="AQ14" s="36" t="e">
        <f>bdrate($D14:$D17,J14:J17,$P14:$P17,V14:V17)</f>
        <v>#VALUE!</v>
      </c>
      <c r="AR14" s="21"/>
      <c r="AS14" s="21"/>
      <c r="AT14" s="36"/>
      <c r="AU14" s="26"/>
      <c r="AV14" s="21"/>
      <c r="AW14" s="36"/>
      <c r="AX14" s="15" t="e">
        <f>V14/J14</f>
        <v>#DIV/0!</v>
      </c>
      <c r="AY14" s="15" t="e">
        <f t="shared" ref="AY14:AY17" si="21">X14/L14</f>
        <v>#DIV/0!</v>
      </c>
      <c r="AZ14" s="15" t="e">
        <f t="shared" si="10"/>
        <v>#DIV/0!</v>
      </c>
      <c r="BA14" s="15" t="e">
        <f>V14/J14</f>
        <v>#DIV/0!</v>
      </c>
      <c r="BB14" s="15" t="e">
        <f t="shared" si="19"/>
        <v>#DIV/0!</v>
      </c>
      <c r="BC14" s="15" t="e">
        <f t="shared" si="11"/>
        <v>#DIV/0!</v>
      </c>
    </row>
    <row r="15" spans="1:55" ht="15" x14ac:dyDescent="0.2">
      <c r="A15" s="13"/>
      <c r="B15" s="13"/>
      <c r="C15" s="43">
        <v>32</v>
      </c>
      <c r="D15" s="53">
        <v>2465.52</v>
      </c>
      <c r="E15" s="53">
        <v>40.764499999999998</v>
      </c>
      <c r="F15" s="53"/>
      <c r="G15" s="53"/>
      <c r="H15" s="53"/>
      <c r="I15" s="53"/>
      <c r="J15" s="53"/>
      <c r="K15" s="15">
        <v>0</v>
      </c>
      <c r="L15" s="15">
        <v>0</v>
      </c>
      <c r="M15" s="15">
        <v>0</v>
      </c>
      <c r="N15" s="16">
        <f t="shared" si="0"/>
        <v>0</v>
      </c>
      <c r="P15" s="54">
        <v>2468.94</v>
      </c>
      <c r="Q15" s="54">
        <v>40.766500000000001</v>
      </c>
      <c r="R15" s="54"/>
      <c r="S15" s="54"/>
      <c r="T15" s="54"/>
      <c r="U15" s="54"/>
      <c r="V15" s="54"/>
      <c r="W15" s="15">
        <v>0</v>
      </c>
      <c r="X15" s="15">
        <v>0</v>
      </c>
      <c r="Y15" s="15">
        <v>0</v>
      </c>
      <c r="Z15" s="16">
        <f t="shared" si="6"/>
        <v>0</v>
      </c>
      <c r="AA15" s="15" t="e">
        <f t="shared" si="1"/>
        <v>#DIV/0!</v>
      </c>
      <c r="AB15" s="15" t="e">
        <f t="shared" si="2"/>
        <v>#DIV/0!</v>
      </c>
      <c r="AC15" s="15" t="e">
        <f t="shared" si="2"/>
        <v>#DIV/0!</v>
      </c>
      <c r="AD15" s="16">
        <f t="shared" si="7"/>
        <v>1.3871313150978588E-3</v>
      </c>
      <c r="AE15" s="12"/>
      <c r="AF15" s="26"/>
      <c r="AG15" s="21"/>
      <c r="AH15" s="36"/>
      <c r="AI15" s="26"/>
      <c r="AJ15" s="21"/>
      <c r="AK15" s="21"/>
      <c r="AL15" s="26"/>
      <c r="AM15" s="21"/>
      <c r="AN15" s="36"/>
      <c r="AO15" s="21"/>
      <c r="AP15" s="21"/>
      <c r="AQ15" s="36"/>
      <c r="AR15" s="21"/>
      <c r="AS15" s="21"/>
      <c r="AT15" s="36"/>
      <c r="AU15" s="26"/>
      <c r="AV15" s="21"/>
      <c r="AW15" s="36"/>
      <c r="AX15" s="15" t="e">
        <f>V15/J15</f>
        <v>#DIV/0!</v>
      </c>
      <c r="AY15" s="15" t="e">
        <f t="shared" si="21"/>
        <v>#DIV/0!</v>
      </c>
      <c r="AZ15" s="15" t="e">
        <f t="shared" si="10"/>
        <v>#DIV/0!</v>
      </c>
      <c r="BA15" s="15" t="e">
        <f>V15/J15</f>
        <v>#DIV/0!</v>
      </c>
      <c r="BB15" s="15" t="e">
        <f t="shared" si="19"/>
        <v>#DIV/0!</v>
      </c>
      <c r="BC15" s="15" t="e">
        <f t="shared" si="11"/>
        <v>#DIV/0!</v>
      </c>
    </row>
    <row r="16" spans="1:55" ht="15" x14ac:dyDescent="0.2">
      <c r="A16" s="13"/>
      <c r="B16" s="13"/>
      <c r="C16" s="43">
        <v>37</v>
      </c>
      <c r="D16" s="53">
        <v>1441.8</v>
      </c>
      <c r="E16" s="53">
        <v>39.523200000000003</v>
      </c>
      <c r="F16" s="53"/>
      <c r="G16" s="53"/>
      <c r="H16" s="53"/>
      <c r="I16" s="53"/>
      <c r="J16" s="53"/>
      <c r="K16" s="15">
        <v>0</v>
      </c>
      <c r="L16" s="15">
        <v>0</v>
      </c>
      <c r="M16" s="15">
        <v>0</v>
      </c>
      <c r="N16" s="16">
        <f t="shared" si="0"/>
        <v>0</v>
      </c>
      <c r="P16" s="54">
        <v>1449.78</v>
      </c>
      <c r="Q16" s="54">
        <v>39.518700000000003</v>
      </c>
      <c r="R16" s="54"/>
      <c r="S16" s="54"/>
      <c r="T16" s="54"/>
      <c r="U16" s="54"/>
      <c r="V16" s="54"/>
      <c r="W16" s="15">
        <v>0</v>
      </c>
      <c r="X16" s="15">
        <v>0</v>
      </c>
      <c r="Y16" s="15">
        <v>0</v>
      </c>
      <c r="Z16" s="16">
        <f t="shared" si="6"/>
        <v>0</v>
      </c>
      <c r="AA16" s="15" t="e">
        <f t="shared" si="1"/>
        <v>#DIV/0!</v>
      </c>
      <c r="AB16" s="15" t="e">
        <f t="shared" si="2"/>
        <v>#DIV/0!</v>
      </c>
      <c r="AC16" s="15" t="e">
        <f t="shared" si="2"/>
        <v>#DIV/0!</v>
      </c>
      <c r="AD16" s="16">
        <f t="shared" si="7"/>
        <v>5.5347482313774579E-3</v>
      </c>
      <c r="AE16" s="12"/>
      <c r="AF16" s="26"/>
      <c r="AG16" s="21"/>
      <c r="AH16" s="36"/>
      <c r="AI16" s="26"/>
      <c r="AJ16" s="21"/>
      <c r="AK16" s="21"/>
      <c r="AL16" s="26"/>
      <c r="AM16" s="21"/>
      <c r="AN16" s="36"/>
      <c r="AO16" s="21"/>
      <c r="AP16" s="21"/>
      <c r="AQ16" s="36"/>
      <c r="AR16" s="21"/>
      <c r="AS16" s="21"/>
      <c r="AT16" s="36"/>
      <c r="AU16" s="26"/>
      <c r="AV16" s="21"/>
      <c r="AW16" s="36"/>
      <c r="AX16" s="15" t="e">
        <f>V16/J16</f>
        <v>#DIV/0!</v>
      </c>
      <c r="AY16" s="15" t="e">
        <f t="shared" si="21"/>
        <v>#DIV/0!</v>
      </c>
      <c r="AZ16" s="15" t="e">
        <f t="shared" si="10"/>
        <v>#DIV/0!</v>
      </c>
      <c r="BA16" s="15" t="e">
        <f>V16/J16</f>
        <v>#DIV/0!</v>
      </c>
      <c r="BB16" s="15" t="e">
        <f t="shared" si="19"/>
        <v>#DIV/0!</v>
      </c>
      <c r="BC16" s="15" t="e">
        <f t="shared" si="11"/>
        <v>#DIV/0!</v>
      </c>
    </row>
    <row r="17" spans="1:55" ht="15.75" thickBot="1" x14ac:dyDescent="0.25">
      <c r="A17" s="13"/>
      <c r="B17" s="17"/>
      <c r="C17" s="44">
        <v>42</v>
      </c>
      <c r="D17" s="53">
        <v>862.44</v>
      </c>
      <c r="E17" s="53">
        <v>37.832000000000001</v>
      </c>
      <c r="F17" s="53"/>
      <c r="G17" s="53"/>
      <c r="H17" s="53"/>
      <c r="I17" s="53"/>
      <c r="J17" s="53"/>
      <c r="K17" s="19">
        <v>0</v>
      </c>
      <c r="L17" s="19">
        <v>0</v>
      </c>
      <c r="M17" s="19">
        <v>0</v>
      </c>
      <c r="N17" s="20">
        <f t="shared" si="0"/>
        <v>0</v>
      </c>
      <c r="P17" s="54">
        <v>863.28</v>
      </c>
      <c r="Q17" s="54">
        <v>37.844799999999999</v>
      </c>
      <c r="R17" s="54"/>
      <c r="S17" s="54"/>
      <c r="T17" s="54"/>
      <c r="U17" s="54"/>
      <c r="V17" s="54"/>
      <c r="W17" s="19">
        <v>0</v>
      </c>
      <c r="X17" s="19">
        <v>0</v>
      </c>
      <c r="Y17" s="19">
        <v>0</v>
      </c>
      <c r="Z17" s="20">
        <f t="shared" si="6"/>
        <v>0</v>
      </c>
      <c r="AA17" s="15" t="e">
        <f t="shared" si="1"/>
        <v>#DIV/0!</v>
      </c>
      <c r="AB17" s="15" t="e">
        <f t="shared" si="2"/>
        <v>#DIV/0!</v>
      </c>
      <c r="AC17" s="15" t="e">
        <f t="shared" si="2"/>
        <v>#DIV/0!</v>
      </c>
      <c r="AD17" s="20">
        <f t="shared" si="7"/>
        <v>9.7398079866415992E-4</v>
      </c>
      <c r="AE17" s="12"/>
      <c r="AF17" s="27"/>
      <c r="AG17" s="37"/>
      <c r="AH17" s="38"/>
      <c r="AI17" s="27"/>
      <c r="AJ17" s="37"/>
      <c r="AK17" s="37"/>
      <c r="AL17" s="26"/>
      <c r="AM17" s="21"/>
      <c r="AN17" s="36"/>
      <c r="AO17" s="21"/>
      <c r="AP17" s="21"/>
      <c r="AQ17" s="36"/>
      <c r="AR17" s="37"/>
      <c r="AS17" s="37"/>
      <c r="AT17" s="38"/>
      <c r="AU17" s="27"/>
      <c r="AV17" s="37"/>
      <c r="AW17" s="38"/>
      <c r="AX17" s="15" t="e">
        <f>V17/J17</f>
        <v>#DIV/0!</v>
      </c>
      <c r="AY17" s="15" t="e">
        <f t="shared" si="21"/>
        <v>#DIV/0!</v>
      </c>
      <c r="AZ17" s="15" t="e">
        <f t="shared" si="10"/>
        <v>#DIV/0!</v>
      </c>
      <c r="BA17" s="15"/>
      <c r="BB17" s="15"/>
      <c r="BC17" s="15"/>
    </row>
    <row r="18" spans="1:55" ht="15" x14ac:dyDescent="0.2">
      <c r="A18" s="48" t="s">
        <v>41</v>
      </c>
      <c r="B18" s="8" t="s">
        <v>52</v>
      </c>
      <c r="C18" s="39">
        <v>22</v>
      </c>
      <c r="D18" s="53">
        <v>34412.22</v>
      </c>
      <c r="E18" s="53">
        <v>43.014600000000002</v>
      </c>
      <c r="F18" s="53"/>
      <c r="G18" s="53"/>
      <c r="H18" s="53"/>
      <c r="I18" s="53"/>
      <c r="J18" s="53"/>
      <c r="K18" s="10">
        <v>0</v>
      </c>
      <c r="L18" s="10">
        <v>0</v>
      </c>
      <c r="M18" s="10">
        <v>0</v>
      </c>
      <c r="N18" s="11">
        <f t="shared" si="0"/>
        <v>0</v>
      </c>
      <c r="P18" s="54">
        <v>34412.1</v>
      </c>
      <c r="Q18" s="54">
        <v>43.012500000000003</v>
      </c>
      <c r="R18" s="54"/>
      <c r="S18" s="54"/>
      <c r="T18" s="54"/>
      <c r="U18" s="54"/>
      <c r="V18" s="54"/>
      <c r="W18" s="10">
        <v>0</v>
      </c>
      <c r="X18" s="10">
        <v>0</v>
      </c>
      <c r="Y18" s="10">
        <v>0</v>
      </c>
      <c r="Z18" s="11">
        <f t="shared" si="6"/>
        <v>0</v>
      </c>
      <c r="AA18" s="10" t="e">
        <f t="shared" si="1"/>
        <v>#DIV/0!</v>
      </c>
      <c r="AB18" s="10" t="e">
        <f t="shared" si="2"/>
        <v>#DIV/0!</v>
      </c>
      <c r="AC18" s="10" t="e">
        <f t="shared" si="2"/>
        <v>#DIV/0!</v>
      </c>
      <c r="AD18" s="11">
        <f t="shared" si="7"/>
        <v>3.4871333497989767E-6</v>
      </c>
      <c r="AE18" s="40"/>
      <c r="AF18" s="25">
        <f t="shared" ref="AF18:AK18" si="22">bdRateExtend($D18:$D22,E18:E22,$P18:$P22,Q18:Q22)</f>
        <v>1.6376189039424283E-4</v>
      </c>
      <c r="AG18" s="30" t="e">
        <f t="shared" si="22"/>
        <v>#VALUE!</v>
      </c>
      <c r="AH18" s="31" t="e">
        <f t="shared" si="22"/>
        <v>#VALUE!</v>
      </c>
      <c r="AI18" s="25" t="e">
        <f t="shared" si="22"/>
        <v>#VALUE!</v>
      </c>
      <c r="AJ18" s="30" t="e">
        <f t="shared" si="22"/>
        <v>#VALUE!</v>
      </c>
      <c r="AK18" s="30" t="e">
        <f t="shared" si="22"/>
        <v>#VALUE!</v>
      </c>
      <c r="AL18" s="45"/>
      <c r="AM18" s="46"/>
      <c r="AN18" s="47"/>
      <c r="AO18" s="46"/>
      <c r="AP18" s="46"/>
      <c r="AQ18" s="47"/>
      <c r="AR18" s="30">
        <f t="shared" ref="AR18:AW18" si="23">bdrate($D18:$D21,E18:E21,$P18:$P21,Q18:Q21)</f>
        <v>-1.0786671940099524E-6</v>
      </c>
      <c r="AS18" s="30" t="e">
        <f t="shared" si="23"/>
        <v>#VALUE!</v>
      </c>
      <c r="AT18" s="31" t="e">
        <f t="shared" si="23"/>
        <v>#VALUE!</v>
      </c>
      <c r="AU18" s="25" t="e">
        <f t="shared" si="23"/>
        <v>#VALUE!</v>
      </c>
      <c r="AV18" s="30" t="e">
        <f t="shared" si="23"/>
        <v>#VALUE!</v>
      </c>
      <c r="AW18" s="31" t="e">
        <f t="shared" si="23"/>
        <v>#VALUE!</v>
      </c>
      <c r="AX18" s="10"/>
      <c r="AY18" s="10"/>
      <c r="AZ18" s="10"/>
      <c r="BA18" s="10" t="e">
        <f>V18/J18</f>
        <v>#DIV/0!</v>
      </c>
      <c r="BB18" s="10" t="e">
        <f t="shared" ref="BB18:BB21" si="24">X18/L18</f>
        <v>#DIV/0!</v>
      </c>
      <c r="BC18" s="10" t="e">
        <f t="shared" si="11"/>
        <v>#DIV/0!</v>
      </c>
    </row>
    <row r="19" spans="1:55" ht="15" x14ac:dyDescent="0.2">
      <c r="A19" s="13" t="s">
        <v>19</v>
      </c>
      <c r="B19" s="13"/>
      <c r="C19" s="43">
        <v>27</v>
      </c>
      <c r="D19" s="53">
        <v>9928.32</v>
      </c>
      <c r="E19" s="53">
        <v>40.496499999999997</v>
      </c>
      <c r="F19" s="53"/>
      <c r="G19" s="53"/>
      <c r="H19" s="53"/>
      <c r="I19" s="53"/>
      <c r="J19" s="53"/>
      <c r="K19" s="15">
        <v>0</v>
      </c>
      <c r="L19" s="15">
        <v>0</v>
      </c>
      <c r="M19" s="15">
        <v>0</v>
      </c>
      <c r="N19" s="16">
        <f t="shared" si="0"/>
        <v>0</v>
      </c>
      <c r="P19" s="54">
        <v>9921.66</v>
      </c>
      <c r="Q19" s="54">
        <v>40.497100000000003</v>
      </c>
      <c r="R19" s="54"/>
      <c r="S19" s="54"/>
      <c r="T19" s="54"/>
      <c r="U19" s="54"/>
      <c r="V19" s="54"/>
      <c r="W19" s="15">
        <v>0</v>
      </c>
      <c r="X19" s="15">
        <v>0</v>
      </c>
      <c r="Y19" s="15">
        <v>0</v>
      </c>
      <c r="Z19" s="16">
        <f t="shared" si="6"/>
        <v>0</v>
      </c>
      <c r="AA19" s="15" t="e">
        <f t="shared" si="1"/>
        <v>#DIV/0!</v>
      </c>
      <c r="AB19" s="15" t="e">
        <f t="shared" ref="AB19:AC32" si="25">X19/L19</f>
        <v>#DIV/0!</v>
      </c>
      <c r="AC19" s="15" t="e">
        <f t="shared" si="25"/>
        <v>#DIV/0!</v>
      </c>
      <c r="AD19" s="16">
        <f t="shared" si="7"/>
        <v>6.7080835428348954E-4</v>
      </c>
      <c r="AE19" s="12"/>
      <c r="AF19" s="26"/>
      <c r="AG19" s="21"/>
      <c r="AH19" s="36"/>
      <c r="AI19" s="26"/>
      <c r="AJ19" s="21"/>
      <c r="AK19" s="21"/>
      <c r="AL19" s="26">
        <f>bdrate($D19:$D22,E19:E22,$P19:$P22,Q19:Q22)</f>
        <v>4.2528391967944223E-4</v>
      </c>
      <c r="AM19" s="21" t="e">
        <f>bdrate($D19:$D22,F19:F22,$P19:$P22,R19:R22)</f>
        <v>#VALUE!</v>
      </c>
      <c r="AN19" s="36" t="e">
        <f t="shared" ref="AN19" si="26">bdrate($D19:$D22,G19:G22,$P19:$P22,S19:S22)</f>
        <v>#VALUE!</v>
      </c>
      <c r="AO19" s="26" t="e">
        <f>bdrate($D19:$D22,H19:H22,$P19:$P22,T19:T22)</f>
        <v>#VALUE!</v>
      </c>
      <c r="AP19" s="21" t="e">
        <f>bdrate($D19:$D22,I19:I22,$P19:$P22,U19:U22)</f>
        <v>#VALUE!</v>
      </c>
      <c r="AQ19" s="36" t="e">
        <f>bdrate($D19:$D22,J19:J22,$P19:$P22,V19:V22)</f>
        <v>#VALUE!</v>
      </c>
      <c r="AR19" s="21"/>
      <c r="AS19" s="21"/>
      <c r="AT19" s="36"/>
      <c r="AU19" s="26"/>
      <c r="AV19" s="21"/>
      <c r="AW19" s="36"/>
      <c r="AX19" s="15" t="e">
        <f>V19/J19</f>
        <v>#DIV/0!</v>
      </c>
      <c r="AY19" s="15" t="e">
        <f t="shared" ref="AY19:AY22" si="27">X19/L19</f>
        <v>#DIV/0!</v>
      </c>
      <c r="AZ19" s="15" t="e">
        <f t="shared" si="10"/>
        <v>#DIV/0!</v>
      </c>
      <c r="BA19" s="15" t="e">
        <f>V19/J19</f>
        <v>#DIV/0!</v>
      </c>
      <c r="BB19" s="15" t="e">
        <f t="shared" si="24"/>
        <v>#DIV/0!</v>
      </c>
      <c r="BC19" s="15" t="e">
        <f t="shared" si="11"/>
        <v>#DIV/0!</v>
      </c>
    </row>
    <row r="20" spans="1:55" ht="15" x14ac:dyDescent="0.2">
      <c r="A20" s="13"/>
      <c r="B20" s="13"/>
      <c r="C20" s="43">
        <v>32</v>
      </c>
      <c r="D20" s="53">
        <v>5696.28</v>
      </c>
      <c r="E20" s="53">
        <v>39.125500000000002</v>
      </c>
      <c r="F20" s="53"/>
      <c r="G20" s="53"/>
      <c r="H20" s="53"/>
      <c r="I20" s="53"/>
      <c r="J20" s="53"/>
      <c r="K20" s="15">
        <v>0</v>
      </c>
      <c r="L20" s="15">
        <v>0</v>
      </c>
      <c r="M20" s="15">
        <v>0</v>
      </c>
      <c r="N20" s="16">
        <f t="shared" si="0"/>
        <v>0</v>
      </c>
      <c r="P20" s="54">
        <v>5702.7</v>
      </c>
      <c r="Q20" s="54">
        <v>39.128</v>
      </c>
      <c r="R20" s="54"/>
      <c r="S20" s="54"/>
      <c r="T20" s="54"/>
      <c r="U20" s="54"/>
      <c r="V20" s="54"/>
      <c r="W20" s="15">
        <v>0</v>
      </c>
      <c r="X20" s="15">
        <v>0</v>
      </c>
      <c r="Y20" s="15">
        <v>0</v>
      </c>
      <c r="Z20" s="16">
        <f t="shared" si="6"/>
        <v>0</v>
      </c>
      <c r="AA20" s="15" t="e">
        <f t="shared" si="1"/>
        <v>#DIV/0!</v>
      </c>
      <c r="AB20" s="15" t="e">
        <f t="shared" si="25"/>
        <v>#DIV/0!</v>
      </c>
      <c r="AC20" s="15" t="e">
        <f t="shared" si="25"/>
        <v>#DIV/0!</v>
      </c>
      <c r="AD20" s="16">
        <f t="shared" si="7"/>
        <v>1.1270513387684723E-3</v>
      </c>
      <c r="AE20" s="12"/>
      <c r="AF20" s="26"/>
      <c r="AG20" s="21"/>
      <c r="AH20" s="36"/>
      <c r="AI20" s="26"/>
      <c r="AJ20" s="21"/>
      <c r="AK20" s="21"/>
      <c r="AL20" s="26"/>
      <c r="AM20" s="21"/>
      <c r="AN20" s="36"/>
      <c r="AO20" s="21"/>
      <c r="AP20" s="21"/>
      <c r="AQ20" s="36"/>
      <c r="AR20" s="21"/>
      <c r="AS20" s="21"/>
      <c r="AT20" s="36"/>
      <c r="AU20" s="26"/>
      <c r="AV20" s="21"/>
      <c r="AW20" s="36"/>
      <c r="AX20" s="15" t="e">
        <f>V20/J20</f>
        <v>#DIV/0!</v>
      </c>
      <c r="AY20" s="15" t="e">
        <f t="shared" si="27"/>
        <v>#DIV/0!</v>
      </c>
      <c r="AZ20" s="15" t="e">
        <f t="shared" si="10"/>
        <v>#DIV/0!</v>
      </c>
      <c r="BA20" s="15" t="e">
        <f>V20/J20</f>
        <v>#DIV/0!</v>
      </c>
      <c r="BB20" s="15" t="e">
        <f t="shared" si="24"/>
        <v>#DIV/0!</v>
      </c>
      <c r="BC20" s="15" t="e">
        <f t="shared" si="11"/>
        <v>#DIV/0!</v>
      </c>
    </row>
    <row r="21" spans="1:55" ht="15" x14ac:dyDescent="0.2">
      <c r="A21" s="13"/>
      <c r="B21" s="13"/>
      <c r="C21" s="43">
        <v>37</v>
      </c>
      <c r="D21" s="53">
        <v>3363.3</v>
      </c>
      <c r="E21" s="53">
        <v>37.358199999999997</v>
      </c>
      <c r="F21" s="53"/>
      <c r="G21" s="53"/>
      <c r="H21" s="53"/>
      <c r="I21" s="53"/>
      <c r="J21" s="53"/>
      <c r="K21" s="15">
        <v>0</v>
      </c>
      <c r="L21" s="15">
        <v>0</v>
      </c>
      <c r="M21" s="15">
        <v>0</v>
      </c>
      <c r="N21" s="16">
        <f t="shared" si="0"/>
        <v>0</v>
      </c>
      <c r="P21" s="54">
        <v>3365.22</v>
      </c>
      <c r="Q21" s="54">
        <v>37.355400000000003</v>
      </c>
      <c r="R21" s="54"/>
      <c r="S21" s="54"/>
      <c r="T21" s="54"/>
      <c r="U21" s="54"/>
      <c r="V21" s="54"/>
      <c r="W21" s="15">
        <v>0</v>
      </c>
      <c r="X21" s="15">
        <v>0</v>
      </c>
      <c r="Y21" s="15">
        <v>0</v>
      </c>
      <c r="Z21" s="16">
        <f t="shared" si="6"/>
        <v>0</v>
      </c>
      <c r="AA21" s="15" t="e">
        <f t="shared" si="1"/>
        <v>#DIV/0!</v>
      </c>
      <c r="AB21" s="15" t="e">
        <f t="shared" si="25"/>
        <v>#DIV/0!</v>
      </c>
      <c r="AC21" s="15" t="e">
        <f t="shared" si="25"/>
        <v>#DIV/0!</v>
      </c>
      <c r="AD21" s="16">
        <f t="shared" si="7"/>
        <v>5.7086789760045725E-4</v>
      </c>
      <c r="AE21" s="12"/>
      <c r="AF21" s="26"/>
      <c r="AG21" s="21"/>
      <c r="AH21" s="36"/>
      <c r="AI21" s="26"/>
      <c r="AJ21" s="21"/>
      <c r="AK21" s="21"/>
      <c r="AL21" s="26"/>
      <c r="AM21" s="21"/>
      <c r="AN21" s="36"/>
      <c r="AO21" s="21"/>
      <c r="AP21" s="21"/>
      <c r="AQ21" s="36"/>
      <c r="AR21" s="21"/>
      <c r="AS21" s="21"/>
      <c r="AT21" s="36"/>
      <c r="AU21" s="26"/>
      <c r="AV21" s="21"/>
      <c r="AW21" s="36"/>
      <c r="AX21" s="15" t="e">
        <f>V21/J21</f>
        <v>#DIV/0!</v>
      </c>
      <c r="AY21" s="15" t="e">
        <f t="shared" si="27"/>
        <v>#DIV/0!</v>
      </c>
      <c r="AZ21" s="15" t="e">
        <f t="shared" si="10"/>
        <v>#DIV/0!</v>
      </c>
      <c r="BA21" s="15" t="e">
        <f>V21/J21</f>
        <v>#DIV/0!</v>
      </c>
      <c r="BB21" s="15" t="e">
        <f t="shared" si="24"/>
        <v>#DIV/0!</v>
      </c>
      <c r="BC21" s="15" t="e">
        <f t="shared" si="11"/>
        <v>#DIV/0!</v>
      </c>
    </row>
    <row r="22" spans="1:55" ht="15.75" thickBot="1" x14ac:dyDescent="0.25">
      <c r="A22" s="13"/>
      <c r="B22" s="17"/>
      <c r="C22" s="44">
        <v>42</v>
      </c>
      <c r="D22" s="53">
        <v>1951.08</v>
      </c>
      <c r="E22" s="53">
        <v>35.204599999999999</v>
      </c>
      <c r="F22" s="53"/>
      <c r="G22" s="53"/>
      <c r="H22" s="53"/>
      <c r="I22" s="53"/>
      <c r="J22" s="53"/>
      <c r="K22" s="19">
        <v>0</v>
      </c>
      <c r="L22" s="19">
        <v>0</v>
      </c>
      <c r="M22" s="19">
        <v>0</v>
      </c>
      <c r="N22" s="20">
        <f t="shared" si="0"/>
        <v>0</v>
      </c>
      <c r="P22" s="54">
        <v>1947.84</v>
      </c>
      <c r="Q22" s="54">
        <v>35.201799999999999</v>
      </c>
      <c r="R22" s="54"/>
      <c r="S22" s="54"/>
      <c r="T22" s="54"/>
      <c r="U22" s="54"/>
      <c r="V22" s="54"/>
      <c r="W22" s="19">
        <v>0</v>
      </c>
      <c r="X22" s="19">
        <v>0</v>
      </c>
      <c r="Y22" s="19">
        <v>0</v>
      </c>
      <c r="Z22" s="20">
        <f t="shared" si="6"/>
        <v>0</v>
      </c>
      <c r="AA22" s="15" t="e">
        <f t="shared" si="1"/>
        <v>#DIV/0!</v>
      </c>
      <c r="AB22" s="15" t="e">
        <f t="shared" si="25"/>
        <v>#DIV/0!</v>
      </c>
      <c r="AC22" s="15" t="e">
        <f t="shared" si="25"/>
        <v>#DIV/0!</v>
      </c>
      <c r="AD22" s="20">
        <f t="shared" si="7"/>
        <v>1.660618734239503E-3</v>
      </c>
      <c r="AE22" s="12"/>
      <c r="AF22" s="27"/>
      <c r="AG22" s="37"/>
      <c r="AH22" s="38"/>
      <c r="AI22" s="27"/>
      <c r="AJ22" s="37"/>
      <c r="AK22" s="37"/>
      <c r="AL22" s="27"/>
      <c r="AM22" s="37"/>
      <c r="AN22" s="38"/>
      <c r="AO22" s="37"/>
      <c r="AP22" s="37"/>
      <c r="AQ22" s="38"/>
      <c r="AR22" s="37"/>
      <c r="AS22" s="37"/>
      <c r="AT22" s="38"/>
      <c r="AU22" s="27"/>
      <c r="AV22" s="37"/>
      <c r="AW22" s="38"/>
      <c r="AX22" s="15" t="e">
        <f>V22/J22</f>
        <v>#DIV/0!</v>
      </c>
      <c r="AY22" s="15" t="e">
        <f t="shared" si="27"/>
        <v>#DIV/0!</v>
      </c>
      <c r="AZ22" s="15" t="e">
        <f t="shared" si="10"/>
        <v>#DIV/0!</v>
      </c>
      <c r="BA22" s="15"/>
      <c r="BB22" s="15"/>
      <c r="BC22" s="15"/>
    </row>
    <row r="23" spans="1:55" ht="15" x14ac:dyDescent="0.2">
      <c r="A23" s="13"/>
      <c r="B23" s="13" t="s">
        <v>44</v>
      </c>
      <c r="C23" s="39">
        <v>22</v>
      </c>
      <c r="D23" s="53">
        <v>60065.82</v>
      </c>
      <c r="E23" s="53">
        <v>42.5867</v>
      </c>
      <c r="F23" s="53"/>
      <c r="G23" s="53"/>
      <c r="H23" s="53"/>
      <c r="I23" s="53"/>
      <c r="J23" s="53"/>
      <c r="K23" s="10">
        <v>0</v>
      </c>
      <c r="L23" s="10">
        <v>0</v>
      </c>
      <c r="M23" s="10">
        <v>0</v>
      </c>
      <c r="N23" s="11">
        <f t="shared" si="0"/>
        <v>0</v>
      </c>
      <c r="P23" s="54">
        <v>60122.58</v>
      </c>
      <c r="Q23" s="54">
        <v>42.588700000000003</v>
      </c>
      <c r="R23" s="54"/>
      <c r="S23" s="54"/>
      <c r="T23" s="54"/>
      <c r="U23" s="54"/>
      <c r="V23" s="54"/>
      <c r="W23" s="10">
        <v>0</v>
      </c>
      <c r="X23" s="10">
        <v>0</v>
      </c>
      <c r="Y23" s="10">
        <v>0</v>
      </c>
      <c r="Z23" s="11">
        <f t="shared" si="6"/>
        <v>0</v>
      </c>
      <c r="AA23" s="15" t="e">
        <f t="shared" si="1"/>
        <v>#DIV/0!</v>
      </c>
      <c r="AB23" s="15" t="e">
        <f t="shared" si="25"/>
        <v>#DIV/0!</v>
      </c>
      <c r="AC23" s="15" t="e">
        <f t="shared" si="25"/>
        <v>#DIV/0!</v>
      </c>
      <c r="AD23" s="11">
        <f t="shared" si="7"/>
        <v>9.4496337517746424E-4</v>
      </c>
      <c r="AE23" s="12"/>
      <c r="AF23" s="25">
        <f t="shared" ref="AF23:AK23" si="28">bdRateExtend($D23:$D27,E23:E27,$P23:$P27,Q23:Q27)</f>
        <v>4.2047841225967275E-5</v>
      </c>
      <c r="AG23" s="30" t="e">
        <f t="shared" si="28"/>
        <v>#VALUE!</v>
      </c>
      <c r="AH23" s="31" t="e">
        <f t="shared" si="28"/>
        <v>#VALUE!</v>
      </c>
      <c r="AI23" s="25" t="e">
        <f t="shared" si="28"/>
        <v>#VALUE!</v>
      </c>
      <c r="AJ23" s="30" t="e">
        <f t="shared" si="28"/>
        <v>#VALUE!</v>
      </c>
      <c r="AK23" s="30" t="e">
        <f t="shared" si="28"/>
        <v>#VALUE!</v>
      </c>
      <c r="AL23" s="26"/>
      <c r="AM23" s="21"/>
      <c r="AN23" s="36"/>
      <c r="AO23" s="21"/>
      <c r="AP23" s="21"/>
      <c r="AQ23" s="36"/>
      <c r="AR23" s="30">
        <f t="shared" ref="AR23:AW23" si="29">bdrate($D23:$D26,E23:E26,$P23:$P26,Q23:Q26)</f>
        <v>2.4019066697555935E-4</v>
      </c>
      <c r="AS23" s="30" t="e">
        <f t="shared" si="29"/>
        <v>#VALUE!</v>
      </c>
      <c r="AT23" s="31" t="e">
        <f t="shared" si="29"/>
        <v>#VALUE!</v>
      </c>
      <c r="AU23" s="25" t="e">
        <f t="shared" si="29"/>
        <v>#VALUE!</v>
      </c>
      <c r="AV23" s="30" t="e">
        <f t="shared" si="29"/>
        <v>#VALUE!</v>
      </c>
      <c r="AW23" s="31" t="e">
        <f t="shared" si="29"/>
        <v>#VALUE!</v>
      </c>
      <c r="AX23" s="15"/>
      <c r="AY23" s="15"/>
      <c r="AZ23" s="15"/>
      <c r="BA23" s="15" t="e">
        <f>V23/J23</f>
        <v>#DIV/0!</v>
      </c>
      <c r="BB23" s="15" t="e">
        <f t="shared" ref="BB23:BB26" si="30">X23/L23</f>
        <v>#DIV/0!</v>
      </c>
      <c r="BC23" s="15" t="e">
        <f t="shared" si="11"/>
        <v>#DIV/0!</v>
      </c>
    </row>
    <row r="24" spans="1:55" ht="15" x14ac:dyDescent="0.2">
      <c r="A24" s="13"/>
      <c r="B24" s="13"/>
      <c r="C24" s="43">
        <v>27</v>
      </c>
      <c r="D24" s="53">
        <v>9989.4</v>
      </c>
      <c r="E24" s="53">
        <v>38.825299999999999</v>
      </c>
      <c r="F24" s="53"/>
      <c r="G24" s="53"/>
      <c r="H24" s="53"/>
      <c r="I24" s="53"/>
      <c r="J24" s="53"/>
      <c r="K24" s="15">
        <v>0</v>
      </c>
      <c r="L24" s="15">
        <v>0</v>
      </c>
      <c r="M24" s="15">
        <v>0</v>
      </c>
      <c r="N24" s="16">
        <f t="shared" si="0"/>
        <v>0</v>
      </c>
      <c r="P24" s="54">
        <v>9980.58</v>
      </c>
      <c r="Q24" s="54">
        <v>38.822899999999997</v>
      </c>
      <c r="R24" s="54"/>
      <c r="S24" s="54"/>
      <c r="T24" s="54"/>
      <c r="U24" s="54"/>
      <c r="V24" s="54"/>
      <c r="W24" s="15">
        <v>0</v>
      </c>
      <c r="X24" s="15">
        <v>0</v>
      </c>
      <c r="Y24" s="15">
        <v>0</v>
      </c>
      <c r="Z24" s="16">
        <f t="shared" si="6"/>
        <v>0</v>
      </c>
      <c r="AA24" s="15" t="e">
        <f t="shared" si="1"/>
        <v>#DIV/0!</v>
      </c>
      <c r="AB24" s="15" t="e">
        <f t="shared" si="25"/>
        <v>#DIV/0!</v>
      </c>
      <c r="AC24" s="15" t="e">
        <f t="shared" si="25"/>
        <v>#DIV/0!</v>
      </c>
      <c r="AD24" s="16">
        <f t="shared" si="7"/>
        <v>8.8293591206676169E-4</v>
      </c>
      <c r="AE24" s="12"/>
      <c r="AF24" s="26"/>
      <c r="AG24" s="21"/>
      <c r="AH24" s="36"/>
      <c r="AI24" s="26"/>
      <c r="AJ24" s="21"/>
      <c r="AK24" s="21"/>
      <c r="AL24" s="26">
        <f>bdrate($D24:$D27,E24:E27,$P24:$P27,Q24:Q27)</f>
        <v>-5.8831274934989519E-4</v>
      </c>
      <c r="AM24" s="21" t="e">
        <f>bdrate($D24:$D27,F24:F27,$P24:$P27,R24:R27)</f>
        <v>#VALUE!</v>
      </c>
      <c r="AN24" s="36" t="e">
        <f t="shared" ref="AN24" si="31">bdrate($D24:$D27,G24:G27,$P24:$P27,S24:S27)</f>
        <v>#VALUE!</v>
      </c>
      <c r="AO24" s="26" t="e">
        <f>bdrate($D24:$D27,H24:H27,$P24:$P27,T24:T27)</f>
        <v>#VALUE!</v>
      </c>
      <c r="AP24" s="21" t="e">
        <f>bdrate($D24:$D27,I24:I27,$P24:$P27,U24:U27)</f>
        <v>#VALUE!</v>
      </c>
      <c r="AQ24" s="36" t="e">
        <f>bdrate($D24:$D27,J24:J27,$P24:$P27,V24:V27)</f>
        <v>#VALUE!</v>
      </c>
      <c r="AR24" s="21"/>
      <c r="AS24" s="21"/>
      <c r="AT24" s="36"/>
      <c r="AU24" s="26"/>
      <c r="AV24" s="21"/>
      <c r="AW24" s="36"/>
      <c r="AX24" s="15" t="e">
        <f>V24/J24</f>
        <v>#DIV/0!</v>
      </c>
      <c r="AY24" s="15" t="e">
        <f t="shared" ref="AY24:AY27" si="32">X24/L24</f>
        <v>#DIV/0!</v>
      </c>
      <c r="AZ24" s="15" t="e">
        <f t="shared" si="10"/>
        <v>#DIV/0!</v>
      </c>
      <c r="BA24" s="15" t="e">
        <f>V24/J24</f>
        <v>#DIV/0!</v>
      </c>
      <c r="BB24" s="15" t="e">
        <f t="shared" si="30"/>
        <v>#DIV/0!</v>
      </c>
      <c r="BC24" s="15" t="e">
        <f t="shared" si="11"/>
        <v>#DIV/0!</v>
      </c>
    </row>
    <row r="25" spans="1:55" ht="15" x14ac:dyDescent="0.2">
      <c r="A25" s="13"/>
      <c r="B25" s="13"/>
      <c r="C25" s="43">
        <v>32</v>
      </c>
      <c r="D25" s="53">
        <v>5387.22</v>
      </c>
      <c r="E25" s="53">
        <v>37.817100000000003</v>
      </c>
      <c r="F25" s="53"/>
      <c r="G25" s="53"/>
      <c r="H25" s="53"/>
      <c r="I25" s="53"/>
      <c r="J25" s="53"/>
      <c r="K25" s="15">
        <v>0</v>
      </c>
      <c r="L25" s="15">
        <v>0</v>
      </c>
      <c r="M25" s="15">
        <v>0</v>
      </c>
      <c r="N25" s="16">
        <f t="shared" si="0"/>
        <v>0</v>
      </c>
      <c r="P25" s="54">
        <v>5391.36</v>
      </c>
      <c r="Q25" s="54">
        <v>37.819200000000002</v>
      </c>
      <c r="R25" s="54"/>
      <c r="S25" s="54"/>
      <c r="T25" s="54"/>
      <c r="U25" s="54"/>
      <c r="V25" s="54"/>
      <c r="W25" s="15">
        <v>0</v>
      </c>
      <c r="X25" s="15">
        <v>0</v>
      </c>
      <c r="Y25" s="15">
        <v>0</v>
      </c>
      <c r="Z25" s="16">
        <f t="shared" si="6"/>
        <v>0</v>
      </c>
      <c r="AA25" s="15" t="e">
        <f t="shared" si="1"/>
        <v>#DIV/0!</v>
      </c>
      <c r="AB25" s="15" t="e">
        <f t="shared" si="25"/>
        <v>#DIV/0!</v>
      </c>
      <c r="AC25" s="15" t="e">
        <f t="shared" si="25"/>
        <v>#DIV/0!</v>
      </c>
      <c r="AD25" s="16">
        <f t="shared" si="7"/>
        <v>7.6848541548320238E-4</v>
      </c>
      <c r="AE25" s="12"/>
      <c r="AF25" s="26"/>
      <c r="AG25" s="21"/>
      <c r="AH25" s="36"/>
      <c r="AI25" s="26"/>
      <c r="AJ25" s="21"/>
      <c r="AK25" s="21"/>
      <c r="AL25" s="26"/>
      <c r="AM25" s="21"/>
      <c r="AN25" s="36"/>
      <c r="AO25" s="21"/>
      <c r="AP25" s="21"/>
      <c r="AQ25" s="36"/>
      <c r="AR25" s="21"/>
      <c r="AS25" s="21"/>
      <c r="AT25" s="36"/>
      <c r="AU25" s="26"/>
      <c r="AV25" s="21"/>
      <c r="AW25" s="36"/>
      <c r="AX25" s="15" t="e">
        <f>V25/J25</f>
        <v>#DIV/0!</v>
      </c>
      <c r="AY25" s="15" t="e">
        <f t="shared" si="32"/>
        <v>#DIV/0!</v>
      </c>
      <c r="AZ25" s="15" t="e">
        <f t="shared" si="10"/>
        <v>#DIV/0!</v>
      </c>
      <c r="BA25" s="15" t="e">
        <f>V25/J25</f>
        <v>#DIV/0!</v>
      </c>
      <c r="BB25" s="15" t="e">
        <f t="shared" si="30"/>
        <v>#DIV/0!</v>
      </c>
      <c r="BC25" s="15" t="e">
        <f t="shared" si="11"/>
        <v>#DIV/0!</v>
      </c>
    </row>
    <row r="26" spans="1:55" ht="15" x14ac:dyDescent="0.2">
      <c r="A26" s="13"/>
      <c r="B26" s="13"/>
      <c r="C26" s="43">
        <v>37</v>
      </c>
      <c r="D26" s="53">
        <v>3002.88</v>
      </c>
      <c r="E26" s="53">
        <v>36.379399999999997</v>
      </c>
      <c r="F26" s="53"/>
      <c r="G26" s="53"/>
      <c r="H26" s="53"/>
      <c r="I26" s="53"/>
      <c r="J26" s="53"/>
      <c r="K26" s="15">
        <v>0</v>
      </c>
      <c r="L26" s="15">
        <v>0</v>
      </c>
      <c r="M26" s="15">
        <v>0</v>
      </c>
      <c r="N26" s="16">
        <f t="shared" si="0"/>
        <v>0</v>
      </c>
      <c r="P26" s="54">
        <v>2995.26</v>
      </c>
      <c r="Q26" s="54">
        <v>36.377299999999998</v>
      </c>
      <c r="R26" s="54"/>
      <c r="S26" s="54"/>
      <c r="T26" s="54"/>
      <c r="U26" s="54"/>
      <c r="V26" s="54"/>
      <c r="W26" s="15">
        <v>0</v>
      </c>
      <c r="X26" s="15">
        <v>0</v>
      </c>
      <c r="Y26" s="15">
        <v>0</v>
      </c>
      <c r="Z26" s="16">
        <f t="shared" si="6"/>
        <v>0</v>
      </c>
      <c r="AA26" s="15" t="e">
        <f t="shared" si="1"/>
        <v>#DIV/0!</v>
      </c>
      <c r="AB26" s="15" t="e">
        <f t="shared" si="25"/>
        <v>#DIV/0!</v>
      </c>
      <c r="AC26" s="15" t="e">
        <f t="shared" si="25"/>
        <v>#DIV/0!</v>
      </c>
      <c r="AD26" s="16">
        <f t="shared" si="7"/>
        <v>2.5375639386188893E-3</v>
      </c>
      <c r="AE26" s="12"/>
      <c r="AF26" s="26"/>
      <c r="AG26" s="21"/>
      <c r="AH26" s="36"/>
      <c r="AI26" s="26"/>
      <c r="AJ26" s="21"/>
      <c r="AK26" s="21"/>
      <c r="AL26" s="26"/>
      <c r="AM26" s="21"/>
      <c r="AN26" s="36"/>
      <c r="AO26" s="21"/>
      <c r="AP26" s="21"/>
      <c r="AQ26" s="36"/>
      <c r="AR26" s="21"/>
      <c r="AS26" s="21"/>
      <c r="AT26" s="36"/>
      <c r="AU26" s="26"/>
      <c r="AV26" s="21"/>
      <c r="AW26" s="36"/>
      <c r="AX26" s="15" t="e">
        <f>V26/J26</f>
        <v>#DIV/0!</v>
      </c>
      <c r="AY26" s="15" t="e">
        <f t="shared" si="32"/>
        <v>#DIV/0!</v>
      </c>
      <c r="AZ26" s="15" t="e">
        <f t="shared" si="10"/>
        <v>#DIV/0!</v>
      </c>
      <c r="BA26" s="15" t="e">
        <f>V26/J26</f>
        <v>#DIV/0!</v>
      </c>
      <c r="BB26" s="15" t="e">
        <f t="shared" si="30"/>
        <v>#DIV/0!</v>
      </c>
      <c r="BC26" s="15" t="e">
        <f t="shared" si="11"/>
        <v>#DIV/0!</v>
      </c>
    </row>
    <row r="27" spans="1:55" ht="15.75" thickBot="1" x14ac:dyDescent="0.25">
      <c r="A27" s="13"/>
      <c r="B27" s="17"/>
      <c r="C27" s="44">
        <v>42</v>
      </c>
      <c r="D27" s="53">
        <v>1608</v>
      </c>
      <c r="E27" s="53">
        <v>34.579099999999997</v>
      </c>
      <c r="F27" s="53"/>
      <c r="G27" s="53"/>
      <c r="H27" s="53"/>
      <c r="I27" s="53"/>
      <c r="J27" s="53"/>
      <c r="K27" s="19">
        <v>0</v>
      </c>
      <c r="L27" s="19">
        <v>0</v>
      </c>
      <c r="M27" s="19">
        <v>0</v>
      </c>
      <c r="N27" s="20">
        <f t="shared" si="0"/>
        <v>0</v>
      </c>
      <c r="P27" s="54">
        <v>1604.16</v>
      </c>
      <c r="Q27" s="54">
        <v>34.566699999999997</v>
      </c>
      <c r="R27" s="54"/>
      <c r="S27" s="54"/>
      <c r="T27" s="54"/>
      <c r="U27" s="54"/>
      <c r="V27" s="54"/>
      <c r="W27" s="19">
        <v>0</v>
      </c>
      <c r="X27" s="19">
        <v>0</v>
      </c>
      <c r="Y27" s="19">
        <v>0</v>
      </c>
      <c r="Z27" s="20">
        <f t="shared" si="6"/>
        <v>0</v>
      </c>
      <c r="AA27" s="15" t="e">
        <f t="shared" si="1"/>
        <v>#DIV/0!</v>
      </c>
      <c r="AB27" s="15" t="e">
        <f t="shared" si="25"/>
        <v>#DIV/0!</v>
      </c>
      <c r="AC27" s="15" t="e">
        <f t="shared" si="25"/>
        <v>#DIV/0!</v>
      </c>
      <c r="AD27" s="20">
        <f t="shared" si="7"/>
        <v>2.3880597014924866E-3</v>
      </c>
      <c r="AE27" s="12"/>
      <c r="AF27" s="27"/>
      <c r="AG27" s="37"/>
      <c r="AH27" s="38"/>
      <c r="AI27" s="27"/>
      <c r="AJ27" s="37"/>
      <c r="AK27" s="37"/>
      <c r="AL27" s="26"/>
      <c r="AM27" s="21"/>
      <c r="AN27" s="36"/>
      <c r="AO27" s="21"/>
      <c r="AP27" s="21"/>
      <c r="AQ27" s="36"/>
      <c r="AR27" s="37"/>
      <c r="AS27" s="37"/>
      <c r="AT27" s="38"/>
      <c r="AU27" s="27"/>
      <c r="AV27" s="37"/>
      <c r="AW27" s="38"/>
      <c r="AX27" s="15" t="e">
        <f>V27/J27</f>
        <v>#DIV/0!</v>
      </c>
      <c r="AY27" s="15" t="e">
        <f t="shared" si="32"/>
        <v>#DIV/0!</v>
      </c>
      <c r="AZ27" s="15" t="e">
        <f t="shared" si="10"/>
        <v>#DIV/0!</v>
      </c>
      <c r="BA27" s="15"/>
      <c r="BB27" s="15"/>
      <c r="BC27" s="15"/>
    </row>
    <row r="28" spans="1:55" ht="15" x14ac:dyDescent="0.2">
      <c r="A28" s="13"/>
      <c r="B28" s="13" t="s">
        <v>45</v>
      </c>
      <c r="C28" s="39">
        <v>22</v>
      </c>
      <c r="D28" s="53">
        <v>48051.4</v>
      </c>
      <c r="E28" s="53">
        <v>44.1111</v>
      </c>
      <c r="F28" s="53"/>
      <c r="G28" s="53"/>
      <c r="H28" s="53"/>
      <c r="I28" s="53"/>
      <c r="J28" s="53"/>
      <c r="K28" s="10">
        <v>0</v>
      </c>
      <c r="L28" s="10">
        <v>0</v>
      </c>
      <c r="M28" s="10">
        <v>0</v>
      </c>
      <c r="N28" s="11">
        <f t="shared" si="0"/>
        <v>0</v>
      </c>
      <c r="P28" s="54">
        <v>48074.5</v>
      </c>
      <c r="Q28" s="54">
        <v>44.116799999999998</v>
      </c>
      <c r="R28" s="54"/>
      <c r="S28" s="54"/>
      <c r="T28" s="54"/>
      <c r="U28" s="54"/>
      <c r="V28" s="54"/>
      <c r="W28" s="10">
        <v>0</v>
      </c>
      <c r="X28" s="10">
        <v>0</v>
      </c>
      <c r="Y28" s="10">
        <v>0</v>
      </c>
      <c r="Z28" s="11">
        <f t="shared" si="6"/>
        <v>0</v>
      </c>
      <c r="AA28" s="15" t="e">
        <f t="shared" si="1"/>
        <v>#DIV/0!</v>
      </c>
      <c r="AB28" s="15" t="e">
        <f t="shared" si="25"/>
        <v>#DIV/0!</v>
      </c>
      <c r="AC28" s="15" t="e">
        <f t="shared" si="25"/>
        <v>#DIV/0!</v>
      </c>
      <c r="AD28" s="11">
        <f t="shared" si="7"/>
        <v>4.8073521270969305E-4</v>
      </c>
      <c r="AE28" s="12"/>
      <c r="AF28" s="25">
        <f t="shared" ref="AF28:AK28" si="33">bdRateExtend($D28:$D32,E28:E32,$P28:$P32,Q28:Q32)</f>
        <v>-3.2882910992071412E-4</v>
      </c>
      <c r="AG28" s="30" t="e">
        <f t="shared" si="33"/>
        <v>#VALUE!</v>
      </c>
      <c r="AH28" s="31" t="e">
        <f t="shared" si="33"/>
        <v>#VALUE!</v>
      </c>
      <c r="AI28" s="25" t="e">
        <f t="shared" si="33"/>
        <v>#VALUE!</v>
      </c>
      <c r="AJ28" s="30" t="e">
        <f t="shared" si="33"/>
        <v>#VALUE!</v>
      </c>
      <c r="AK28" s="30" t="e">
        <f t="shared" si="33"/>
        <v>#VALUE!</v>
      </c>
      <c r="AL28" s="45"/>
      <c r="AM28" s="46"/>
      <c r="AN28" s="47"/>
      <c r="AO28" s="46"/>
      <c r="AP28" s="46"/>
      <c r="AQ28" s="47"/>
      <c r="AR28" s="30">
        <f t="shared" ref="AR28:AW28" si="34">bdrate($D28:$D31,E28:E31,$P28:$P31,Q28:Q31)</f>
        <v>-5.6225635736162349E-4</v>
      </c>
      <c r="AS28" s="30" t="e">
        <f t="shared" si="34"/>
        <v>#VALUE!</v>
      </c>
      <c r="AT28" s="31" t="e">
        <f t="shared" si="34"/>
        <v>#VALUE!</v>
      </c>
      <c r="AU28" s="25" t="e">
        <f t="shared" si="34"/>
        <v>#VALUE!</v>
      </c>
      <c r="AV28" s="30" t="e">
        <f t="shared" si="34"/>
        <v>#VALUE!</v>
      </c>
      <c r="AW28" s="31" t="e">
        <f t="shared" si="34"/>
        <v>#VALUE!</v>
      </c>
      <c r="AX28" s="15"/>
      <c r="AY28" s="15"/>
      <c r="AZ28" s="15"/>
      <c r="BA28" s="15" t="e">
        <f>V28/J28</f>
        <v>#DIV/0!</v>
      </c>
      <c r="BB28" s="15" t="e">
        <f t="shared" ref="BB28:BB31" si="35">X28/L28</f>
        <v>#DIV/0!</v>
      </c>
      <c r="BC28" s="15" t="e">
        <f t="shared" si="11"/>
        <v>#DIV/0!</v>
      </c>
    </row>
    <row r="29" spans="1:55" ht="15" x14ac:dyDescent="0.2">
      <c r="A29" s="13"/>
      <c r="B29" s="13"/>
      <c r="C29" s="43">
        <v>27</v>
      </c>
      <c r="D29" s="53">
        <v>26154.799999999999</v>
      </c>
      <c r="E29" s="53">
        <v>40.295900000000003</v>
      </c>
      <c r="F29" s="53"/>
      <c r="G29" s="53"/>
      <c r="H29" s="53"/>
      <c r="I29" s="53"/>
      <c r="J29" s="53"/>
      <c r="K29" s="15">
        <v>0</v>
      </c>
      <c r="L29" s="15">
        <v>0</v>
      </c>
      <c r="M29" s="15">
        <v>0</v>
      </c>
      <c r="N29" s="16">
        <f t="shared" si="0"/>
        <v>0</v>
      </c>
      <c r="P29" s="54">
        <v>26145.35</v>
      </c>
      <c r="Q29" s="54">
        <v>40.294800000000002</v>
      </c>
      <c r="R29" s="54"/>
      <c r="S29" s="54"/>
      <c r="T29" s="54"/>
      <c r="U29" s="54"/>
      <c r="V29" s="54"/>
      <c r="W29" s="15">
        <v>0</v>
      </c>
      <c r="X29" s="15">
        <v>0</v>
      </c>
      <c r="Y29" s="15">
        <v>0</v>
      </c>
      <c r="Z29" s="16">
        <f t="shared" si="6"/>
        <v>0</v>
      </c>
      <c r="AA29" s="15" t="e">
        <f t="shared" si="1"/>
        <v>#DIV/0!</v>
      </c>
      <c r="AB29" s="15" t="e">
        <f t="shared" si="25"/>
        <v>#DIV/0!</v>
      </c>
      <c r="AC29" s="15" t="e">
        <f t="shared" si="25"/>
        <v>#DIV/0!</v>
      </c>
      <c r="AD29" s="16">
        <f t="shared" si="7"/>
        <v>3.6131035221071193E-4</v>
      </c>
      <c r="AE29" s="12"/>
      <c r="AF29" s="26"/>
      <c r="AG29" s="21"/>
      <c r="AH29" s="36"/>
      <c r="AI29" s="26"/>
      <c r="AJ29" s="21"/>
      <c r="AK29" s="21"/>
      <c r="AL29" s="26">
        <f>bdrate($D29:$D32,E29:E32,$P29:$P32,Q29:Q32)</f>
        <v>-5.4090483971258596E-4</v>
      </c>
      <c r="AM29" s="21" t="e">
        <f>bdrate($D29:$D32,F29:F32,$P29:$P32,R29:R32)</f>
        <v>#VALUE!</v>
      </c>
      <c r="AN29" s="36" t="e">
        <f t="shared" ref="AN29" si="36">bdrate($D29:$D32,G29:G32,$P29:$P32,S29:S32)</f>
        <v>#VALUE!</v>
      </c>
      <c r="AO29" s="26" t="e">
        <f>bdrate($D29:$D32,H29:H32,$P29:$P32,T29:T32)</f>
        <v>#VALUE!</v>
      </c>
      <c r="AP29" s="21" t="e">
        <f>bdrate($D29:$D32,I29:I32,$P29:$P32,U29:U32)</f>
        <v>#VALUE!</v>
      </c>
      <c r="AQ29" s="36" t="e">
        <f>bdrate($D29:$D32,J29:J32,$P29:$P32,V29:V32)</f>
        <v>#VALUE!</v>
      </c>
      <c r="AR29" s="21"/>
      <c r="AS29" s="21"/>
      <c r="AT29" s="36"/>
      <c r="AU29" s="26"/>
      <c r="AV29" s="21"/>
      <c r="AW29" s="36"/>
      <c r="AX29" s="15" t="e">
        <f>V29/J29</f>
        <v>#DIV/0!</v>
      </c>
      <c r="AY29" s="15" t="e">
        <f t="shared" ref="AY29:AY32" si="37">X29/L29</f>
        <v>#DIV/0!</v>
      </c>
      <c r="AZ29" s="15" t="e">
        <f t="shared" si="10"/>
        <v>#DIV/0!</v>
      </c>
      <c r="BA29" s="15" t="e">
        <f>V29/J29</f>
        <v>#DIV/0!</v>
      </c>
      <c r="BB29" s="15" t="e">
        <f t="shared" si="35"/>
        <v>#DIV/0!</v>
      </c>
      <c r="BC29" s="15" t="e">
        <f t="shared" si="11"/>
        <v>#DIV/0!</v>
      </c>
    </row>
    <row r="30" spans="1:55" ht="15" x14ac:dyDescent="0.2">
      <c r="A30" s="13"/>
      <c r="B30" s="13"/>
      <c r="C30" s="43">
        <v>32</v>
      </c>
      <c r="D30" s="53">
        <v>13873.05</v>
      </c>
      <c r="E30" s="53">
        <v>37.235300000000002</v>
      </c>
      <c r="F30" s="53"/>
      <c r="G30" s="53"/>
      <c r="H30" s="53"/>
      <c r="I30" s="53"/>
      <c r="J30" s="53"/>
      <c r="K30" s="15">
        <v>0</v>
      </c>
      <c r="L30" s="15">
        <v>0</v>
      </c>
      <c r="M30" s="15">
        <v>0</v>
      </c>
      <c r="N30" s="16">
        <f t="shared" si="0"/>
        <v>0</v>
      </c>
      <c r="P30" s="54">
        <v>13874.65</v>
      </c>
      <c r="Q30" s="54">
        <v>37.242899999999999</v>
      </c>
      <c r="R30" s="54"/>
      <c r="S30" s="54"/>
      <c r="T30" s="54"/>
      <c r="U30" s="54"/>
      <c r="V30" s="54"/>
      <c r="W30" s="15">
        <v>0</v>
      </c>
      <c r="X30" s="15">
        <v>0</v>
      </c>
      <c r="Y30" s="15">
        <v>0</v>
      </c>
      <c r="Z30" s="16">
        <f t="shared" si="6"/>
        <v>0</v>
      </c>
      <c r="AA30" s="15" t="e">
        <f t="shared" si="1"/>
        <v>#DIV/0!</v>
      </c>
      <c r="AB30" s="15" t="e">
        <f t="shared" si="25"/>
        <v>#DIV/0!</v>
      </c>
      <c r="AC30" s="15" t="e">
        <f t="shared" si="25"/>
        <v>#DIV/0!</v>
      </c>
      <c r="AD30" s="16">
        <f t="shared" si="7"/>
        <v>1.1533152407007572E-4</v>
      </c>
      <c r="AE30" s="12"/>
      <c r="AF30" s="26"/>
      <c r="AG30" s="21"/>
      <c r="AH30" s="36"/>
      <c r="AI30" s="26"/>
      <c r="AJ30" s="21"/>
      <c r="AK30" s="21"/>
      <c r="AL30" s="26"/>
      <c r="AM30" s="21"/>
      <c r="AN30" s="36"/>
      <c r="AO30" s="21"/>
      <c r="AP30" s="21"/>
      <c r="AQ30" s="36"/>
      <c r="AR30" s="21"/>
      <c r="AS30" s="21"/>
      <c r="AT30" s="36"/>
      <c r="AU30" s="26"/>
      <c r="AV30" s="21"/>
      <c r="AW30" s="36"/>
      <c r="AX30" s="15" t="e">
        <f>V30/J30</f>
        <v>#DIV/0!</v>
      </c>
      <c r="AY30" s="15" t="e">
        <f t="shared" si="37"/>
        <v>#DIV/0!</v>
      </c>
      <c r="AZ30" s="15" t="e">
        <f t="shared" si="10"/>
        <v>#DIV/0!</v>
      </c>
      <c r="BA30" s="15" t="e">
        <f>V30/J30</f>
        <v>#DIV/0!</v>
      </c>
      <c r="BB30" s="15" t="e">
        <f t="shared" si="35"/>
        <v>#DIV/0!</v>
      </c>
      <c r="BC30" s="15" t="e">
        <f t="shared" si="11"/>
        <v>#DIV/0!</v>
      </c>
    </row>
    <row r="31" spans="1:55" ht="15" x14ac:dyDescent="0.2">
      <c r="A31" s="13"/>
      <c r="B31" s="13"/>
      <c r="C31" s="43">
        <v>37</v>
      </c>
      <c r="D31" s="53">
        <v>7454.15</v>
      </c>
      <c r="E31" s="53">
        <v>34.6053</v>
      </c>
      <c r="F31" s="53"/>
      <c r="G31" s="53"/>
      <c r="H31" s="53"/>
      <c r="I31" s="53"/>
      <c r="J31" s="53"/>
      <c r="K31" s="15">
        <v>0</v>
      </c>
      <c r="L31" s="15">
        <v>0</v>
      </c>
      <c r="M31" s="15">
        <v>0</v>
      </c>
      <c r="N31" s="16">
        <f t="shared" si="0"/>
        <v>0</v>
      </c>
      <c r="P31" s="54">
        <v>7457.2</v>
      </c>
      <c r="Q31" s="54">
        <v>34.6051</v>
      </c>
      <c r="R31" s="54"/>
      <c r="S31" s="54"/>
      <c r="T31" s="54"/>
      <c r="U31" s="54"/>
      <c r="V31" s="54"/>
      <c r="W31" s="15">
        <v>0</v>
      </c>
      <c r="X31" s="15">
        <v>0</v>
      </c>
      <c r="Y31" s="15">
        <v>0</v>
      </c>
      <c r="Z31" s="16">
        <f t="shared" si="6"/>
        <v>0</v>
      </c>
      <c r="AA31" s="15" t="e">
        <f t="shared" si="1"/>
        <v>#DIV/0!</v>
      </c>
      <c r="AB31" s="15" t="e">
        <f t="shared" si="25"/>
        <v>#DIV/0!</v>
      </c>
      <c r="AC31" s="15" t="e">
        <f t="shared" si="25"/>
        <v>#DIV/0!</v>
      </c>
      <c r="AD31" s="16">
        <f t="shared" si="7"/>
        <v>4.0916804732936445E-4</v>
      </c>
      <c r="AE31" s="12"/>
      <c r="AF31" s="26"/>
      <c r="AG31" s="21"/>
      <c r="AH31" s="36"/>
      <c r="AI31" s="26"/>
      <c r="AJ31" s="21"/>
      <c r="AK31" s="21"/>
      <c r="AL31" s="26"/>
      <c r="AM31" s="21"/>
      <c r="AN31" s="36"/>
      <c r="AO31" s="21"/>
      <c r="AP31" s="21"/>
      <c r="AQ31" s="36"/>
      <c r="AR31" s="21"/>
      <c r="AS31" s="21"/>
      <c r="AT31" s="36"/>
      <c r="AU31" s="26"/>
      <c r="AV31" s="21"/>
      <c r="AW31" s="36"/>
      <c r="AX31" s="15" t="e">
        <f>V31/J31</f>
        <v>#DIV/0!</v>
      </c>
      <c r="AY31" s="15" t="e">
        <f t="shared" si="37"/>
        <v>#DIV/0!</v>
      </c>
      <c r="AZ31" s="15" t="e">
        <f t="shared" si="10"/>
        <v>#DIV/0!</v>
      </c>
      <c r="BA31" s="15" t="e">
        <f>V31/J31</f>
        <v>#DIV/0!</v>
      </c>
      <c r="BB31" s="15" t="e">
        <f t="shared" si="35"/>
        <v>#DIV/0!</v>
      </c>
      <c r="BC31" s="15" t="e">
        <f t="shared" si="11"/>
        <v>#DIV/0!</v>
      </c>
    </row>
    <row r="32" spans="1:55" ht="15.75" thickBot="1" x14ac:dyDescent="0.25">
      <c r="A32" s="13"/>
      <c r="B32" s="17"/>
      <c r="C32" s="44">
        <v>42</v>
      </c>
      <c r="D32" s="53">
        <v>3685.35</v>
      </c>
      <c r="E32" s="53">
        <v>32.375799999999998</v>
      </c>
      <c r="F32" s="53"/>
      <c r="G32" s="53"/>
      <c r="H32" s="53"/>
      <c r="I32" s="53"/>
      <c r="J32" s="53"/>
      <c r="K32" s="19">
        <v>0</v>
      </c>
      <c r="L32" s="19">
        <v>0</v>
      </c>
      <c r="M32" s="19">
        <v>0</v>
      </c>
      <c r="N32" s="20">
        <f t="shared" si="0"/>
        <v>0</v>
      </c>
      <c r="P32" s="54">
        <v>3687.65</v>
      </c>
      <c r="Q32" s="54">
        <v>32.377800000000001</v>
      </c>
      <c r="R32" s="54"/>
      <c r="S32" s="54"/>
      <c r="T32" s="54"/>
      <c r="U32" s="54"/>
      <c r="V32" s="54"/>
      <c r="W32" s="19">
        <v>0</v>
      </c>
      <c r="X32" s="19">
        <v>0</v>
      </c>
      <c r="Y32" s="19">
        <v>0</v>
      </c>
      <c r="Z32" s="20">
        <f t="shared" si="6"/>
        <v>0</v>
      </c>
      <c r="AA32" s="15" t="e">
        <f t="shared" si="1"/>
        <v>#DIV/0!</v>
      </c>
      <c r="AB32" s="15" t="e">
        <f t="shared" si="25"/>
        <v>#DIV/0!</v>
      </c>
      <c r="AC32" s="15" t="e">
        <f t="shared" si="25"/>
        <v>#DIV/0!</v>
      </c>
      <c r="AD32" s="20">
        <f t="shared" si="7"/>
        <v>6.2409269133194463E-4</v>
      </c>
      <c r="AE32" s="12"/>
      <c r="AF32" s="27"/>
      <c r="AG32" s="37"/>
      <c r="AH32" s="38"/>
      <c r="AI32" s="27"/>
      <c r="AJ32" s="37"/>
      <c r="AK32" s="37"/>
      <c r="AL32" s="27"/>
      <c r="AM32" s="37"/>
      <c r="AN32" s="38"/>
      <c r="AO32" s="37"/>
      <c r="AP32" s="37"/>
      <c r="AQ32" s="38"/>
      <c r="AR32" s="37"/>
      <c r="AS32" s="37"/>
      <c r="AT32" s="38"/>
      <c r="AU32" s="27"/>
      <c r="AV32" s="37"/>
      <c r="AW32" s="38"/>
      <c r="AX32" s="15" t="e">
        <f>V32/J32</f>
        <v>#DIV/0!</v>
      </c>
      <c r="AY32" s="15" t="e">
        <f t="shared" si="37"/>
        <v>#DIV/0!</v>
      </c>
      <c r="AZ32" s="15" t="e">
        <f t="shared" si="10"/>
        <v>#DIV/0!</v>
      </c>
      <c r="BA32" s="15"/>
      <c r="BB32" s="15"/>
      <c r="BC32" s="15"/>
    </row>
    <row r="33" spans="1:55" ht="15" x14ac:dyDescent="0.2">
      <c r="A33" s="48" t="s">
        <v>1</v>
      </c>
      <c r="B33" s="8" t="s">
        <v>3</v>
      </c>
      <c r="C33" s="39">
        <v>22</v>
      </c>
      <c r="D33" s="53">
        <v>6245.8</v>
      </c>
      <c r="E33" s="53">
        <v>42.9681</v>
      </c>
      <c r="F33" s="53"/>
      <c r="G33" s="53"/>
      <c r="H33" s="53"/>
      <c r="I33" s="53"/>
      <c r="J33" s="53"/>
      <c r="K33" s="10">
        <v>0</v>
      </c>
      <c r="L33" s="10">
        <v>0</v>
      </c>
      <c r="M33" s="10">
        <v>0</v>
      </c>
      <c r="N33" s="11">
        <f t="shared" si="0"/>
        <v>0</v>
      </c>
      <c r="P33" s="54">
        <v>6220</v>
      </c>
      <c r="Q33" s="54">
        <v>42.959899999999998</v>
      </c>
      <c r="R33" s="54"/>
      <c r="S33" s="54"/>
      <c r="T33" s="54"/>
      <c r="U33" s="54"/>
      <c r="V33" s="54"/>
      <c r="W33" s="10">
        <v>0</v>
      </c>
      <c r="X33" s="10">
        <v>0</v>
      </c>
      <c r="Y33" s="10">
        <v>0</v>
      </c>
      <c r="Z33" s="11">
        <f t="shared" si="6"/>
        <v>0</v>
      </c>
      <c r="AA33" s="10" t="e">
        <f t="shared" si="1"/>
        <v>#DIV/0!</v>
      </c>
      <c r="AB33" s="10" t="e">
        <f>X33/L33</f>
        <v>#DIV/0!</v>
      </c>
      <c r="AC33" s="10" t="e">
        <f>Y33/M33</f>
        <v>#DIV/0!</v>
      </c>
      <c r="AD33" s="11">
        <f t="shared" si="7"/>
        <v>4.1307758813923243E-3</v>
      </c>
      <c r="AE33" s="40"/>
      <c r="AF33" s="25">
        <f t="shared" ref="AF33:AK33" si="38">bdRateExtend($D33:$D37,E33:E37,$P33:$P37,Q33:Q37)</f>
        <v>9.6267925955917377E-4</v>
      </c>
      <c r="AG33" s="30" t="e">
        <f t="shared" si="38"/>
        <v>#VALUE!</v>
      </c>
      <c r="AH33" s="31" t="e">
        <f t="shared" si="38"/>
        <v>#VALUE!</v>
      </c>
      <c r="AI33" s="25" t="e">
        <f t="shared" si="38"/>
        <v>#VALUE!</v>
      </c>
      <c r="AJ33" s="30" t="e">
        <f t="shared" si="38"/>
        <v>#VALUE!</v>
      </c>
      <c r="AK33" s="30" t="e">
        <f t="shared" si="38"/>
        <v>#VALUE!</v>
      </c>
      <c r="AL33" s="26"/>
      <c r="AM33" s="21"/>
      <c r="AN33" s="36"/>
      <c r="AO33" s="21"/>
      <c r="AP33" s="21"/>
      <c r="AQ33" s="36"/>
      <c r="AR33" s="30">
        <f t="shared" ref="AR33:AW33" si="39">bdrate($D33:$D36,E33:E36,$P33:$P36,Q33:Q36)</f>
        <v>5.0626010686860567E-4</v>
      </c>
      <c r="AS33" s="30" t="e">
        <f t="shared" si="39"/>
        <v>#VALUE!</v>
      </c>
      <c r="AT33" s="31" t="e">
        <f t="shared" si="39"/>
        <v>#VALUE!</v>
      </c>
      <c r="AU33" s="25" t="e">
        <f t="shared" si="39"/>
        <v>#VALUE!</v>
      </c>
      <c r="AV33" s="30" t="e">
        <f t="shared" si="39"/>
        <v>#VALUE!</v>
      </c>
      <c r="AW33" s="31" t="e">
        <f t="shared" si="39"/>
        <v>#VALUE!</v>
      </c>
      <c r="AX33" s="10"/>
      <c r="AY33" s="10"/>
      <c r="AZ33" s="10"/>
      <c r="BA33" s="10" t="e">
        <f>V33/J33</f>
        <v>#DIV/0!</v>
      </c>
      <c r="BB33" s="10" t="e">
        <f t="shared" ref="BB33:BB36" si="40">X33/L33</f>
        <v>#DIV/0!</v>
      </c>
      <c r="BC33" s="10" t="e">
        <f t="shared" si="11"/>
        <v>#DIV/0!</v>
      </c>
    </row>
    <row r="34" spans="1:55" ht="15" x14ac:dyDescent="0.2">
      <c r="A34" s="13" t="s">
        <v>20</v>
      </c>
      <c r="C34" s="43">
        <v>27</v>
      </c>
      <c r="D34" s="53">
        <v>2406.0500000000002</v>
      </c>
      <c r="E34" s="53">
        <v>41.109200000000001</v>
      </c>
      <c r="F34" s="53"/>
      <c r="G34" s="53"/>
      <c r="H34" s="53"/>
      <c r="I34" s="53"/>
      <c r="J34" s="53"/>
      <c r="K34" s="15">
        <v>0</v>
      </c>
      <c r="L34" s="15">
        <v>0</v>
      </c>
      <c r="M34" s="15">
        <v>0</v>
      </c>
      <c r="N34" s="16">
        <f t="shared" si="0"/>
        <v>0</v>
      </c>
      <c r="P34" s="54">
        <v>2394.65</v>
      </c>
      <c r="Q34" s="54">
        <v>41.100099999999998</v>
      </c>
      <c r="R34" s="54"/>
      <c r="S34" s="54"/>
      <c r="T34" s="54"/>
      <c r="U34" s="54"/>
      <c r="V34" s="54"/>
      <c r="W34" s="15">
        <v>0</v>
      </c>
      <c r="X34" s="15">
        <v>0</v>
      </c>
      <c r="Y34" s="15">
        <v>0</v>
      </c>
      <c r="Z34" s="16">
        <f t="shared" si="6"/>
        <v>0</v>
      </c>
      <c r="AA34" s="15" t="e">
        <f t="shared" si="1"/>
        <v>#DIV/0!</v>
      </c>
      <c r="AB34" s="15" t="e">
        <f t="shared" ref="AB34:AC57" si="41">X34/L34</f>
        <v>#DIV/0!</v>
      </c>
      <c r="AC34" s="15" t="e">
        <f t="shared" si="41"/>
        <v>#DIV/0!</v>
      </c>
      <c r="AD34" s="16">
        <f t="shared" si="7"/>
        <v>4.7380561501216062E-3</v>
      </c>
      <c r="AE34" s="12"/>
      <c r="AF34" s="26"/>
      <c r="AG34" s="21"/>
      <c r="AH34" s="36"/>
      <c r="AI34" s="26"/>
      <c r="AJ34" s="21"/>
      <c r="AK34" s="21"/>
      <c r="AL34" s="26">
        <f>bdrate($D34:$D37,E34:E37,$P34:$P37,Q34:Q37)</f>
        <v>1.4755892000879456E-3</v>
      </c>
      <c r="AM34" s="21" t="e">
        <f>bdrate($D34:$D37,F34:F37,$P34:$P37,R34:R37)</f>
        <v>#VALUE!</v>
      </c>
      <c r="AN34" s="36" t="e">
        <f t="shared" ref="AN34" si="42">bdrate($D34:$D37,G34:G37,$P34:$P37,S34:S37)</f>
        <v>#VALUE!</v>
      </c>
      <c r="AO34" s="26" t="e">
        <f>bdrate($D34:$D37,H34:H37,$P34:$P37,T34:T37)</f>
        <v>#VALUE!</v>
      </c>
      <c r="AP34" s="21" t="e">
        <f>bdrate($D34:$D37,I34:I37,$P34:$P37,U34:U37)</f>
        <v>#VALUE!</v>
      </c>
      <c r="AQ34" s="36" t="e">
        <f>bdrate($D34:$D37,J34:J37,$P34:$P37,V34:V37)</f>
        <v>#VALUE!</v>
      </c>
      <c r="AR34" s="21"/>
      <c r="AS34" s="21"/>
      <c r="AT34" s="36"/>
      <c r="AU34" s="26"/>
      <c r="AV34" s="21"/>
      <c r="AW34" s="36"/>
      <c r="AX34" s="15" t="e">
        <f>V34/J34</f>
        <v>#DIV/0!</v>
      </c>
      <c r="AY34" s="15" t="e">
        <f t="shared" ref="AY34:AY37" si="43">X34/L34</f>
        <v>#DIV/0!</v>
      </c>
      <c r="AZ34" s="15" t="e">
        <f t="shared" si="10"/>
        <v>#DIV/0!</v>
      </c>
      <c r="BA34" s="15" t="e">
        <f>V34/J34</f>
        <v>#DIV/0!</v>
      </c>
      <c r="BB34" s="15" t="e">
        <f t="shared" si="40"/>
        <v>#DIV/0!</v>
      </c>
      <c r="BC34" s="15" t="e">
        <f t="shared" si="11"/>
        <v>#DIV/0!</v>
      </c>
    </row>
    <row r="35" spans="1:55" ht="15" x14ac:dyDescent="0.2">
      <c r="A35" s="13"/>
      <c r="B35" s="13"/>
      <c r="C35" s="43">
        <v>32</v>
      </c>
      <c r="D35" s="53">
        <v>1217.95</v>
      </c>
      <c r="E35" s="53">
        <v>39.683399999999999</v>
      </c>
      <c r="F35" s="53"/>
      <c r="G35" s="53"/>
      <c r="H35" s="53"/>
      <c r="I35" s="53"/>
      <c r="J35" s="53"/>
      <c r="K35" s="15">
        <v>0</v>
      </c>
      <c r="L35" s="15">
        <v>0</v>
      </c>
      <c r="M35" s="15">
        <v>0</v>
      </c>
      <c r="N35" s="16">
        <f t="shared" si="0"/>
        <v>0</v>
      </c>
      <c r="P35" s="54">
        <v>1220.45</v>
      </c>
      <c r="Q35" s="54">
        <v>39.685499999999998</v>
      </c>
      <c r="R35" s="54"/>
      <c r="S35" s="54"/>
      <c r="T35" s="54"/>
      <c r="U35" s="54"/>
      <c r="V35" s="54"/>
      <c r="W35" s="15">
        <v>0</v>
      </c>
      <c r="X35" s="15">
        <v>0</v>
      </c>
      <c r="Y35" s="15">
        <v>0</v>
      </c>
      <c r="Z35" s="16">
        <f t="shared" si="6"/>
        <v>0</v>
      </c>
      <c r="AA35" s="15" t="e">
        <f t="shared" si="1"/>
        <v>#DIV/0!</v>
      </c>
      <c r="AB35" s="15" t="e">
        <f t="shared" si="41"/>
        <v>#DIV/0!</v>
      </c>
      <c r="AC35" s="15" t="e">
        <f t="shared" si="41"/>
        <v>#DIV/0!</v>
      </c>
      <c r="AD35" s="16">
        <f t="shared" si="7"/>
        <v>2.0526294182848228E-3</v>
      </c>
      <c r="AE35" s="12"/>
      <c r="AF35" s="26"/>
      <c r="AG35" s="21"/>
      <c r="AH35" s="36"/>
      <c r="AI35" s="26"/>
      <c r="AJ35" s="21"/>
      <c r="AK35" s="21"/>
      <c r="AL35" s="26"/>
      <c r="AM35" s="21"/>
      <c r="AN35" s="36"/>
      <c r="AO35" s="21"/>
      <c r="AP35" s="21"/>
      <c r="AQ35" s="36"/>
      <c r="AR35" s="21"/>
      <c r="AS35" s="21"/>
      <c r="AT35" s="36"/>
      <c r="AU35" s="26"/>
      <c r="AV35" s="21"/>
      <c r="AW35" s="36"/>
      <c r="AX35" s="15" t="e">
        <f>V35/J35</f>
        <v>#DIV/0!</v>
      </c>
      <c r="AY35" s="15" t="e">
        <f t="shared" si="43"/>
        <v>#DIV/0!</v>
      </c>
      <c r="AZ35" s="15" t="e">
        <f t="shared" si="10"/>
        <v>#DIV/0!</v>
      </c>
      <c r="BA35" s="15" t="e">
        <f>V35/J35</f>
        <v>#DIV/0!</v>
      </c>
      <c r="BB35" s="15" t="e">
        <f t="shared" si="40"/>
        <v>#DIV/0!</v>
      </c>
      <c r="BC35" s="15" t="e">
        <f t="shared" si="11"/>
        <v>#DIV/0!</v>
      </c>
    </row>
    <row r="36" spans="1:55" ht="15" x14ac:dyDescent="0.2">
      <c r="A36" s="13"/>
      <c r="B36" s="13"/>
      <c r="C36" s="43">
        <v>37</v>
      </c>
      <c r="D36" s="53">
        <v>690.95</v>
      </c>
      <c r="E36" s="53">
        <v>38.117400000000004</v>
      </c>
      <c r="F36" s="53"/>
      <c r="G36" s="53"/>
      <c r="H36" s="53"/>
      <c r="I36" s="53"/>
      <c r="J36" s="53"/>
      <c r="K36" s="15">
        <v>0</v>
      </c>
      <c r="L36" s="15">
        <v>0</v>
      </c>
      <c r="M36" s="15">
        <v>0</v>
      </c>
      <c r="N36" s="16">
        <f t="shared" si="0"/>
        <v>0</v>
      </c>
      <c r="P36" s="54">
        <v>689.25</v>
      </c>
      <c r="Q36" s="54">
        <v>38.104799999999997</v>
      </c>
      <c r="R36" s="54"/>
      <c r="S36" s="54"/>
      <c r="T36" s="54"/>
      <c r="U36" s="54"/>
      <c r="V36" s="54"/>
      <c r="W36" s="15">
        <v>0</v>
      </c>
      <c r="X36" s="15">
        <v>0</v>
      </c>
      <c r="Y36" s="15">
        <v>0</v>
      </c>
      <c r="Z36" s="16">
        <f t="shared" si="6"/>
        <v>0</v>
      </c>
      <c r="AA36" s="15" t="e">
        <f t="shared" si="1"/>
        <v>#DIV/0!</v>
      </c>
      <c r="AB36" s="15" t="e">
        <f t="shared" si="41"/>
        <v>#DIV/0!</v>
      </c>
      <c r="AC36" s="15" t="e">
        <f t="shared" si="41"/>
        <v>#DIV/0!</v>
      </c>
      <c r="AD36" s="16">
        <f t="shared" si="7"/>
        <v>2.4603806353571825E-3</v>
      </c>
      <c r="AE36" s="12"/>
      <c r="AF36" s="26"/>
      <c r="AG36" s="21"/>
      <c r="AH36" s="36"/>
      <c r="AI36" s="26"/>
      <c r="AJ36" s="21"/>
      <c r="AK36" s="21"/>
      <c r="AL36" s="26"/>
      <c r="AM36" s="21"/>
      <c r="AN36" s="36"/>
      <c r="AO36" s="21"/>
      <c r="AP36" s="21"/>
      <c r="AQ36" s="36"/>
      <c r="AR36" s="21"/>
      <c r="AS36" s="21"/>
      <c r="AT36" s="36"/>
      <c r="AU36" s="26"/>
      <c r="AV36" s="21"/>
      <c r="AW36" s="36"/>
      <c r="AX36" s="15" t="e">
        <f>V36/J36</f>
        <v>#DIV/0!</v>
      </c>
      <c r="AY36" s="15" t="e">
        <f t="shared" si="43"/>
        <v>#DIV/0!</v>
      </c>
      <c r="AZ36" s="15" t="e">
        <f t="shared" si="10"/>
        <v>#DIV/0!</v>
      </c>
      <c r="BA36" s="15" t="e">
        <f>V36/J36</f>
        <v>#DIV/0!</v>
      </c>
      <c r="BB36" s="15" t="e">
        <f t="shared" si="40"/>
        <v>#DIV/0!</v>
      </c>
      <c r="BC36" s="15" t="e">
        <f t="shared" si="11"/>
        <v>#DIV/0!</v>
      </c>
    </row>
    <row r="37" spans="1:55" ht="15.75" thickBot="1" x14ac:dyDescent="0.25">
      <c r="A37" s="13"/>
      <c r="B37" s="17"/>
      <c r="C37" s="44">
        <v>42</v>
      </c>
      <c r="D37" s="53">
        <v>392.7</v>
      </c>
      <c r="E37" s="53">
        <v>36.217799999999997</v>
      </c>
      <c r="F37" s="53"/>
      <c r="G37" s="53"/>
      <c r="H37" s="53"/>
      <c r="I37" s="53"/>
      <c r="J37" s="53"/>
      <c r="K37" s="19">
        <v>0</v>
      </c>
      <c r="L37" s="19">
        <v>0</v>
      </c>
      <c r="M37" s="19">
        <v>0</v>
      </c>
      <c r="N37" s="20">
        <f t="shared" si="0"/>
        <v>0</v>
      </c>
      <c r="P37" s="54">
        <v>393.2</v>
      </c>
      <c r="Q37" s="54">
        <v>36.213099999999997</v>
      </c>
      <c r="R37" s="54"/>
      <c r="S37" s="54"/>
      <c r="T37" s="54"/>
      <c r="U37" s="54"/>
      <c r="V37" s="54"/>
      <c r="W37" s="19">
        <v>0</v>
      </c>
      <c r="X37" s="19">
        <v>0</v>
      </c>
      <c r="Y37" s="19">
        <v>0</v>
      </c>
      <c r="Z37" s="20">
        <f t="shared" si="6"/>
        <v>0</v>
      </c>
      <c r="AA37" s="15" t="e">
        <f t="shared" si="1"/>
        <v>#DIV/0!</v>
      </c>
      <c r="AB37" s="15" t="e">
        <f t="shared" si="41"/>
        <v>#DIV/0!</v>
      </c>
      <c r="AC37" s="15" t="e">
        <f t="shared" si="41"/>
        <v>#DIV/0!</v>
      </c>
      <c r="AD37" s="20">
        <f t="shared" si="7"/>
        <v>1.2732365673542145E-3</v>
      </c>
      <c r="AE37" s="12"/>
      <c r="AF37" s="27"/>
      <c r="AG37" s="37"/>
      <c r="AH37" s="38"/>
      <c r="AI37" s="27"/>
      <c r="AJ37" s="37"/>
      <c r="AK37" s="37"/>
      <c r="AL37" s="26"/>
      <c r="AM37" s="21"/>
      <c r="AN37" s="36"/>
      <c r="AO37" s="21"/>
      <c r="AP37" s="21"/>
      <c r="AQ37" s="36"/>
      <c r="AR37" s="37"/>
      <c r="AS37" s="37"/>
      <c r="AT37" s="38"/>
      <c r="AU37" s="27"/>
      <c r="AV37" s="37"/>
      <c r="AW37" s="38"/>
      <c r="AX37" s="15" t="e">
        <f>V37/J37</f>
        <v>#DIV/0!</v>
      </c>
      <c r="AY37" s="15" t="e">
        <f t="shared" si="43"/>
        <v>#DIV/0!</v>
      </c>
      <c r="AZ37" s="15" t="e">
        <f t="shared" si="10"/>
        <v>#DIV/0!</v>
      </c>
      <c r="BA37" s="15"/>
      <c r="BB37" s="15"/>
      <c r="BC37" s="15"/>
    </row>
    <row r="38" spans="1:55" ht="15" x14ac:dyDescent="0.2">
      <c r="A38" s="13"/>
      <c r="B38" s="8" t="s">
        <v>4</v>
      </c>
      <c r="C38" s="39">
        <v>22</v>
      </c>
      <c r="D38" s="53">
        <v>21640.32</v>
      </c>
      <c r="E38" s="53">
        <v>43.647799999999997</v>
      </c>
      <c r="F38" s="53"/>
      <c r="G38" s="53"/>
      <c r="H38" s="53"/>
      <c r="I38" s="53"/>
      <c r="J38" s="53"/>
      <c r="K38" s="10">
        <v>0</v>
      </c>
      <c r="L38" s="10">
        <v>0</v>
      </c>
      <c r="M38" s="10">
        <v>0</v>
      </c>
      <c r="N38" s="11">
        <f t="shared" si="0"/>
        <v>0</v>
      </c>
      <c r="P38" s="54">
        <v>21623.16</v>
      </c>
      <c r="Q38" s="54">
        <v>43.645800000000001</v>
      </c>
      <c r="R38" s="54"/>
      <c r="S38" s="54"/>
      <c r="T38" s="54"/>
      <c r="U38" s="54"/>
      <c r="V38" s="54"/>
      <c r="W38" s="10">
        <v>0</v>
      </c>
      <c r="X38" s="10">
        <v>0</v>
      </c>
      <c r="Y38" s="10">
        <v>0</v>
      </c>
      <c r="Z38" s="11">
        <f t="shared" si="6"/>
        <v>0</v>
      </c>
      <c r="AA38" s="15" t="e">
        <f t="shared" si="1"/>
        <v>#DIV/0!</v>
      </c>
      <c r="AB38" s="15" t="e">
        <f t="shared" si="41"/>
        <v>#DIV/0!</v>
      </c>
      <c r="AC38" s="15" t="e">
        <f t="shared" si="41"/>
        <v>#DIV/0!</v>
      </c>
      <c r="AD38" s="11">
        <f t="shared" si="7"/>
        <v>7.9296424452133119E-4</v>
      </c>
      <c r="AE38" s="12"/>
      <c r="AF38" s="25">
        <f t="shared" ref="AF38:AK38" si="44">bdRateExtend($D38:$D42,E38:E42,$P38:$P42,Q38:Q42)</f>
        <v>-4.6173677974881144E-4</v>
      </c>
      <c r="AG38" s="30" t="e">
        <f t="shared" si="44"/>
        <v>#VALUE!</v>
      </c>
      <c r="AH38" s="31" t="e">
        <f t="shared" si="44"/>
        <v>#VALUE!</v>
      </c>
      <c r="AI38" s="25" t="e">
        <f t="shared" si="44"/>
        <v>#VALUE!</v>
      </c>
      <c r="AJ38" s="30" t="e">
        <f t="shared" si="44"/>
        <v>#VALUE!</v>
      </c>
      <c r="AK38" s="30" t="e">
        <f t="shared" si="44"/>
        <v>#VALUE!</v>
      </c>
      <c r="AL38" s="45"/>
      <c r="AM38" s="46"/>
      <c r="AN38" s="47"/>
      <c r="AO38" s="46"/>
      <c r="AP38" s="46"/>
      <c r="AQ38" s="47"/>
      <c r="AR38" s="30">
        <f t="shared" ref="AR38:AW38" si="45">bdrate($D38:$D41,E38:E41,$P38:$P41,Q38:Q41)</f>
        <v>-1.9466977083681947E-4</v>
      </c>
      <c r="AS38" s="30" t="e">
        <f t="shared" si="45"/>
        <v>#VALUE!</v>
      </c>
      <c r="AT38" s="31" t="e">
        <f t="shared" si="45"/>
        <v>#VALUE!</v>
      </c>
      <c r="AU38" s="25" t="e">
        <f t="shared" si="45"/>
        <v>#VALUE!</v>
      </c>
      <c r="AV38" s="30" t="e">
        <f t="shared" si="45"/>
        <v>#VALUE!</v>
      </c>
      <c r="AW38" s="31" t="e">
        <f t="shared" si="45"/>
        <v>#VALUE!</v>
      </c>
      <c r="AX38" s="15"/>
      <c r="AY38" s="15"/>
      <c r="AZ38" s="15"/>
      <c r="BA38" s="15" t="e">
        <f>V38/J38</f>
        <v>#DIV/0!</v>
      </c>
      <c r="BB38" s="15" t="e">
        <f t="shared" ref="BB38:BB41" si="46">X38/L38</f>
        <v>#DIV/0!</v>
      </c>
      <c r="BC38" s="15" t="e">
        <f t="shared" si="11"/>
        <v>#DIV/0!</v>
      </c>
    </row>
    <row r="39" spans="1:55" ht="15" x14ac:dyDescent="0.2">
      <c r="A39" s="13"/>
      <c r="C39" s="43">
        <v>27</v>
      </c>
      <c r="D39" s="53">
        <v>11146.44</v>
      </c>
      <c r="E39" s="53">
        <v>39.338299999999997</v>
      </c>
      <c r="F39" s="53"/>
      <c r="G39" s="53"/>
      <c r="H39" s="53"/>
      <c r="I39" s="53"/>
      <c r="J39" s="53"/>
      <c r="K39" s="15">
        <v>0</v>
      </c>
      <c r="L39" s="15">
        <v>0</v>
      </c>
      <c r="M39" s="15">
        <v>0</v>
      </c>
      <c r="N39" s="16">
        <f t="shared" si="0"/>
        <v>0</v>
      </c>
      <c r="P39" s="54">
        <v>11114.58</v>
      </c>
      <c r="Q39" s="54">
        <v>39.326000000000001</v>
      </c>
      <c r="R39" s="54"/>
      <c r="S39" s="54"/>
      <c r="T39" s="54"/>
      <c r="U39" s="54"/>
      <c r="V39" s="54"/>
      <c r="W39" s="15">
        <v>0</v>
      </c>
      <c r="X39" s="15">
        <v>0</v>
      </c>
      <c r="Y39" s="15">
        <v>0</v>
      </c>
      <c r="Z39" s="16">
        <f t="shared" si="6"/>
        <v>0</v>
      </c>
      <c r="AA39" s="15" t="e">
        <f t="shared" si="1"/>
        <v>#DIV/0!</v>
      </c>
      <c r="AB39" s="15" t="e">
        <f t="shared" si="41"/>
        <v>#DIV/0!</v>
      </c>
      <c r="AC39" s="15" t="e">
        <f t="shared" si="41"/>
        <v>#DIV/0!</v>
      </c>
      <c r="AD39" s="16">
        <f t="shared" si="7"/>
        <v>2.8583117120803215E-3</v>
      </c>
      <c r="AE39" s="12"/>
      <c r="AF39" s="26"/>
      <c r="AG39" s="21"/>
      <c r="AH39" s="36"/>
      <c r="AI39" s="26"/>
      <c r="AJ39" s="21"/>
      <c r="AK39" s="21"/>
      <c r="AL39" s="26">
        <f>bdrate($D39:$D42,E39:E42,$P39:$P42,Q39:Q42)</f>
        <v>-2.5028293837914273E-4</v>
      </c>
      <c r="AM39" s="21" t="e">
        <f>bdrate($D39:$D42,F39:F42,$P39:$P42,R39:R42)</f>
        <v>#VALUE!</v>
      </c>
      <c r="AN39" s="36" t="e">
        <f t="shared" ref="AN39" si="47">bdrate($D39:$D42,G39:G42,$P39:$P42,S39:S42)</f>
        <v>#VALUE!</v>
      </c>
      <c r="AO39" s="26" t="e">
        <f>bdrate($D39:$D42,H39:H42,$P39:$P42,T39:T42)</f>
        <v>#VALUE!</v>
      </c>
      <c r="AP39" s="21" t="e">
        <f>bdrate($D39:$D42,I39:I42,$P39:$P42,U39:U42)</f>
        <v>#VALUE!</v>
      </c>
      <c r="AQ39" s="36" t="e">
        <f>bdrate($D39:$D42,J39:J42,$P39:$P42,V39:V42)</f>
        <v>#VALUE!</v>
      </c>
      <c r="AR39" s="21"/>
      <c r="AS39" s="21"/>
      <c r="AT39" s="36"/>
      <c r="AU39" s="26"/>
      <c r="AV39" s="21"/>
      <c r="AW39" s="36"/>
      <c r="AX39" s="15" t="e">
        <f>V39/J39</f>
        <v>#DIV/0!</v>
      </c>
      <c r="AY39" s="15" t="e">
        <f t="shared" ref="AY39:AY42" si="48">X39/L39</f>
        <v>#DIV/0!</v>
      </c>
      <c r="AZ39" s="15" t="e">
        <f t="shared" si="10"/>
        <v>#DIV/0!</v>
      </c>
      <c r="BA39" s="15" t="e">
        <f>V39/J39</f>
        <v>#DIV/0!</v>
      </c>
      <c r="BB39" s="15" t="e">
        <f t="shared" si="46"/>
        <v>#DIV/0!</v>
      </c>
      <c r="BC39" s="15" t="e">
        <f t="shared" si="11"/>
        <v>#DIV/0!</v>
      </c>
    </row>
    <row r="40" spans="1:55" ht="15" x14ac:dyDescent="0.2">
      <c r="A40" s="13"/>
      <c r="B40" s="13"/>
      <c r="C40" s="43">
        <v>32</v>
      </c>
      <c r="D40" s="53">
        <v>5961.9</v>
      </c>
      <c r="E40" s="53">
        <v>36.382100000000001</v>
      </c>
      <c r="F40" s="53"/>
      <c r="G40" s="53"/>
      <c r="H40" s="53"/>
      <c r="I40" s="53"/>
      <c r="J40" s="53"/>
      <c r="K40" s="15">
        <v>0</v>
      </c>
      <c r="L40" s="15">
        <v>0</v>
      </c>
      <c r="M40" s="15">
        <v>0</v>
      </c>
      <c r="N40" s="16">
        <f t="shared" si="0"/>
        <v>0</v>
      </c>
      <c r="P40" s="54">
        <v>5957.34</v>
      </c>
      <c r="Q40" s="54">
        <v>36.375399999999999</v>
      </c>
      <c r="R40" s="54"/>
      <c r="S40" s="54"/>
      <c r="T40" s="54"/>
      <c r="U40" s="54"/>
      <c r="V40" s="54"/>
      <c r="W40" s="15">
        <v>0</v>
      </c>
      <c r="X40" s="15">
        <v>0</v>
      </c>
      <c r="Y40" s="15">
        <v>0</v>
      </c>
      <c r="Z40" s="16">
        <f t="shared" si="6"/>
        <v>0</v>
      </c>
      <c r="AA40" s="15" t="e">
        <f t="shared" si="1"/>
        <v>#DIV/0!</v>
      </c>
      <c r="AB40" s="15" t="e">
        <f t="shared" si="41"/>
        <v>#DIV/0!</v>
      </c>
      <c r="AC40" s="15" t="e">
        <f t="shared" si="41"/>
        <v>#DIV/0!</v>
      </c>
      <c r="AD40" s="16">
        <f t="shared" si="7"/>
        <v>7.6485684093988344E-4</v>
      </c>
      <c r="AE40" s="12"/>
      <c r="AF40" s="26"/>
      <c r="AG40" s="21"/>
      <c r="AH40" s="36"/>
      <c r="AI40" s="26"/>
      <c r="AJ40" s="21"/>
      <c r="AK40" s="21"/>
      <c r="AL40" s="26"/>
      <c r="AM40" s="21"/>
      <c r="AN40" s="36"/>
      <c r="AO40" s="21"/>
      <c r="AP40" s="21"/>
      <c r="AQ40" s="36"/>
      <c r="AR40" s="21"/>
      <c r="AS40" s="21"/>
      <c r="AT40" s="36"/>
      <c r="AU40" s="26"/>
      <c r="AV40" s="21"/>
      <c r="AW40" s="36"/>
      <c r="AX40" s="15" t="e">
        <f>V40/J40</f>
        <v>#DIV/0!</v>
      </c>
      <c r="AY40" s="15" t="e">
        <f t="shared" si="48"/>
        <v>#DIV/0!</v>
      </c>
      <c r="AZ40" s="15" t="e">
        <f t="shared" si="10"/>
        <v>#DIV/0!</v>
      </c>
      <c r="BA40" s="15" t="e">
        <f>V40/J40</f>
        <v>#DIV/0!</v>
      </c>
      <c r="BB40" s="15" t="e">
        <f t="shared" si="46"/>
        <v>#DIV/0!</v>
      </c>
      <c r="BC40" s="15" t="e">
        <f t="shared" si="11"/>
        <v>#DIV/0!</v>
      </c>
    </row>
    <row r="41" spans="1:55" ht="15" x14ac:dyDescent="0.2">
      <c r="A41" s="13"/>
      <c r="B41" s="13"/>
      <c r="C41" s="43">
        <v>37</v>
      </c>
      <c r="D41" s="53">
        <v>3237.78</v>
      </c>
      <c r="E41" s="53">
        <v>33.645299999999999</v>
      </c>
      <c r="F41" s="53"/>
      <c r="G41" s="53"/>
      <c r="H41" s="53"/>
      <c r="I41" s="53"/>
      <c r="J41" s="53"/>
      <c r="K41" s="15">
        <v>0</v>
      </c>
      <c r="L41" s="15">
        <v>0</v>
      </c>
      <c r="M41" s="15">
        <v>0</v>
      </c>
      <c r="N41" s="16">
        <f t="shared" si="0"/>
        <v>0</v>
      </c>
      <c r="P41" s="54">
        <v>3245.64</v>
      </c>
      <c r="Q41" s="54">
        <v>33.658200000000001</v>
      </c>
      <c r="R41" s="54"/>
      <c r="S41" s="54"/>
      <c r="T41" s="54"/>
      <c r="U41" s="54"/>
      <c r="V41" s="54"/>
      <c r="W41" s="15">
        <v>0</v>
      </c>
      <c r="X41" s="15">
        <v>0</v>
      </c>
      <c r="Y41" s="15">
        <v>0</v>
      </c>
      <c r="Z41" s="16">
        <f t="shared" si="6"/>
        <v>0</v>
      </c>
      <c r="AA41" s="15" t="e">
        <f t="shared" si="1"/>
        <v>#DIV/0!</v>
      </c>
      <c r="AB41" s="15" t="e">
        <f t="shared" si="41"/>
        <v>#DIV/0!</v>
      </c>
      <c r="AC41" s="15" t="e">
        <f t="shared" si="41"/>
        <v>#DIV/0!</v>
      </c>
      <c r="AD41" s="16">
        <f t="shared" si="7"/>
        <v>2.4275892741321744E-3</v>
      </c>
      <c r="AE41" s="12"/>
      <c r="AF41" s="26"/>
      <c r="AG41" s="21"/>
      <c r="AH41" s="36"/>
      <c r="AI41" s="26"/>
      <c r="AJ41" s="21"/>
      <c r="AK41" s="21"/>
      <c r="AL41" s="26"/>
      <c r="AM41" s="21"/>
      <c r="AN41" s="36"/>
      <c r="AO41" s="21"/>
      <c r="AP41" s="21"/>
      <c r="AQ41" s="36"/>
      <c r="AR41" s="21"/>
      <c r="AS41" s="21"/>
      <c r="AT41" s="36"/>
      <c r="AU41" s="26"/>
      <c r="AV41" s="21"/>
      <c r="AW41" s="36"/>
      <c r="AX41" s="15" t="e">
        <f>V41/J41</f>
        <v>#DIV/0!</v>
      </c>
      <c r="AY41" s="15" t="e">
        <f t="shared" si="48"/>
        <v>#DIV/0!</v>
      </c>
      <c r="AZ41" s="15" t="e">
        <f t="shared" si="10"/>
        <v>#DIV/0!</v>
      </c>
      <c r="BA41" s="15" t="e">
        <f>V41/J41</f>
        <v>#DIV/0!</v>
      </c>
      <c r="BB41" s="15" t="e">
        <f t="shared" si="46"/>
        <v>#DIV/0!</v>
      </c>
      <c r="BC41" s="15" t="e">
        <f t="shared" si="11"/>
        <v>#DIV/0!</v>
      </c>
    </row>
    <row r="42" spans="1:55" ht="15.75" thickBot="1" x14ac:dyDescent="0.25">
      <c r="A42" s="13"/>
      <c r="B42" s="17"/>
      <c r="C42" s="44">
        <v>42</v>
      </c>
      <c r="D42" s="53">
        <v>1667.04</v>
      </c>
      <c r="E42" s="53">
        <v>30.922999999999998</v>
      </c>
      <c r="F42" s="53"/>
      <c r="G42" s="53"/>
      <c r="H42" s="53"/>
      <c r="I42" s="53"/>
      <c r="J42" s="53"/>
      <c r="K42" s="19">
        <v>0</v>
      </c>
      <c r="L42" s="19">
        <v>0</v>
      </c>
      <c r="M42" s="19">
        <v>0</v>
      </c>
      <c r="N42" s="20">
        <f t="shared" si="0"/>
        <v>0</v>
      </c>
      <c r="P42" s="54">
        <v>1667.34</v>
      </c>
      <c r="Q42" s="54">
        <v>30.932200000000002</v>
      </c>
      <c r="R42" s="54"/>
      <c r="S42" s="54"/>
      <c r="T42" s="54"/>
      <c r="U42" s="54"/>
      <c r="V42" s="54"/>
      <c r="W42" s="19">
        <v>0</v>
      </c>
      <c r="X42" s="19">
        <v>0</v>
      </c>
      <c r="Y42" s="19">
        <v>0</v>
      </c>
      <c r="Z42" s="20">
        <f t="shared" si="6"/>
        <v>0</v>
      </c>
      <c r="AA42" s="15" t="e">
        <f t="shared" si="1"/>
        <v>#DIV/0!</v>
      </c>
      <c r="AB42" s="15" t="e">
        <f t="shared" si="41"/>
        <v>#DIV/0!</v>
      </c>
      <c r="AC42" s="15" t="e">
        <f t="shared" si="41"/>
        <v>#DIV/0!</v>
      </c>
      <c r="AD42" s="20">
        <f t="shared" si="7"/>
        <v>1.7995968902963008E-4</v>
      </c>
      <c r="AE42" s="12"/>
      <c r="AF42" s="27"/>
      <c r="AG42" s="37"/>
      <c r="AH42" s="38"/>
      <c r="AI42" s="27"/>
      <c r="AJ42" s="37"/>
      <c r="AK42" s="37"/>
      <c r="AL42" s="27"/>
      <c r="AM42" s="37"/>
      <c r="AN42" s="38"/>
      <c r="AO42" s="37"/>
      <c r="AP42" s="37"/>
      <c r="AQ42" s="38"/>
      <c r="AR42" s="37"/>
      <c r="AS42" s="37"/>
      <c r="AT42" s="38"/>
      <c r="AU42" s="27"/>
      <c r="AV42" s="37"/>
      <c r="AW42" s="38"/>
      <c r="AX42" s="15" t="e">
        <f>V42/J42</f>
        <v>#DIV/0!</v>
      </c>
      <c r="AY42" s="15" t="e">
        <f t="shared" si="48"/>
        <v>#DIV/0!</v>
      </c>
      <c r="AZ42" s="15" t="e">
        <f t="shared" si="10"/>
        <v>#DIV/0!</v>
      </c>
      <c r="BA42" s="15"/>
      <c r="BB42" s="15"/>
      <c r="BC42" s="15"/>
    </row>
    <row r="43" spans="1:55" ht="15" x14ac:dyDescent="0.2">
      <c r="A43" s="13"/>
      <c r="B43" s="8" t="s">
        <v>2</v>
      </c>
      <c r="C43" s="39">
        <v>22</v>
      </c>
      <c r="D43" s="53">
        <v>12716.7</v>
      </c>
      <c r="E43" s="53">
        <v>41.667099999999998</v>
      </c>
      <c r="F43" s="53"/>
      <c r="G43" s="53"/>
      <c r="H43" s="53"/>
      <c r="I43" s="53"/>
      <c r="J43" s="53"/>
      <c r="K43" s="10">
        <v>0</v>
      </c>
      <c r="L43" s="10">
        <v>0</v>
      </c>
      <c r="M43" s="10">
        <v>0</v>
      </c>
      <c r="N43" s="11">
        <f t="shared" si="0"/>
        <v>0</v>
      </c>
      <c r="P43" s="54">
        <v>12731.4</v>
      </c>
      <c r="Q43" s="54">
        <v>41.674599999999998</v>
      </c>
      <c r="R43" s="54"/>
      <c r="S43" s="54"/>
      <c r="T43" s="54"/>
      <c r="U43" s="54"/>
      <c r="V43" s="54"/>
      <c r="W43" s="10">
        <v>0</v>
      </c>
      <c r="X43" s="10">
        <v>0</v>
      </c>
      <c r="Y43" s="10">
        <v>0</v>
      </c>
      <c r="Z43" s="11">
        <f t="shared" si="6"/>
        <v>0</v>
      </c>
      <c r="AA43" s="15" t="e">
        <f t="shared" si="1"/>
        <v>#DIV/0!</v>
      </c>
      <c r="AB43" s="15" t="e">
        <f t="shared" si="41"/>
        <v>#DIV/0!</v>
      </c>
      <c r="AC43" s="15" t="e">
        <f t="shared" si="41"/>
        <v>#DIV/0!</v>
      </c>
      <c r="AD43" s="11">
        <f t="shared" si="7"/>
        <v>1.1559602727121744E-3</v>
      </c>
      <c r="AE43" s="12"/>
      <c r="AF43" s="25">
        <f t="shared" ref="AF43:AK43" si="49">bdRateExtend($D43:$D47,E43:E47,$P43:$P47,Q43:Q47)</f>
        <v>7.595826233055547E-4</v>
      </c>
      <c r="AG43" s="30" t="e">
        <f t="shared" si="49"/>
        <v>#VALUE!</v>
      </c>
      <c r="AH43" s="31" t="e">
        <f t="shared" si="49"/>
        <v>#VALUE!</v>
      </c>
      <c r="AI43" s="25" t="e">
        <f t="shared" si="49"/>
        <v>#VALUE!</v>
      </c>
      <c r="AJ43" s="30" t="e">
        <f t="shared" si="49"/>
        <v>#VALUE!</v>
      </c>
      <c r="AK43" s="30" t="e">
        <f t="shared" si="49"/>
        <v>#VALUE!</v>
      </c>
      <c r="AL43" s="26"/>
      <c r="AM43" s="21"/>
      <c r="AN43" s="36"/>
      <c r="AO43" s="21"/>
      <c r="AP43" s="21"/>
      <c r="AQ43" s="36"/>
      <c r="AR43" s="30">
        <f t="shared" ref="AR43:AW43" si="50">bdrate($D43:$D46,E43:E46,$P43:$P46,Q43:Q46)</f>
        <v>1.0227600874124221E-4</v>
      </c>
      <c r="AS43" s="30" t="e">
        <f t="shared" si="50"/>
        <v>#VALUE!</v>
      </c>
      <c r="AT43" s="31" t="e">
        <f t="shared" si="50"/>
        <v>#VALUE!</v>
      </c>
      <c r="AU43" s="25" t="e">
        <f t="shared" si="50"/>
        <v>#VALUE!</v>
      </c>
      <c r="AV43" s="30" t="e">
        <f t="shared" si="50"/>
        <v>#VALUE!</v>
      </c>
      <c r="AW43" s="31" t="e">
        <f t="shared" si="50"/>
        <v>#VALUE!</v>
      </c>
      <c r="AX43" s="15"/>
      <c r="AY43" s="15"/>
      <c r="AZ43" s="15"/>
      <c r="BA43" s="15" t="e">
        <f>V43/J43</f>
        <v>#DIV/0!</v>
      </c>
      <c r="BB43" s="15" t="e">
        <f t="shared" ref="BB43:BB46" si="51">X43/L43</f>
        <v>#DIV/0!</v>
      </c>
      <c r="BC43" s="15" t="e">
        <f t="shared" si="11"/>
        <v>#DIV/0!</v>
      </c>
    </row>
    <row r="44" spans="1:55" ht="15" x14ac:dyDescent="0.2">
      <c r="A44" s="13"/>
      <c r="B44" s="13"/>
      <c r="C44" s="43">
        <v>27</v>
      </c>
      <c r="D44" s="53">
        <v>5492.15</v>
      </c>
      <c r="E44" s="53">
        <v>38.930199999999999</v>
      </c>
      <c r="F44" s="53"/>
      <c r="G44" s="53"/>
      <c r="H44" s="53"/>
      <c r="I44" s="53"/>
      <c r="J44" s="53"/>
      <c r="K44" s="15">
        <v>0</v>
      </c>
      <c r="L44" s="15">
        <v>0</v>
      </c>
      <c r="M44" s="15">
        <v>0</v>
      </c>
      <c r="N44" s="16">
        <f t="shared" si="0"/>
        <v>0</v>
      </c>
      <c r="P44" s="54">
        <v>5494.2</v>
      </c>
      <c r="Q44" s="54">
        <v>38.931199999999997</v>
      </c>
      <c r="R44" s="54"/>
      <c r="S44" s="54"/>
      <c r="T44" s="54"/>
      <c r="U44" s="54"/>
      <c r="V44" s="54"/>
      <c r="W44" s="15">
        <v>0</v>
      </c>
      <c r="X44" s="15">
        <v>0</v>
      </c>
      <c r="Y44" s="15">
        <v>0</v>
      </c>
      <c r="Z44" s="16">
        <f t="shared" si="6"/>
        <v>0</v>
      </c>
      <c r="AA44" s="15" t="e">
        <f t="shared" si="1"/>
        <v>#DIV/0!</v>
      </c>
      <c r="AB44" s="15" t="e">
        <f t="shared" si="41"/>
        <v>#DIV/0!</v>
      </c>
      <c r="AC44" s="15" t="e">
        <f t="shared" si="41"/>
        <v>#DIV/0!</v>
      </c>
      <c r="AD44" s="16">
        <f t="shared" si="7"/>
        <v>3.732600165691363E-4</v>
      </c>
      <c r="AE44" s="12"/>
      <c r="AF44" s="26"/>
      <c r="AG44" s="21"/>
      <c r="AH44" s="36"/>
      <c r="AI44" s="26"/>
      <c r="AJ44" s="21"/>
      <c r="AK44" s="21"/>
      <c r="AL44" s="26">
        <f>bdrate($D44:$D47,E44:E47,$P44:$P47,Q44:Q47)</f>
        <v>1.0771902943165212E-3</v>
      </c>
      <c r="AM44" s="21" t="e">
        <f>bdrate($D44:$D47,F44:F47,$P44:$P47,R44:R47)</f>
        <v>#VALUE!</v>
      </c>
      <c r="AN44" s="36" t="e">
        <f t="shared" ref="AN44" si="52">bdrate($D44:$D47,G44:G47,$P44:$P47,S44:S47)</f>
        <v>#VALUE!</v>
      </c>
      <c r="AO44" s="26" t="e">
        <f>bdrate($D44:$D47,H44:H47,$P44:$P47,T44:T47)</f>
        <v>#VALUE!</v>
      </c>
      <c r="AP44" s="21" t="e">
        <f>bdrate($D44:$D47,I44:I47,$P44:$P47,U44:U47)</f>
        <v>#VALUE!</v>
      </c>
      <c r="AQ44" s="36" t="e">
        <f>bdrate($D44:$D47,J44:J47,$P44:$P47,V44:V47)</f>
        <v>#VALUE!</v>
      </c>
      <c r="AR44" s="21"/>
      <c r="AS44" s="21"/>
      <c r="AT44" s="36"/>
      <c r="AU44" s="26"/>
      <c r="AV44" s="21"/>
      <c r="AW44" s="36"/>
      <c r="AX44" s="15" t="e">
        <f>V44/J44</f>
        <v>#DIV/0!</v>
      </c>
      <c r="AY44" s="15" t="e">
        <f t="shared" ref="AY44:AY47" si="53">X44/L44</f>
        <v>#DIV/0!</v>
      </c>
      <c r="AZ44" s="15" t="e">
        <f t="shared" si="10"/>
        <v>#DIV/0!</v>
      </c>
      <c r="BA44" s="15" t="e">
        <f>V44/J44</f>
        <v>#DIV/0!</v>
      </c>
      <c r="BB44" s="15" t="e">
        <f t="shared" si="51"/>
        <v>#DIV/0!</v>
      </c>
      <c r="BC44" s="15" t="e">
        <f t="shared" si="11"/>
        <v>#DIV/0!</v>
      </c>
    </row>
    <row r="45" spans="1:55" ht="15" x14ac:dyDescent="0.2">
      <c r="A45" s="13"/>
      <c r="B45" s="13"/>
      <c r="C45" s="43">
        <v>32</v>
      </c>
      <c r="D45" s="53">
        <v>2958.35</v>
      </c>
      <c r="E45" s="53">
        <v>36.9499</v>
      </c>
      <c r="F45" s="53"/>
      <c r="G45" s="53"/>
      <c r="H45" s="53"/>
      <c r="I45" s="53"/>
      <c r="J45" s="53"/>
      <c r="K45" s="15">
        <v>0</v>
      </c>
      <c r="L45" s="15">
        <v>0</v>
      </c>
      <c r="M45" s="15">
        <v>0</v>
      </c>
      <c r="N45" s="16">
        <f t="shared" si="0"/>
        <v>0</v>
      </c>
      <c r="P45" s="54">
        <v>2963.15</v>
      </c>
      <c r="Q45" s="54">
        <v>36.959499999999998</v>
      </c>
      <c r="R45" s="54"/>
      <c r="S45" s="54"/>
      <c r="T45" s="54"/>
      <c r="U45" s="54"/>
      <c r="V45" s="54"/>
      <c r="W45" s="15">
        <v>0</v>
      </c>
      <c r="X45" s="15">
        <v>0</v>
      </c>
      <c r="Y45" s="15">
        <v>0</v>
      </c>
      <c r="Z45" s="16">
        <f t="shared" si="6"/>
        <v>0</v>
      </c>
      <c r="AA45" s="15" t="e">
        <f t="shared" si="1"/>
        <v>#DIV/0!</v>
      </c>
      <c r="AB45" s="15" t="e">
        <f t="shared" si="41"/>
        <v>#DIV/0!</v>
      </c>
      <c r="AC45" s="15" t="e">
        <f t="shared" si="41"/>
        <v>#DIV/0!</v>
      </c>
      <c r="AD45" s="16">
        <f t="shared" si="7"/>
        <v>1.6225260702757219E-3</v>
      </c>
      <c r="AE45" s="12"/>
      <c r="AF45" s="26"/>
      <c r="AG45" s="21"/>
      <c r="AH45" s="36"/>
      <c r="AI45" s="26"/>
      <c r="AJ45" s="21"/>
      <c r="AK45" s="21"/>
      <c r="AL45" s="26"/>
      <c r="AM45" s="21"/>
      <c r="AN45" s="36"/>
      <c r="AO45" s="21"/>
      <c r="AP45" s="21"/>
      <c r="AQ45" s="36"/>
      <c r="AR45" s="21"/>
      <c r="AS45" s="21"/>
      <c r="AT45" s="36"/>
      <c r="AU45" s="26"/>
      <c r="AV45" s="21"/>
      <c r="AW45" s="36"/>
      <c r="AX45" s="15" t="e">
        <f>V45/J45</f>
        <v>#DIV/0!</v>
      </c>
      <c r="AY45" s="15" t="e">
        <f t="shared" si="53"/>
        <v>#DIV/0!</v>
      </c>
      <c r="AZ45" s="15" t="e">
        <f t="shared" si="10"/>
        <v>#DIV/0!</v>
      </c>
      <c r="BA45" s="15" t="e">
        <f>V45/J45</f>
        <v>#DIV/0!</v>
      </c>
      <c r="BB45" s="15" t="e">
        <f t="shared" si="51"/>
        <v>#DIV/0!</v>
      </c>
      <c r="BC45" s="15" t="e">
        <f t="shared" si="11"/>
        <v>#DIV/0!</v>
      </c>
    </row>
    <row r="46" spans="1:55" ht="15" x14ac:dyDescent="0.2">
      <c r="A46" s="13"/>
      <c r="B46" s="13"/>
      <c r="C46" s="43">
        <v>37</v>
      </c>
      <c r="D46" s="53">
        <v>1595.75</v>
      </c>
      <c r="E46" s="53">
        <v>34.752899999999997</v>
      </c>
      <c r="F46" s="53"/>
      <c r="G46" s="53"/>
      <c r="H46" s="53"/>
      <c r="I46" s="53"/>
      <c r="J46" s="53"/>
      <c r="K46" s="15">
        <v>0</v>
      </c>
      <c r="L46" s="15">
        <v>0</v>
      </c>
      <c r="M46" s="15">
        <v>0</v>
      </c>
      <c r="N46" s="16">
        <f t="shared" si="0"/>
        <v>0</v>
      </c>
      <c r="P46" s="54">
        <v>1601.95</v>
      </c>
      <c r="Q46" s="54">
        <v>34.747500000000002</v>
      </c>
      <c r="R46" s="54"/>
      <c r="S46" s="54"/>
      <c r="T46" s="54"/>
      <c r="U46" s="54"/>
      <c r="V46" s="54"/>
      <c r="W46" s="15">
        <v>0</v>
      </c>
      <c r="X46" s="15">
        <v>0</v>
      </c>
      <c r="Y46" s="15">
        <v>0</v>
      </c>
      <c r="Z46" s="16">
        <f t="shared" si="6"/>
        <v>0</v>
      </c>
      <c r="AA46" s="15" t="e">
        <f t="shared" si="1"/>
        <v>#DIV/0!</v>
      </c>
      <c r="AB46" s="15" t="e">
        <f t="shared" si="41"/>
        <v>#DIV/0!</v>
      </c>
      <c r="AC46" s="15" t="e">
        <f t="shared" si="41"/>
        <v>#DIV/0!</v>
      </c>
      <c r="AD46" s="16">
        <f t="shared" si="7"/>
        <v>3.885320382265421E-3</v>
      </c>
      <c r="AE46" s="12"/>
      <c r="AF46" s="26"/>
      <c r="AG46" s="21"/>
      <c r="AH46" s="36"/>
      <c r="AI46" s="26"/>
      <c r="AJ46" s="21"/>
      <c r="AK46" s="21"/>
      <c r="AL46" s="26"/>
      <c r="AM46" s="21"/>
      <c r="AN46" s="36"/>
      <c r="AO46" s="21"/>
      <c r="AP46" s="21"/>
      <c r="AQ46" s="36"/>
      <c r="AR46" s="21"/>
      <c r="AS46" s="21"/>
      <c r="AT46" s="36"/>
      <c r="AU46" s="26"/>
      <c r="AV46" s="21"/>
      <c r="AW46" s="36"/>
      <c r="AX46" s="15" t="e">
        <f>V46/J46</f>
        <v>#DIV/0!</v>
      </c>
      <c r="AY46" s="15" t="e">
        <f t="shared" si="53"/>
        <v>#DIV/0!</v>
      </c>
      <c r="AZ46" s="15" t="e">
        <f t="shared" si="10"/>
        <v>#DIV/0!</v>
      </c>
      <c r="BA46" s="15" t="e">
        <f>V46/J46</f>
        <v>#DIV/0!</v>
      </c>
      <c r="BB46" s="15" t="e">
        <f t="shared" si="51"/>
        <v>#DIV/0!</v>
      </c>
      <c r="BC46" s="15" t="e">
        <f t="shared" si="11"/>
        <v>#DIV/0!</v>
      </c>
    </row>
    <row r="47" spans="1:55" ht="15.75" thickBot="1" x14ac:dyDescent="0.25">
      <c r="A47" s="13"/>
      <c r="B47" s="17"/>
      <c r="C47" s="44">
        <v>42</v>
      </c>
      <c r="D47" s="53">
        <v>846.8</v>
      </c>
      <c r="E47" s="53">
        <v>32.457500000000003</v>
      </c>
      <c r="F47" s="53"/>
      <c r="G47" s="53"/>
      <c r="H47" s="53"/>
      <c r="I47" s="53"/>
      <c r="J47" s="53"/>
      <c r="K47" s="19">
        <v>0</v>
      </c>
      <c r="L47" s="19">
        <v>0</v>
      </c>
      <c r="M47" s="19">
        <v>0</v>
      </c>
      <c r="N47" s="20">
        <f t="shared" si="0"/>
        <v>0</v>
      </c>
      <c r="P47" s="54">
        <v>842.45</v>
      </c>
      <c r="Q47" s="54">
        <v>32.456499999999998</v>
      </c>
      <c r="R47" s="54"/>
      <c r="S47" s="54"/>
      <c r="T47" s="54"/>
      <c r="U47" s="54"/>
      <c r="V47" s="54"/>
      <c r="W47" s="19">
        <v>0</v>
      </c>
      <c r="X47" s="19">
        <v>0</v>
      </c>
      <c r="Y47" s="19">
        <v>0</v>
      </c>
      <c r="Z47" s="20">
        <f t="shared" si="6"/>
        <v>0</v>
      </c>
      <c r="AA47" s="15" t="e">
        <f t="shared" si="1"/>
        <v>#DIV/0!</v>
      </c>
      <c r="AB47" s="15" t="e">
        <f t="shared" si="41"/>
        <v>#DIV/0!</v>
      </c>
      <c r="AC47" s="15" t="e">
        <f t="shared" si="41"/>
        <v>#DIV/0!</v>
      </c>
      <c r="AD47" s="20">
        <f t="shared" si="7"/>
        <v>5.136986301369756E-3</v>
      </c>
      <c r="AE47" s="12"/>
      <c r="AF47" s="27"/>
      <c r="AG47" s="37"/>
      <c r="AH47" s="38"/>
      <c r="AI47" s="27"/>
      <c r="AJ47" s="37"/>
      <c r="AK47" s="37"/>
      <c r="AL47" s="26"/>
      <c r="AM47" s="21"/>
      <c r="AN47" s="36"/>
      <c r="AO47" s="21"/>
      <c r="AP47" s="21"/>
      <c r="AQ47" s="36"/>
      <c r="AR47" s="37"/>
      <c r="AS47" s="37"/>
      <c r="AT47" s="38"/>
      <c r="AU47" s="27"/>
      <c r="AV47" s="37"/>
      <c r="AW47" s="38"/>
      <c r="AX47" s="15" t="e">
        <f>V47/J47</f>
        <v>#DIV/0!</v>
      </c>
      <c r="AY47" s="15" t="e">
        <f t="shared" si="53"/>
        <v>#DIV/0!</v>
      </c>
      <c r="AZ47" s="15" t="e">
        <f t="shared" si="10"/>
        <v>#DIV/0!</v>
      </c>
      <c r="BA47" s="15"/>
      <c r="BB47" s="15"/>
      <c r="BC47" s="15"/>
    </row>
    <row r="48" spans="1:55" ht="15" x14ac:dyDescent="0.2">
      <c r="A48" s="13"/>
      <c r="B48" s="8" t="s">
        <v>47</v>
      </c>
      <c r="C48" s="39">
        <v>22</v>
      </c>
      <c r="D48" s="53">
        <v>9012.06</v>
      </c>
      <c r="E48" s="53">
        <v>43.5899</v>
      </c>
      <c r="F48" s="53"/>
      <c r="G48" s="53"/>
      <c r="H48" s="53"/>
      <c r="I48" s="53"/>
      <c r="J48" s="53"/>
      <c r="K48" s="10">
        <v>0</v>
      </c>
      <c r="L48" s="10">
        <v>0</v>
      </c>
      <c r="M48" s="10">
        <v>0</v>
      </c>
      <c r="N48" s="11">
        <f t="shared" si="0"/>
        <v>0</v>
      </c>
      <c r="P48" s="54">
        <v>8985.7800000000007</v>
      </c>
      <c r="Q48" s="54">
        <v>43.579300000000003</v>
      </c>
      <c r="R48" s="54"/>
      <c r="S48" s="54"/>
      <c r="T48" s="54"/>
      <c r="U48" s="54"/>
      <c r="V48" s="54"/>
      <c r="W48" s="10">
        <v>0</v>
      </c>
      <c r="X48" s="10">
        <v>0</v>
      </c>
      <c r="Y48" s="10">
        <v>0</v>
      </c>
      <c r="Z48" s="11">
        <f t="shared" si="6"/>
        <v>0</v>
      </c>
      <c r="AA48" s="15" t="e">
        <f t="shared" si="1"/>
        <v>#DIV/0!</v>
      </c>
      <c r="AB48" s="15" t="e">
        <f t="shared" si="41"/>
        <v>#DIV/0!</v>
      </c>
      <c r="AC48" s="15" t="e">
        <f t="shared" si="41"/>
        <v>#DIV/0!</v>
      </c>
      <c r="AD48" s="11">
        <f t="shared" si="7"/>
        <v>2.9160924361354493E-3</v>
      </c>
      <c r="AE48" s="12"/>
      <c r="AF48" s="25">
        <f t="shared" ref="AF48:AK48" si="54">bdRateExtend($D48:$D52,E48:E52,$P48:$P52,Q48:Q52)</f>
        <v>1.4003593643874268E-3</v>
      </c>
      <c r="AG48" s="30" t="e">
        <f t="shared" si="54"/>
        <v>#VALUE!</v>
      </c>
      <c r="AH48" s="31" t="e">
        <f t="shared" si="54"/>
        <v>#VALUE!</v>
      </c>
      <c r="AI48" s="25" t="e">
        <f t="shared" si="54"/>
        <v>#VALUE!</v>
      </c>
      <c r="AJ48" s="30" t="e">
        <f t="shared" si="54"/>
        <v>#VALUE!</v>
      </c>
      <c r="AK48" s="30" t="e">
        <f t="shared" si="54"/>
        <v>#VALUE!</v>
      </c>
      <c r="AL48" s="45"/>
      <c r="AM48" s="46"/>
      <c r="AN48" s="47"/>
      <c r="AO48" s="46"/>
      <c r="AP48" s="46"/>
      <c r="AQ48" s="47"/>
      <c r="AR48" s="30">
        <f t="shared" ref="AR48:AW48" si="55">bdrate($D48:$D51,E48:E51,$P48:$P51,Q48:Q51)</f>
        <v>1.799618961320526E-3</v>
      </c>
      <c r="AS48" s="30" t="e">
        <f t="shared" si="55"/>
        <v>#VALUE!</v>
      </c>
      <c r="AT48" s="31" t="e">
        <f t="shared" si="55"/>
        <v>#VALUE!</v>
      </c>
      <c r="AU48" s="25" t="e">
        <f t="shared" si="55"/>
        <v>#VALUE!</v>
      </c>
      <c r="AV48" s="30" t="e">
        <f t="shared" si="55"/>
        <v>#VALUE!</v>
      </c>
      <c r="AW48" s="31" t="e">
        <f t="shared" si="55"/>
        <v>#VALUE!</v>
      </c>
      <c r="AX48" s="15"/>
      <c r="AY48" s="15"/>
      <c r="AZ48" s="15"/>
      <c r="BA48" s="15" t="e">
        <f>V48/J48</f>
        <v>#DIV/0!</v>
      </c>
      <c r="BB48" s="15" t="e">
        <f t="shared" ref="BB48:BB51" si="56">X48/L48</f>
        <v>#DIV/0!</v>
      </c>
      <c r="BC48" s="15" t="e">
        <f t="shared" si="11"/>
        <v>#DIV/0!</v>
      </c>
    </row>
    <row r="49" spans="1:55" ht="15" x14ac:dyDescent="0.2">
      <c r="A49" s="13"/>
      <c r="B49" s="13"/>
      <c r="C49" s="43">
        <v>27</v>
      </c>
      <c r="D49" s="53">
        <v>4520.6400000000003</v>
      </c>
      <c r="E49" s="53">
        <v>41.374899999999997</v>
      </c>
      <c r="F49" s="53"/>
      <c r="G49" s="53"/>
      <c r="H49" s="53"/>
      <c r="I49" s="53"/>
      <c r="J49" s="53"/>
      <c r="K49" s="15">
        <v>0</v>
      </c>
      <c r="L49" s="15">
        <v>0</v>
      </c>
      <c r="M49" s="15">
        <v>0</v>
      </c>
      <c r="N49" s="16">
        <f t="shared" si="0"/>
        <v>0</v>
      </c>
      <c r="P49" s="54">
        <v>4532.46</v>
      </c>
      <c r="Q49" s="54">
        <v>41.375700000000002</v>
      </c>
      <c r="R49" s="54"/>
      <c r="S49" s="54"/>
      <c r="T49" s="54"/>
      <c r="U49" s="54"/>
      <c r="V49" s="54"/>
      <c r="W49" s="15">
        <v>0</v>
      </c>
      <c r="X49" s="15">
        <v>0</v>
      </c>
      <c r="Y49" s="15">
        <v>0</v>
      </c>
      <c r="Z49" s="16">
        <f t="shared" si="6"/>
        <v>0</v>
      </c>
      <c r="AA49" s="15" t="e">
        <f t="shared" si="1"/>
        <v>#DIV/0!</v>
      </c>
      <c r="AB49" s="15" t="e">
        <f t="shared" si="41"/>
        <v>#DIV/0!</v>
      </c>
      <c r="AC49" s="15" t="e">
        <f t="shared" si="41"/>
        <v>#DIV/0!</v>
      </c>
      <c r="AD49" s="16">
        <f t="shared" si="7"/>
        <v>2.6146740284560834E-3</v>
      </c>
      <c r="AE49" s="12"/>
      <c r="AF49" s="26"/>
      <c r="AG49" s="21"/>
      <c r="AH49" s="36"/>
      <c r="AI49" s="26"/>
      <c r="AJ49" s="21"/>
      <c r="AK49" s="21"/>
      <c r="AL49" s="26">
        <f>bdrate($D49:$D52,E49:E52,$P49:$P52,Q49:Q52)</f>
        <v>1.3522830344665504E-3</v>
      </c>
      <c r="AM49" s="21" t="e">
        <f>bdrate($D49:$D52,F49:F52,$P49:$P52,R49:R52)</f>
        <v>#VALUE!</v>
      </c>
      <c r="AN49" s="36" t="e">
        <f t="shared" ref="AN49" si="57">bdrate($D49:$D52,G49:G52,$P49:$P52,S49:S52)</f>
        <v>#VALUE!</v>
      </c>
      <c r="AO49" s="26" t="e">
        <f>bdrate($D49:$D52,H49:H52,$P49:$P52,T49:T52)</f>
        <v>#VALUE!</v>
      </c>
      <c r="AP49" s="21" t="e">
        <f>bdrate($D49:$D52,I49:I52,$P49:$P52,U49:U52)</f>
        <v>#VALUE!</v>
      </c>
      <c r="AQ49" s="36" t="e">
        <f>bdrate($D49:$D52,J49:J52,$P49:$P52,V49:V52)</f>
        <v>#VALUE!</v>
      </c>
      <c r="AR49" s="21"/>
      <c r="AS49" s="21"/>
      <c r="AT49" s="36"/>
      <c r="AU49" s="26"/>
      <c r="AV49" s="21"/>
      <c r="AW49" s="36"/>
      <c r="AX49" s="15" t="e">
        <f>V49/J49</f>
        <v>#DIV/0!</v>
      </c>
      <c r="AY49" s="15" t="e">
        <f t="shared" ref="AY49:AY52" si="58">X49/L49</f>
        <v>#DIV/0!</v>
      </c>
      <c r="AZ49" s="15" t="e">
        <f t="shared" si="10"/>
        <v>#DIV/0!</v>
      </c>
      <c r="BA49" s="15" t="e">
        <f>V49/J49</f>
        <v>#DIV/0!</v>
      </c>
      <c r="BB49" s="15" t="e">
        <f t="shared" si="56"/>
        <v>#DIV/0!</v>
      </c>
      <c r="BC49" s="15" t="e">
        <f t="shared" si="11"/>
        <v>#DIV/0!</v>
      </c>
    </row>
    <row r="50" spans="1:55" ht="15" x14ac:dyDescent="0.2">
      <c r="A50" s="13"/>
      <c r="B50" s="13"/>
      <c r="C50" s="43">
        <v>32</v>
      </c>
      <c r="D50" s="53">
        <v>2368.62</v>
      </c>
      <c r="E50" s="53">
        <v>39.305500000000002</v>
      </c>
      <c r="F50" s="53"/>
      <c r="G50" s="53"/>
      <c r="H50" s="53"/>
      <c r="I50" s="53"/>
      <c r="J50" s="53"/>
      <c r="K50" s="15">
        <v>0</v>
      </c>
      <c r="L50" s="15">
        <v>0</v>
      </c>
      <c r="M50" s="15">
        <v>0</v>
      </c>
      <c r="N50" s="16">
        <f t="shared" si="0"/>
        <v>0</v>
      </c>
      <c r="P50" s="54">
        <v>2373.96</v>
      </c>
      <c r="Q50" s="54">
        <v>39.305300000000003</v>
      </c>
      <c r="R50" s="54"/>
      <c r="S50" s="54"/>
      <c r="T50" s="54"/>
      <c r="U50" s="54"/>
      <c r="V50" s="54"/>
      <c r="W50" s="15">
        <v>0</v>
      </c>
      <c r="X50" s="15">
        <v>0</v>
      </c>
      <c r="Y50" s="15">
        <v>0</v>
      </c>
      <c r="Z50" s="16">
        <f t="shared" si="6"/>
        <v>0</v>
      </c>
      <c r="AA50" s="15" t="e">
        <f t="shared" si="1"/>
        <v>#DIV/0!</v>
      </c>
      <c r="AB50" s="15" t="e">
        <f t="shared" si="41"/>
        <v>#DIV/0!</v>
      </c>
      <c r="AC50" s="15" t="e">
        <f t="shared" si="41"/>
        <v>#DIV/0!</v>
      </c>
      <c r="AD50" s="16">
        <f t="shared" si="7"/>
        <v>2.2544772905743198E-3</v>
      </c>
      <c r="AE50" s="12"/>
      <c r="AF50" s="26"/>
      <c r="AG50" s="21"/>
      <c r="AH50" s="36"/>
      <c r="AI50" s="26"/>
      <c r="AJ50" s="21"/>
      <c r="AK50" s="21"/>
      <c r="AL50" s="26"/>
      <c r="AM50" s="21"/>
      <c r="AN50" s="36"/>
      <c r="AO50" s="21"/>
      <c r="AP50" s="21"/>
      <c r="AQ50" s="36"/>
      <c r="AR50" s="21"/>
      <c r="AS50" s="21"/>
      <c r="AT50" s="36"/>
      <c r="AU50" s="26"/>
      <c r="AV50" s="21"/>
      <c r="AW50" s="36"/>
      <c r="AX50" s="15" t="e">
        <f>V50/J50</f>
        <v>#DIV/0!</v>
      </c>
      <c r="AY50" s="15" t="e">
        <f t="shared" si="58"/>
        <v>#DIV/0!</v>
      </c>
      <c r="AZ50" s="15" t="e">
        <f t="shared" si="10"/>
        <v>#DIV/0!</v>
      </c>
      <c r="BA50" s="15" t="e">
        <f>V50/J50</f>
        <v>#DIV/0!</v>
      </c>
      <c r="BB50" s="15" t="e">
        <f t="shared" si="56"/>
        <v>#DIV/0!</v>
      </c>
      <c r="BC50" s="15" t="e">
        <f t="shared" si="11"/>
        <v>#DIV/0!</v>
      </c>
    </row>
    <row r="51" spans="1:55" ht="15" x14ac:dyDescent="0.2">
      <c r="A51" s="13"/>
      <c r="B51" s="13"/>
      <c r="C51" s="43">
        <v>37</v>
      </c>
      <c r="D51" s="53">
        <v>1228.6199999999999</v>
      </c>
      <c r="E51" s="53">
        <v>37.0869</v>
      </c>
      <c r="F51" s="53"/>
      <c r="G51" s="53"/>
      <c r="H51" s="53"/>
      <c r="I51" s="53"/>
      <c r="J51" s="53"/>
      <c r="K51" s="15">
        <v>0</v>
      </c>
      <c r="L51" s="15">
        <v>0</v>
      </c>
      <c r="M51" s="15">
        <v>0</v>
      </c>
      <c r="N51" s="16">
        <f t="shared" si="0"/>
        <v>0</v>
      </c>
      <c r="P51" s="54">
        <v>1227.42</v>
      </c>
      <c r="Q51" s="54">
        <v>37.083100000000002</v>
      </c>
      <c r="R51" s="54"/>
      <c r="S51" s="54"/>
      <c r="T51" s="54"/>
      <c r="U51" s="54"/>
      <c r="V51" s="54"/>
      <c r="W51" s="15">
        <v>0</v>
      </c>
      <c r="X51" s="15">
        <v>0</v>
      </c>
      <c r="Y51" s="15">
        <v>0</v>
      </c>
      <c r="Z51" s="16">
        <f t="shared" si="6"/>
        <v>0</v>
      </c>
      <c r="AA51" s="15" t="e">
        <f t="shared" si="1"/>
        <v>#DIV/0!</v>
      </c>
      <c r="AB51" s="15" t="e">
        <f t="shared" si="41"/>
        <v>#DIV/0!</v>
      </c>
      <c r="AC51" s="15" t="e">
        <f t="shared" si="41"/>
        <v>#DIV/0!</v>
      </c>
      <c r="AD51" s="16">
        <f t="shared" si="7"/>
        <v>9.7670557210514084E-4</v>
      </c>
      <c r="AE51" s="12"/>
      <c r="AF51" s="26"/>
      <c r="AG51" s="21"/>
      <c r="AH51" s="36"/>
      <c r="AI51" s="26"/>
      <c r="AJ51" s="21"/>
      <c r="AK51" s="21"/>
      <c r="AL51" s="26"/>
      <c r="AM51" s="21"/>
      <c r="AN51" s="36"/>
      <c r="AO51" s="21"/>
      <c r="AP51" s="21"/>
      <c r="AQ51" s="36"/>
      <c r="AR51" s="21"/>
      <c r="AS51" s="21"/>
      <c r="AT51" s="36"/>
      <c r="AU51" s="26"/>
      <c r="AV51" s="21"/>
      <c r="AW51" s="36"/>
      <c r="AX51" s="15" t="e">
        <f>V51/J51</f>
        <v>#DIV/0!</v>
      </c>
      <c r="AY51" s="15" t="e">
        <f t="shared" si="58"/>
        <v>#DIV/0!</v>
      </c>
      <c r="AZ51" s="15" t="e">
        <f t="shared" si="10"/>
        <v>#DIV/0!</v>
      </c>
      <c r="BA51" s="15" t="e">
        <f>V51/J51</f>
        <v>#DIV/0!</v>
      </c>
      <c r="BB51" s="15" t="e">
        <f t="shared" si="56"/>
        <v>#DIV/0!</v>
      </c>
      <c r="BC51" s="15" t="e">
        <f t="shared" si="11"/>
        <v>#DIV/0!</v>
      </c>
    </row>
    <row r="52" spans="1:55" ht="15.75" thickBot="1" x14ac:dyDescent="0.25">
      <c r="A52" s="13"/>
      <c r="B52" s="17"/>
      <c r="C52" s="44">
        <v>42</v>
      </c>
      <c r="D52" s="53">
        <v>597.72</v>
      </c>
      <c r="E52" s="53">
        <v>34.785899999999998</v>
      </c>
      <c r="F52" s="53"/>
      <c r="G52" s="53"/>
      <c r="H52" s="53"/>
      <c r="I52" s="53"/>
      <c r="J52" s="53"/>
      <c r="K52" s="19">
        <v>0</v>
      </c>
      <c r="L52" s="19">
        <v>0</v>
      </c>
      <c r="M52" s="19">
        <v>0</v>
      </c>
      <c r="N52" s="20">
        <f t="shared" si="0"/>
        <v>0</v>
      </c>
      <c r="P52" s="54">
        <v>596.88</v>
      </c>
      <c r="Q52" s="54">
        <v>34.777299999999997</v>
      </c>
      <c r="R52" s="54"/>
      <c r="S52" s="54"/>
      <c r="T52" s="54"/>
      <c r="U52" s="54"/>
      <c r="V52" s="54"/>
      <c r="W52" s="19">
        <v>0</v>
      </c>
      <c r="X52" s="19">
        <v>0</v>
      </c>
      <c r="Y52" s="19">
        <v>0</v>
      </c>
      <c r="Z52" s="20">
        <f t="shared" si="6"/>
        <v>0</v>
      </c>
      <c r="AA52" s="15" t="e">
        <f t="shared" si="1"/>
        <v>#DIV/0!</v>
      </c>
      <c r="AB52" s="15" t="e">
        <f t="shared" si="41"/>
        <v>#DIV/0!</v>
      </c>
      <c r="AC52" s="15" t="e">
        <f t="shared" si="41"/>
        <v>#DIV/0!</v>
      </c>
      <c r="AD52" s="20">
        <f t="shared" si="7"/>
        <v>1.4053402931138857E-3</v>
      </c>
      <c r="AE52" s="12"/>
      <c r="AF52" s="27"/>
      <c r="AG52" s="37"/>
      <c r="AH52" s="38"/>
      <c r="AI52" s="27"/>
      <c r="AJ52" s="37"/>
      <c r="AK52" s="37"/>
      <c r="AL52" s="27"/>
      <c r="AM52" s="37"/>
      <c r="AN52" s="38"/>
      <c r="AO52" s="37"/>
      <c r="AP52" s="37"/>
      <c r="AQ52" s="38"/>
      <c r="AR52" s="37"/>
      <c r="AS52" s="37"/>
      <c r="AT52" s="38"/>
      <c r="AU52" s="27"/>
      <c r="AV52" s="37"/>
      <c r="AW52" s="38"/>
      <c r="AX52" s="15" t="e">
        <f>V52/J52</f>
        <v>#DIV/0!</v>
      </c>
      <c r="AY52" s="15" t="e">
        <f t="shared" si="58"/>
        <v>#DIV/0!</v>
      </c>
      <c r="AZ52" s="15" t="e">
        <f t="shared" si="10"/>
        <v>#DIV/0!</v>
      </c>
      <c r="BA52" s="15"/>
      <c r="BB52" s="15"/>
      <c r="BC52" s="15"/>
    </row>
    <row r="53" spans="1:55" ht="15" x14ac:dyDescent="0.2">
      <c r="A53" s="13"/>
      <c r="B53" s="8" t="s">
        <v>46</v>
      </c>
      <c r="C53" s="39">
        <v>22</v>
      </c>
      <c r="D53" s="53">
        <v>2980.32</v>
      </c>
      <c r="E53" s="53">
        <v>49.249400000000001</v>
      </c>
      <c r="F53" s="53"/>
      <c r="G53" s="53"/>
      <c r="H53" s="53"/>
      <c r="I53" s="53"/>
      <c r="J53" s="53"/>
      <c r="K53" s="10">
        <v>0</v>
      </c>
      <c r="L53" s="10">
        <v>0</v>
      </c>
      <c r="M53" s="10">
        <v>0</v>
      </c>
      <c r="N53" s="11">
        <f t="shared" si="0"/>
        <v>0</v>
      </c>
      <c r="P53" s="54">
        <v>2975.94</v>
      </c>
      <c r="Q53" s="54">
        <v>49.259599999999999</v>
      </c>
      <c r="R53" s="54"/>
      <c r="S53" s="54"/>
      <c r="T53" s="54"/>
      <c r="U53" s="54"/>
      <c r="V53" s="54"/>
      <c r="W53" s="10">
        <v>0</v>
      </c>
      <c r="X53" s="10">
        <v>0</v>
      </c>
      <c r="Y53" s="10">
        <v>0</v>
      </c>
      <c r="Z53" s="11">
        <f t="shared" si="6"/>
        <v>0</v>
      </c>
      <c r="AA53" s="15" t="e">
        <f t="shared" si="1"/>
        <v>#DIV/0!</v>
      </c>
      <c r="AB53" s="15" t="e">
        <f t="shared" si="41"/>
        <v>#DIV/0!</v>
      </c>
      <c r="AC53" s="15" t="e">
        <f t="shared" si="41"/>
        <v>#DIV/0!</v>
      </c>
      <c r="AD53" s="11">
        <f t="shared" si="7"/>
        <v>1.4696408439362583E-3</v>
      </c>
      <c r="AE53" s="12"/>
      <c r="AF53" s="25">
        <f t="shared" ref="AF53:AK53" si="59">bdRateExtend($D53:$D57,E53:E57,$P53:$P57,Q53:Q57)</f>
        <v>3.5213790444597048E-3</v>
      </c>
      <c r="AG53" s="30" t="e">
        <f t="shared" si="59"/>
        <v>#VALUE!</v>
      </c>
      <c r="AH53" s="31" t="e">
        <f t="shared" si="59"/>
        <v>#VALUE!</v>
      </c>
      <c r="AI53" s="25" t="e">
        <f t="shared" si="59"/>
        <v>#VALUE!</v>
      </c>
      <c r="AJ53" s="30" t="e">
        <f t="shared" si="59"/>
        <v>#VALUE!</v>
      </c>
      <c r="AK53" s="30" t="e">
        <f t="shared" si="59"/>
        <v>#VALUE!</v>
      </c>
      <c r="AL53" s="26"/>
      <c r="AM53" s="21"/>
      <c r="AN53" s="36"/>
      <c r="AO53" s="21"/>
      <c r="AP53" s="21"/>
      <c r="AQ53" s="36"/>
      <c r="AR53" s="30">
        <f t="shared" ref="AR53:AW53" si="60">bdrate($D53:$D56,E53:E56,$P53:$P56,Q53:Q56)</f>
        <v>2.5178686960718455E-3</v>
      </c>
      <c r="AS53" s="30" t="e">
        <f t="shared" si="60"/>
        <v>#VALUE!</v>
      </c>
      <c r="AT53" s="31" t="e">
        <f t="shared" si="60"/>
        <v>#VALUE!</v>
      </c>
      <c r="AU53" s="25" t="e">
        <f t="shared" si="60"/>
        <v>#VALUE!</v>
      </c>
      <c r="AV53" s="30" t="e">
        <f t="shared" si="60"/>
        <v>#VALUE!</v>
      </c>
      <c r="AW53" s="31" t="e">
        <f t="shared" si="60"/>
        <v>#VALUE!</v>
      </c>
      <c r="AX53" s="15"/>
      <c r="AY53" s="15"/>
      <c r="AZ53" s="15"/>
      <c r="BA53" s="15" t="e">
        <f>V53/J53</f>
        <v>#DIV/0!</v>
      </c>
      <c r="BB53" s="15" t="e">
        <f t="shared" ref="BB53:BB56" si="61">X53/L53</f>
        <v>#DIV/0!</v>
      </c>
      <c r="BC53" s="15" t="e">
        <f t="shared" si="11"/>
        <v>#DIV/0!</v>
      </c>
    </row>
    <row r="54" spans="1:55" ht="15" x14ac:dyDescent="0.2">
      <c r="A54" s="13"/>
      <c r="B54" s="13"/>
      <c r="C54" s="43">
        <v>27</v>
      </c>
      <c r="D54" s="53">
        <v>1763.34</v>
      </c>
      <c r="E54" s="53">
        <v>46.882399999999997</v>
      </c>
      <c r="F54" s="53"/>
      <c r="G54" s="53"/>
      <c r="H54" s="53"/>
      <c r="I54" s="53"/>
      <c r="J54" s="53"/>
      <c r="K54" s="15">
        <v>0</v>
      </c>
      <c r="L54" s="15">
        <v>0</v>
      </c>
      <c r="M54" s="15">
        <v>0</v>
      </c>
      <c r="N54" s="16">
        <f t="shared" si="0"/>
        <v>0</v>
      </c>
      <c r="P54" s="54">
        <v>1761.84</v>
      </c>
      <c r="Q54" s="54">
        <v>46.864600000000003</v>
      </c>
      <c r="R54" s="54"/>
      <c r="S54" s="54"/>
      <c r="T54" s="54"/>
      <c r="U54" s="54"/>
      <c r="V54" s="54"/>
      <c r="W54" s="15">
        <v>0</v>
      </c>
      <c r="X54" s="15">
        <v>0</v>
      </c>
      <c r="Y54" s="15">
        <v>0</v>
      </c>
      <c r="Z54" s="16">
        <f t="shared" si="6"/>
        <v>0</v>
      </c>
      <c r="AA54" s="15" t="e">
        <f t="shared" si="1"/>
        <v>#DIV/0!</v>
      </c>
      <c r="AB54" s="15" t="e">
        <f t="shared" si="41"/>
        <v>#DIV/0!</v>
      </c>
      <c r="AC54" s="15" t="e">
        <f t="shared" si="41"/>
        <v>#DIV/0!</v>
      </c>
      <c r="AD54" s="16">
        <f t="shared" si="7"/>
        <v>8.5065840960903746E-4</v>
      </c>
      <c r="AE54" s="12"/>
      <c r="AF54" s="26"/>
      <c r="AG54" s="21"/>
      <c r="AH54" s="36"/>
      <c r="AI54" s="26"/>
      <c r="AJ54" s="21"/>
      <c r="AK54" s="21"/>
      <c r="AL54" s="26">
        <f>bdrate($D54:$D57,E54:E57,$P54:$P57,Q54:Q57)</f>
        <v>4.3896010424624432E-3</v>
      </c>
      <c r="AM54" s="21" t="e">
        <f>bdrate($D54:$D57,F54:F57,$P54:$P57,R54:R57)</f>
        <v>#VALUE!</v>
      </c>
      <c r="AN54" s="36" t="e">
        <f t="shared" ref="AN54" si="62">bdrate($D54:$D57,G54:G57,$P54:$P57,S54:S57)</f>
        <v>#VALUE!</v>
      </c>
      <c r="AO54" s="26" t="e">
        <f>bdrate($D54:$D57,H54:H57,$P54:$P57,T54:T57)</f>
        <v>#VALUE!</v>
      </c>
      <c r="AP54" s="21" t="e">
        <f>bdrate($D54:$D57,I54:I57,$P54:$P57,U54:U57)</f>
        <v>#VALUE!</v>
      </c>
      <c r="AQ54" s="36" t="e">
        <f>bdrate($D54:$D57,J54:J57,$P54:$P57,V54:V57)</f>
        <v>#VALUE!</v>
      </c>
      <c r="AR54" s="21"/>
      <c r="AS54" s="21"/>
      <c r="AT54" s="36"/>
      <c r="AU54" s="26"/>
      <c r="AV54" s="21"/>
      <c r="AW54" s="36"/>
      <c r="AX54" s="15" t="e">
        <f>V54/J54</f>
        <v>#DIV/0!</v>
      </c>
      <c r="AY54" s="15" t="e">
        <f t="shared" ref="AY54:AY57" si="63">X54/L54</f>
        <v>#DIV/0!</v>
      </c>
      <c r="AZ54" s="15" t="e">
        <f t="shared" si="10"/>
        <v>#DIV/0!</v>
      </c>
      <c r="BA54" s="15" t="e">
        <f>V54/J54</f>
        <v>#DIV/0!</v>
      </c>
      <c r="BB54" s="15" t="e">
        <f t="shared" si="61"/>
        <v>#DIV/0!</v>
      </c>
      <c r="BC54" s="15" t="e">
        <f t="shared" si="11"/>
        <v>#DIV/0!</v>
      </c>
    </row>
    <row r="55" spans="1:55" ht="15" x14ac:dyDescent="0.2">
      <c r="A55" s="13"/>
      <c r="B55" s="13"/>
      <c r="C55" s="43">
        <v>32</v>
      </c>
      <c r="D55" s="53">
        <v>1026.6600000000001</v>
      </c>
      <c r="E55" s="53">
        <v>44.223300000000002</v>
      </c>
      <c r="F55" s="53"/>
      <c r="G55" s="53"/>
      <c r="H55" s="53"/>
      <c r="I55" s="53"/>
      <c r="J55" s="53"/>
      <c r="K55" s="15">
        <v>0</v>
      </c>
      <c r="L55" s="15">
        <v>0</v>
      </c>
      <c r="M55" s="15">
        <v>0</v>
      </c>
      <c r="N55" s="16">
        <f t="shared" si="0"/>
        <v>0</v>
      </c>
      <c r="P55" s="54">
        <v>1030.6199999999999</v>
      </c>
      <c r="Q55" s="54">
        <v>44.227699999999999</v>
      </c>
      <c r="R55" s="54"/>
      <c r="S55" s="54"/>
      <c r="T55" s="54"/>
      <c r="U55" s="54"/>
      <c r="V55" s="54"/>
      <c r="W55" s="15">
        <v>0</v>
      </c>
      <c r="X55" s="15">
        <v>0</v>
      </c>
      <c r="Y55" s="15">
        <v>0</v>
      </c>
      <c r="Z55" s="16">
        <f t="shared" si="6"/>
        <v>0</v>
      </c>
      <c r="AA55" s="15" t="e">
        <f t="shared" si="1"/>
        <v>#DIV/0!</v>
      </c>
      <c r="AB55" s="15" t="e">
        <f t="shared" si="41"/>
        <v>#DIV/0!</v>
      </c>
      <c r="AC55" s="15" t="e">
        <f t="shared" si="41"/>
        <v>#DIV/0!</v>
      </c>
      <c r="AD55" s="16">
        <f t="shared" si="7"/>
        <v>3.8571679036875002E-3</v>
      </c>
      <c r="AE55" s="12"/>
      <c r="AF55" s="26"/>
      <c r="AG55" s="21"/>
      <c r="AH55" s="36"/>
      <c r="AI55" s="26"/>
      <c r="AJ55" s="21"/>
      <c r="AK55" s="21"/>
      <c r="AL55" s="26"/>
      <c r="AM55" s="21"/>
      <c r="AN55" s="36"/>
      <c r="AO55" s="21"/>
      <c r="AP55" s="21"/>
      <c r="AQ55" s="36"/>
      <c r="AR55" s="21"/>
      <c r="AS55" s="21"/>
      <c r="AT55" s="36"/>
      <c r="AU55" s="26"/>
      <c r="AV55" s="21"/>
      <c r="AW55" s="36"/>
      <c r="AX55" s="15" t="e">
        <f>V55/J55</f>
        <v>#DIV/0!</v>
      </c>
      <c r="AY55" s="15" t="e">
        <f t="shared" si="63"/>
        <v>#DIV/0!</v>
      </c>
      <c r="AZ55" s="15" t="e">
        <f t="shared" si="10"/>
        <v>#DIV/0!</v>
      </c>
      <c r="BA55" s="15" t="e">
        <f>V55/J55</f>
        <v>#DIV/0!</v>
      </c>
      <c r="BB55" s="15" t="e">
        <f t="shared" si="61"/>
        <v>#DIV/0!</v>
      </c>
      <c r="BC55" s="15" t="e">
        <f t="shared" si="11"/>
        <v>#DIV/0!</v>
      </c>
    </row>
    <row r="56" spans="1:55" ht="15" x14ac:dyDescent="0.2">
      <c r="A56" s="13"/>
      <c r="B56" s="13"/>
      <c r="C56" s="43">
        <v>37</v>
      </c>
      <c r="D56" s="53">
        <v>598.32000000000005</v>
      </c>
      <c r="E56" s="53">
        <v>41.500900000000001</v>
      </c>
      <c r="F56" s="53"/>
      <c r="G56" s="53"/>
      <c r="H56" s="53"/>
      <c r="I56" s="53"/>
      <c r="J56" s="53"/>
      <c r="K56" s="15">
        <v>0</v>
      </c>
      <c r="L56" s="15">
        <v>0</v>
      </c>
      <c r="M56" s="15">
        <v>0</v>
      </c>
      <c r="N56" s="16">
        <f t="shared" si="0"/>
        <v>0</v>
      </c>
      <c r="P56" s="54">
        <v>597.17999999999995</v>
      </c>
      <c r="Q56" s="54">
        <v>41.463099999999997</v>
      </c>
      <c r="R56" s="54"/>
      <c r="S56" s="54"/>
      <c r="T56" s="54"/>
      <c r="U56" s="54"/>
      <c r="V56" s="54"/>
      <c r="W56" s="15">
        <v>0</v>
      </c>
      <c r="X56" s="15">
        <v>0</v>
      </c>
      <c r="Y56" s="15">
        <v>0</v>
      </c>
      <c r="Z56" s="16">
        <f t="shared" si="6"/>
        <v>0</v>
      </c>
      <c r="AA56" s="15" t="e">
        <f t="shared" si="1"/>
        <v>#DIV/0!</v>
      </c>
      <c r="AB56" s="15" t="e">
        <f t="shared" si="41"/>
        <v>#DIV/0!</v>
      </c>
      <c r="AC56" s="15" t="e">
        <f t="shared" si="41"/>
        <v>#DIV/0!</v>
      </c>
      <c r="AD56" s="16">
        <f t="shared" si="7"/>
        <v>1.9053349378260797E-3</v>
      </c>
      <c r="AE56" s="12"/>
      <c r="AF56" s="26"/>
      <c r="AG56" s="21"/>
      <c r="AH56" s="36"/>
      <c r="AI56" s="26"/>
      <c r="AJ56" s="21"/>
      <c r="AK56" s="21"/>
      <c r="AL56" s="26"/>
      <c r="AM56" s="21"/>
      <c r="AN56" s="36"/>
      <c r="AO56" s="21"/>
      <c r="AP56" s="21"/>
      <c r="AQ56" s="36"/>
      <c r="AR56" s="21"/>
      <c r="AS56" s="21"/>
      <c r="AT56" s="36"/>
      <c r="AU56" s="26"/>
      <c r="AV56" s="21"/>
      <c r="AW56" s="36"/>
      <c r="AX56" s="15" t="e">
        <f>V56/J56</f>
        <v>#DIV/0!</v>
      </c>
      <c r="AY56" s="15" t="e">
        <f t="shared" si="63"/>
        <v>#DIV/0!</v>
      </c>
      <c r="AZ56" s="15" t="e">
        <f t="shared" si="10"/>
        <v>#DIV/0!</v>
      </c>
      <c r="BA56" s="15" t="e">
        <f>V56/J56</f>
        <v>#DIV/0!</v>
      </c>
      <c r="BB56" s="15" t="e">
        <f t="shared" si="61"/>
        <v>#DIV/0!</v>
      </c>
      <c r="BC56" s="15" t="e">
        <f t="shared" si="11"/>
        <v>#DIV/0!</v>
      </c>
    </row>
    <row r="57" spans="1:55" ht="15.75" thickBot="1" x14ac:dyDescent="0.25">
      <c r="A57" s="17"/>
      <c r="B57" s="17"/>
      <c r="C57" s="44">
        <v>42</v>
      </c>
      <c r="D57" s="53">
        <v>343.44</v>
      </c>
      <c r="E57" s="53">
        <v>38.8127</v>
      </c>
      <c r="F57" s="53"/>
      <c r="G57" s="53"/>
      <c r="H57" s="53"/>
      <c r="I57" s="53"/>
      <c r="J57" s="53"/>
      <c r="K57" s="19">
        <v>0</v>
      </c>
      <c r="L57" s="19">
        <v>0</v>
      </c>
      <c r="M57" s="19">
        <v>0</v>
      </c>
      <c r="N57" s="20">
        <f t="shared" si="0"/>
        <v>0</v>
      </c>
      <c r="P57" s="54">
        <v>345.42</v>
      </c>
      <c r="Q57" s="54">
        <v>38.8108</v>
      </c>
      <c r="R57" s="54"/>
      <c r="S57" s="54"/>
      <c r="T57" s="54"/>
      <c r="U57" s="54"/>
      <c r="V57" s="54"/>
      <c r="W57" s="19">
        <v>0</v>
      </c>
      <c r="X57" s="19">
        <v>0</v>
      </c>
      <c r="Y57" s="19">
        <v>0</v>
      </c>
      <c r="Z57" s="20">
        <f t="shared" si="6"/>
        <v>0</v>
      </c>
      <c r="AA57" s="15" t="e">
        <f t="shared" si="1"/>
        <v>#DIV/0!</v>
      </c>
      <c r="AB57" s="15" t="e">
        <f t="shared" si="41"/>
        <v>#DIV/0!</v>
      </c>
      <c r="AC57" s="15" t="e">
        <f t="shared" si="41"/>
        <v>#DIV/0!</v>
      </c>
      <c r="AD57" s="20">
        <f t="shared" si="7"/>
        <v>5.7651991614256293E-3</v>
      </c>
      <c r="AE57" s="12"/>
      <c r="AF57" s="27"/>
      <c r="AG57" s="37"/>
      <c r="AH57" s="38"/>
      <c r="AI57" s="27"/>
      <c r="AJ57" s="37"/>
      <c r="AK57" s="37"/>
      <c r="AL57" s="26"/>
      <c r="AM57" s="21"/>
      <c r="AN57" s="36"/>
      <c r="AO57" s="21"/>
      <c r="AP57" s="21"/>
      <c r="AQ57" s="36"/>
      <c r="AR57" s="37"/>
      <c r="AS57" s="37"/>
      <c r="AT57" s="38"/>
      <c r="AU57" s="27"/>
      <c r="AV57" s="37"/>
      <c r="AW57" s="38"/>
      <c r="AX57" s="15" t="e">
        <f>V57/J57</f>
        <v>#DIV/0!</v>
      </c>
      <c r="AY57" s="15" t="e">
        <f t="shared" si="63"/>
        <v>#DIV/0!</v>
      </c>
      <c r="AZ57" s="15" t="e">
        <f t="shared" si="10"/>
        <v>#DIV/0!</v>
      </c>
      <c r="BA57" s="15"/>
      <c r="BB57" s="15"/>
      <c r="BC57" s="15"/>
    </row>
    <row r="58" spans="1:55" ht="15" x14ac:dyDescent="0.2">
      <c r="A58" s="48" t="s">
        <v>5</v>
      </c>
      <c r="B58" s="8" t="s">
        <v>26</v>
      </c>
      <c r="C58" s="39">
        <v>22</v>
      </c>
      <c r="D58" s="53">
        <v>2215.75</v>
      </c>
      <c r="E58" s="53">
        <v>43.569899999999997</v>
      </c>
      <c r="F58" s="53"/>
      <c r="G58" s="53"/>
      <c r="H58" s="53"/>
      <c r="I58" s="53"/>
      <c r="J58" s="53"/>
      <c r="K58" s="10">
        <v>0</v>
      </c>
      <c r="L58" s="10">
        <v>0</v>
      </c>
      <c r="M58" s="10">
        <v>0</v>
      </c>
      <c r="N58" s="11">
        <f t="shared" si="0"/>
        <v>0</v>
      </c>
      <c r="P58" s="54">
        <v>2214.5500000000002</v>
      </c>
      <c r="Q58" s="54">
        <v>43.567799999999998</v>
      </c>
      <c r="R58" s="54"/>
      <c r="S58" s="54"/>
      <c r="T58" s="54"/>
      <c r="U58" s="54"/>
      <c r="V58" s="54"/>
      <c r="W58" s="10">
        <v>0</v>
      </c>
      <c r="X58" s="10">
        <v>0</v>
      </c>
      <c r="Y58" s="10">
        <v>0</v>
      </c>
      <c r="Z58" s="11">
        <f t="shared" si="6"/>
        <v>0</v>
      </c>
      <c r="AA58" s="10" t="e">
        <f t="shared" si="1"/>
        <v>#DIV/0!</v>
      </c>
      <c r="AB58" s="10" t="e">
        <f>X58/L58</f>
        <v>#DIV/0!</v>
      </c>
      <c r="AC58" s="10" t="e">
        <f>Y58/M58</f>
        <v>#DIV/0!</v>
      </c>
      <c r="AD58" s="11">
        <f t="shared" si="7"/>
        <v>5.4157734401435998E-4</v>
      </c>
      <c r="AE58" s="40"/>
      <c r="AF58" s="25">
        <f t="shared" ref="AF58:AK58" si="64">bdRateExtend($D58:$D62,E58:E62,$P58:$P62,Q58:Q62)</f>
        <v>2.6024000223052735E-3</v>
      </c>
      <c r="AG58" s="30" t="e">
        <f t="shared" si="64"/>
        <v>#VALUE!</v>
      </c>
      <c r="AH58" s="31" t="e">
        <f t="shared" si="64"/>
        <v>#VALUE!</v>
      </c>
      <c r="AI58" s="25" t="e">
        <f t="shared" si="64"/>
        <v>#VALUE!</v>
      </c>
      <c r="AJ58" s="30" t="e">
        <f t="shared" si="64"/>
        <v>#VALUE!</v>
      </c>
      <c r="AK58" s="30" t="e">
        <f t="shared" si="64"/>
        <v>#VALUE!</v>
      </c>
      <c r="AL58" s="45"/>
      <c r="AM58" s="46"/>
      <c r="AN58" s="47"/>
      <c r="AO58" s="46"/>
      <c r="AP58" s="46"/>
      <c r="AQ58" s="47"/>
      <c r="AR58" s="30">
        <f t="shared" ref="AR58:AW58" si="65">bdrate($D58:$D61,E58:E61,$P58:$P61,Q58:Q61)</f>
        <v>1.2478806940332543E-3</v>
      </c>
      <c r="AS58" s="30" t="e">
        <f t="shared" si="65"/>
        <v>#VALUE!</v>
      </c>
      <c r="AT58" s="31" t="e">
        <f t="shared" si="65"/>
        <v>#VALUE!</v>
      </c>
      <c r="AU58" s="25" t="e">
        <f t="shared" si="65"/>
        <v>#VALUE!</v>
      </c>
      <c r="AV58" s="30" t="e">
        <f t="shared" si="65"/>
        <v>#VALUE!</v>
      </c>
      <c r="AW58" s="31" t="e">
        <f t="shared" si="65"/>
        <v>#VALUE!</v>
      </c>
      <c r="AX58" s="10"/>
      <c r="AY58" s="10"/>
      <c r="AZ58" s="10"/>
      <c r="BA58" s="10" t="e">
        <f>V58/J58</f>
        <v>#DIV/0!</v>
      </c>
      <c r="BB58" s="10" t="e">
        <f t="shared" ref="BB58:BB61" si="66">X58/L58</f>
        <v>#DIV/0!</v>
      </c>
      <c r="BC58" s="10" t="e">
        <f t="shared" si="11"/>
        <v>#DIV/0!</v>
      </c>
    </row>
    <row r="59" spans="1:55" ht="15" x14ac:dyDescent="0.2">
      <c r="A59" s="13" t="s">
        <v>21</v>
      </c>
      <c r="B59" s="13"/>
      <c r="C59" s="43">
        <v>27</v>
      </c>
      <c r="D59" s="53">
        <v>1171.8</v>
      </c>
      <c r="E59" s="53">
        <v>40.436999999999998</v>
      </c>
      <c r="F59" s="53"/>
      <c r="G59" s="53"/>
      <c r="H59" s="53"/>
      <c r="I59" s="53"/>
      <c r="J59" s="53"/>
      <c r="K59" s="15">
        <v>0</v>
      </c>
      <c r="L59" s="15">
        <v>0</v>
      </c>
      <c r="M59" s="15">
        <v>0</v>
      </c>
      <c r="N59" s="16">
        <f t="shared" si="0"/>
        <v>0</v>
      </c>
      <c r="P59" s="54">
        <v>1173.25</v>
      </c>
      <c r="Q59" s="54">
        <v>40.442700000000002</v>
      </c>
      <c r="R59" s="54"/>
      <c r="S59" s="54"/>
      <c r="T59" s="54"/>
      <c r="U59" s="54"/>
      <c r="V59" s="54"/>
      <c r="W59" s="15">
        <v>0</v>
      </c>
      <c r="X59" s="15">
        <v>0</v>
      </c>
      <c r="Y59" s="15">
        <v>0</v>
      </c>
      <c r="Z59" s="16">
        <f t="shared" si="6"/>
        <v>0</v>
      </c>
      <c r="AA59" s="15" t="e">
        <f t="shared" si="1"/>
        <v>#DIV/0!</v>
      </c>
      <c r="AB59" s="15" t="e">
        <f t="shared" ref="AB59:AC77" si="67">X59/L59</f>
        <v>#DIV/0!</v>
      </c>
      <c r="AC59" s="15" t="e">
        <f t="shared" si="67"/>
        <v>#DIV/0!</v>
      </c>
      <c r="AD59" s="16">
        <f t="shared" si="7"/>
        <v>1.2374125277351473E-3</v>
      </c>
      <c r="AE59" s="12"/>
      <c r="AF59" s="26"/>
      <c r="AG59" s="21"/>
      <c r="AH59" s="36"/>
      <c r="AI59" s="26"/>
      <c r="AJ59" s="21"/>
      <c r="AK59" s="21"/>
      <c r="AL59" s="26">
        <f>bdrate($D59:$D62,E59:E62,$P59:$P62,Q59:Q62)</f>
        <v>3.9884812022816796E-3</v>
      </c>
      <c r="AM59" s="21" t="e">
        <f>bdrate($D59:$D62,F59:F62,$P59:$P62,R59:R62)</f>
        <v>#VALUE!</v>
      </c>
      <c r="AN59" s="36" t="e">
        <f t="shared" ref="AN59" si="68">bdrate($D59:$D62,G59:G62,$P59:$P62,S59:S62)</f>
        <v>#VALUE!</v>
      </c>
      <c r="AO59" s="26" t="e">
        <f>bdrate($D59:$D62,H59:H62,$P59:$P62,T59:T62)</f>
        <v>#VALUE!</v>
      </c>
      <c r="AP59" s="21" t="e">
        <f>bdrate($D59:$D62,I59:I62,$P59:$P62,U59:U62)</f>
        <v>#VALUE!</v>
      </c>
      <c r="AQ59" s="36" t="e">
        <f>bdrate($D59:$D62,J59:J62,$P59:$P62,V59:V62)</f>
        <v>#VALUE!</v>
      </c>
      <c r="AR59" s="21"/>
      <c r="AS59" s="21"/>
      <c r="AT59" s="36"/>
      <c r="AU59" s="26"/>
      <c r="AV59" s="21"/>
      <c r="AW59" s="36"/>
      <c r="AX59" s="15" t="e">
        <f>V59/J59</f>
        <v>#DIV/0!</v>
      </c>
      <c r="AY59" s="15" t="e">
        <f t="shared" ref="AY59:AY62" si="69">X59/L59</f>
        <v>#DIV/0!</v>
      </c>
      <c r="AZ59" s="15" t="e">
        <f t="shared" si="10"/>
        <v>#DIV/0!</v>
      </c>
      <c r="BA59" s="15" t="e">
        <f>V59/J59</f>
        <v>#DIV/0!</v>
      </c>
      <c r="BB59" s="15" t="e">
        <f t="shared" si="66"/>
        <v>#DIV/0!</v>
      </c>
      <c r="BC59" s="15" t="e">
        <f t="shared" si="11"/>
        <v>#DIV/0!</v>
      </c>
    </row>
    <row r="60" spans="1:55" ht="15" x14ac:dyDescent="0.2">
      <c r="A60" s="13"/>
      <c r="B60" s="13"/>
      <c r="C60" s="43">
        <v>32</v>
      </c>
      <c r="D60" s="53">
        <v>621.70000000000005</v>
      </c>
      <c r="E60" s="53">
        <v>37.616700000000002</v>
      </c>
      <c r="F60" s="53"/>
      <c r="G60" s="53"/>
      <c r="H60" s="53"/>
      <c r="I60" s="53"/>
      <c r="J60" s="53"/>
      <c r="K60" s="15">
        <v>0</v>
      </c>
      <c r="L60" s="15">
        <v>0</v>
      </c>
      <c r="M60" s="15">
        <v>0</v>
      </c>
      <c r="N60" s="16">
        <f t="shared" si="0"/>
        <v>0</v>
      </c>
      <c r="P60" s="54">
        <v>623.45000000000005</v>
      </c>
      <c r="Q60" s="54">
        <v>37.613100000000003</v>
      </c>
      <c r="R60" s="54"/>
      <c r="S60" s="54"/>
      <c r="T60" s="54"/>
      <c r="U60" s="54"/>
      <c r="V60" s="54"/>
      <c r="W60" s="15">
        <v>0</v>
      </c>
      <c r="X60" s="15">
        <v>0</v>
      </c>
      <c r="Y60" s="15">
        <v>0</v>
      </c>
      <c r="Z60" s="16">
        <f t="shared" si="6"/>
        <v>0</v>
      </c>
      <c r="AA60" s="15" t="e">
        <f t="shared" si="1"/>
        <v>#DIV/0!</v>
      </c>
      <c r="AB60" s="15" t="e">
        <f t="shared" si="67"/>
        <v>#DIV/0!</v>
      </c>
      <c r="AC60" s="15" t="e">
        <f t="shared" si="67"/>
        <v>#DIV/0!</v>
      </c>
      <c r="AD60" s="16">
        <f t="shared" si="7"/>
        <v>2.8148624738619913E-3</v>
      </c>
      <c r="AE60" s="12"/>
      <c r="AF60" s="26"/>
      <c r="AG60" s="21"/>
      <c r="AH60" s="36"/>
      <c r="AI60" s="26"/>
      <c r="AJ60" s="21"/>
      <c r="AK60" s="21"/>
      <c r="AL60" s="26"/>
      <c r="AM60" s="21"/>
      <c r="AN60" s="36"/>
      <c r="AO60" s="21"/>
      <c r="AP60" s="21"/>
      <c r="AQ60" s="36"/>
      <c r="AR60" s="21"/>
      <c r="AS60" s="21"/>
      <c r="AT60" s="36"/>
      <c r="AU60" s="26"/>
      <c r="AV60" s="21"/>
      <c r="AW60" s="36"/>
      <c r="AX60" s="15" t="e">
        <f>V60/J60</f>
        <v>#DIV/0!</v>
      </c>
      <c r="AY60" s="15" t="e">
        <f t="shared" si="69"/>
        <v>#DIV/0!</v>
      </c>
      <c r="AZ60" s="15" t="e">
        <f t="shared" si="10"/>
        <v>#DIV/0!</v>
      </c>
      <c r="BA60" s="15" t="e">
        <f>V60/J60</f>
        <v>#DIV/0!</v>
      </c>
      <c r="BB60" s="15" t="e">
        <f t="shared" si="66"/>
        <v>#DIV/0!</v>
      </c>
      <c r="BC60" s="15" t="e">
        <f t="shared" si="11"/>
        <v>#DIV/0!</v>
      </c>
    </row>
    <row r="61" spans="1:55" ht="15" x14ac:dyDescent="0.2">
      <c r="A61" s="13"/>
      <c r="B61" s="13"/>
      <c r="C61" s="43">
        <v>37</v>
      </c>
      <c r="D61" s="53">
        <v>340.6</v>
      </c>
      <c r="E61" s="53">
        <v>35.140900000000002</v>
      </c>
      <c r="F61" s="53"/>
      <c r="G61" s="53"/>
      <c r="H61" s="53"/>
      <c r="I61" s="53"/>
      <c r="J61" s="53"/>
      <c r="K61" s="15">
        <v>0</v>
      </c>
      <c r="L61" s="15">
        <v>0</v>
      </c>
      <c r="M61" s="15">
        <v>0</v>
      </c>
      <c r="N61" s="16">
        <f t="shared" si="0"/>
        <v>0</v>
      </c>
      <c r="P61" s="54">
        <v>343.35</v>
      </c>
      <c r="Q61" s="54">
        <v>35.171900000000001</v>
      </c>
      <c r="R61" s="54"/>
      <c r="S61" s="54"/>
      <c r="T61" s="54"/>
      <c r="U61" s="54"/>
      <c r="V61" s="54"/>
      <c r="W61" s="15">
        <v>0</v>
      </c>
      <c r="X61" s="15">
        <v>0</v>
      </c>
      <c r="Y61" s="15">
        <v>0</v>
      </c>
      <c r="Z61" s="16">
        <f t="shared" si="6"/>
        <v>0</v>
      </c>
      <c r="AA61" s="15" t="e">
        <f t="shared" si="1"/>
        <v>#DIV/0!</v>
      </c>
      <c r="AB61" s="15" t="e">
        <f t="shared" si="67"/>
        <v>#DIV/0!</v>
      </c>
      <c r="AC61" s="15" t="e">
        <f t="shared" si="67"/>
        <v>#DIV/0!</v>
      </c>
      <c r="AD61" s="16">
        <f t="shared" si="7"/>
        <v>8.073987081620668E-3</v>
      </c>
      <c r="AE61" s="12"/>
      <c r="AF61" s="26"/>
      <c r="AG61" s="21"/>
      <c r="AH61" s="36"/>
      <c r="AI61" s="26"/>
      <c r="AJ61" s="21"/>
      <c r="AK61" s="21"/>
      <c r="AL61" s="26"/>
      <c r="AM61" s="21"/>
      <c r="AN61" s="36"/>
      <c r="AO61" s="21"/>
      <c r="AP61" s="21"/>
      <c r="AQ61" s="36"/>
      <c r="AR61" s="21"/>
      <c r="AS61" s="21"/>
      <c r="AT61" s="36"/>
      <c r="AU61" s="26"/>
      <c r="AV61" s="21"/>
      <c r="AW61" s="36"/>
      <c r="AX61" s="15" t="e">
        <f>V61/J61</f>
        <v>#DIV/0!</v>
      </c>
      <c r="AY61" s="15" t="e">
        <f t="shared" si="69"/>
        <v>#DIV/0!</v>
      </c>
      <c r="AZ61" s="15" t="e">
        <f t="shared" si="10"/>
        <v>#DIV/0!</v>
      </c>
      <c r="BA61" s="15" t="e">
        <f>V61/J61</f>
        <v>#DIV/0!</v>
      </c>
      <c r="BB61" s="15" t="e">
        <f t="shared" si="66"/>
        <v>#DIV/0!</v>
      </c>
      <c r="BC61" s="15" t="e">
        <f t="shared" si="11"/>
        <v>#DIV/0!</v>
      </c>
    </row>
    <row r="62" spans="1:55" ht="15.75" thickBot="1" x14ac:dyDescent="0.25">
      <c r="A62" s="13"/>
      <c r="B62" s="17"/>
      <c r="C62" s="44">
        <v>42</v>
      </c>
      <c r="D62" s="53">
        <v>192.3</v>
      </c>
      <c r="E62" s="53">
        <v>32.677599999999998</v>
      </c>
      <c r="F62" s="53"/>
      <c r="G62" s="53"/>
      <c r="H62" s="53"/>
      <c r="I62" s="53"/>
      <c r="J62" s="53"/>
      <c r="K62" s="19">
        <v>0</v>
      </c>
      <c r="L62" s="19">
        <v>0</v>
      </c>
      <c r="M62" s="19">
        <v>0</v>
      </c>
      <c r="N62" s="20">
        <f t="shared" si="0"/>
        <v>0</v>
      </c>
      <c r="P62" s="54">
        <v>192.65</v>
      </c>
      <c r="Q62" s="54">
        <v>32.596499999999999</v>
      </c>
      <c r="R62" s="54"/>
      <c r="S62" s="54"/>
      <c r="T62" s="54"/>
      <c r="U62" s="54"/>
      <c r="V62" s="54"/>
      <c r="W62" s="19">
        <v>0</v>
      </c>
      <c r="X62" s="19">
        <v>0</v>
      </c>
      <c r="Y62" s="19">
        <v>0</v>
      </c>
      <c r="Z62" s="20">
        <f t="shared" si="6"/>
        <v>0</v>
      </c>
      <c r="AA62" s="15" t="e">
        <f t="shared" si="1"/>
        <v>#DIV/0!</v>
      </c>
      <c r="AB62" s="15" t="e">
        <f t="shared" si="67"/>
        <v>#DIV/0!</v>
      </c>
      <c r="AC62" s="15" t="e">
        <f t="shared" si="67"/>
        <v>#DIV/0!</v>
      </c>
      <c r="AD62" s="20">
        <f t="shared" si="7"/>
        <v>1.8200728029120869E-3</v>
      </c>
      <c r="AE62" s="12"/>
      <c r="AF62" s="27"/>
      <c r="AG62" s="37"/>
      <c r="AH62" s="38"/>
      <c r="AI62" s="27"/>
      <c r="AJ62" s="37"/>
      <c r="AK62" s="37"/>
      <c r="AL62" s="27"/>
      <c r="AM62" s="37"/>
      <c r="AN62" s="38"/>
      <c r="AO62" s="37"/>
      <c r="AP62" s="37"/>
      <c r="AQ62" s="38"/>
      <c r="AR62" s="37"/>
      <c r="AS62" s="37"/>
      <c r="AT62" s="38"/>
      <c r="AU62" s="27"/>
      <c r="AV62" s="37"/>
      <c r="AW62" s="38"/>
      <c r="AX62" s="15" t="e">
        <f>V62/J62</f>
        <v>#DIV/0!</v>
      </c>
      <c r="AY62" s="15" t="e">
        <f t="shared" si="69"/>
        <v>#DIV/0!</v>
      </c>
      <c r="AZ62" s="15" t="e">
        <f t="shared" si="10"/>
        <v>#DIV/0!</v>
      </c>
      <c r="BA62" s="15"/>
      <c r="BB62" s="15"/>
      <c r="BC62" s="15"/>
    </row>
    <row r="63" spans="1:55" ht="15" x14ac:dyDescent="0.2">
      <c r="A63" s="13"/>
      <c r="B63" s="8" t="s">
        <v>17</v>
      </c>
      <c r="C63" s="39">
        <v>22</v>
      </c>
      <c r="D63" s="53">
        <v>3334.08</v>
      </c>
      <c r="E63" s="53">
        <v>43.060299999999998</v>
      </c>
      <c r="F63" s="53"/>
      <c r="G63" s="53"/>
      <c r="H63" s="53"/>
      <c r="I63" s="53"/>
      <c r="J63" s="53"/>
      <c r="K63" s="10">
        <v>0</v>
      </c>
      <c r="L63" s="10">
        <v>0</v>
      </c>
      <c r="M63" s="10">
        <v>0</v>
      </c>
      <c r="N63" s="11">
        <f t="shared" si="0"/>
        <v>0</v>
      </c>
      <c r="P63" s="54">
        <v>3329.94</v>
      </c>
      <c r="Q63" s="54">
        <v>43.061599999999999</v>
      </c>
      <c r="R63" s="54"/>
      <c r="S63" s="54"/>
      <c r="T63" s="54"/>
      <c r="U63" s="54"/>
      <c r="V63" s="54"/>
      <c r="W63" s="10">
        <v>0</v>
      </c>
      <c r="X63" s="10">
        <v>0</v>
      </c>
      <c r="Y63" s="10">
        <v>0</v>
      </c>
      <c r="Z63" s="11">
        <f t="shared" si="6"/>
        <v>0</v>
      </c>
      <c r="AA63" s="15" t="e">
        <f t="shared" si="1"/>
        <v>#DIV/0!</v>
      </c>
      <c r="AB63" s="15" t="e">
        <f t="shared" si="67"/>
        <v>#DIV/0!</v>
      </c>
      <c r="AC63" s="15" t="e">
        <f t="shared" si="67"/>
        <v>#DIV/0!</v>
      </c>
      <c r="AD63" s="11">
        <f t="shared" si="7"/>
        <v>1.2417218543045977E-3</v>
      </c>
      <c r="AE63" s="12"/>
      <c r="AF63" s="25">
        <f t="shared" ref="AF63:AK63" si="70">bdRateExtend($D63:$D67,E63:E67,$P63:$P67,Q63:Q67)</f>
        <v>-1.7671284187259495E-4</v>
      </c>
      <c r="AG63" s="30" t="e">
        <f t="shared" si="70"/>
        <v>#VALUE!</v>
      </c>
      <c r="AH63" s="31" t="e">
        <f t="shared" si="70"/>
        <v>#VALUE!</v>
      </c>
      <c r="AI63" s="25" t="e">
        <f t="shared" si="70"/>
        <v>#VALUE!</v>
      </c>
      <c r="AJ63" s="30" t="e">
        <f t="shared" si="70"/>
        <v>#VALUE!</v>
      </c>
      <c r="AK63" s="30" t="e">
        <f t="shared" si="70"/>
        <v>#VALUE!</v>
      </c>
      <c r="AL63" s="26"/>
      <c r="AM63" s="21"/>
      <c r="AN63" s="36"/>
      <c r="AO63" s="21"/>
      <c r="AP63" s="21"/>
      <c r="AQ63" s="36"/>
      <c r="AR63" s="30">
        <f t="shared" ref="AR63:AW63" si="71">bdrate($D63:$D66,E63:E66,$P63:$P66,Q63:Q66)</f>
        <v>-3.6331570677083924E-4</v>
      </c>
      <c r="AS63" s="30" t="e">
        <f t="shared" si="71"/>
        <v>#VALUE!</v>
      </c>
      <c r="AT63" s="31" t="e">
        <f t="shared" si="71"/>
        <v>#VALUE!</v>
      </c>
      <c r="AU63" s="25" t="e">
        <f t="shared" si="71"/>
        <v>#VALUE!</v>
      </c>
      <c r="AV63" s="30" t="e">
        <f t="shared" si="71"/>
        <v>#VALUE!</v>
      </c>
      <c r="AW63" s="31" t="e">
        <f t="shared" si="71"/>
        <v>#VALUE!</v>
      </c>
      <c r="AX63" s="15"/>
      <c r="AY63" s="15"/>
      <c r="AZ63" s="15"/>
      <c r="BA63" s="15" t="e">
        <f>V63/J63</f>
        <v>#DIV/0!</v>
      </c>
      <c r="BB63" s="15" t="e">
        <f t="shared" ref="BB63:BB66" si="72">X63/L63</f>
        <v>#DIV/0!</v>
      </c>
      <c r="BC63" s="15" t="e">
        <f t="shared" si="11"/>
        <v>#DIV/0!</v>
      </c>
    </row>
    <row r="64" spans="1:55" ht="11.25" customHeight="1" x14ac:dyDescent="0.2">
      <c r="A64" s="13"/>
      <c r="B64" s="13"/>
      <c r="C64" s="43">
        <v>27</v>
      </c>
      <c r="D64" s="53">
        <v>2040.36</v>
      </c>
      <c r="E64" s="53">
        <v>40.133899999999997</v>
      </c>
      <c r="F64" s="53"/>
      <c r="G64" s="53"/>
      <c r="H64" s="53"/>
      <c r="I64" s="53"/>
      <c r="J64" s="53"/>
      <c r="K64" s="15">
        <v>0</v>
      </c>
      <c r="L64" s="15">
        <v>0</v>
      </c>
      <c r="M64" s="15">
        <v>0</v>
      </c>
      <c r="N64" s="16">
        <f t="shared" si="0"/>
        <v>0</v>
      </c>
      <c r="P64" s="54">
        <v>2049.54</v>
      </c>
      <c r="Q64" s="54">
        <v>40.161499999999997</v>
      </c>
      <c r="R64" s="54"/>
      <c r="S64" s="54"/>
      <c r="T64" s="54"/>
      <c r="U64" s="54"/>
      <c r="V64" s="54"/>
      <c r="W64" s="15">
        <v>0</v>
      </c>
      <c r="X64" s="15">
        <v>0</v>
      </c>
      <c r="Y64" s="15">
        <v>0</v>
      </c>
      <c r="Z64" s="16">
        <f t="shared" si="6"/>
        <v>0</v>
      </c>
      <c r="AA64" s="15" t="e">
        <f t="shared" si="1"/>
        <v>#DIV/0!</v>
      </c>
      <c r="AB64" s="15" t="e">
        <f t="shared" si="67"/>
        <v>#DIV/0!</v>
      </c>
      <c r="AC64" s="15" t="e">
        <f t="shared" si="67"/>
        <v>#DIV/0!</v>
      </c>
      <c r="AD64" s="16">
        <f t="shared" si="7"/>
        <v>4.4992060224666548E-3</v>
      </c>
      <c r="AE64" s="12"/>
      <c r="AF64" s="26"/>
      <c r="AG64" s="21"/>
      <c r="AH64" s="36"/>
      <c r="AI64" s="26"/>
      <c r="AJ64" s="21"/>
      <c r="AK64" s="21"/>
      <c r="AL64" s="26">
        <f>bdrate($D64:$D67,E64:E67,$P64:$P67,Q64:Q67)</f>
        <v>-5.3573438904219728E-5</v>
      </c>
      <c r="AM64" s="21" t="e">
        <f>bdrate($D64:$D67,F64:F67,$P64:$P67,R64:R67)</f>
        <v>#VALUE!</v>
      </c>
      <c r="AN64" s="36" t="e">
        <f t="shared" ref="AN64" si="73">bdrate($D64:$D67,G64:G67,$P64:$P67,S64:S67)</f>
        <v>#VALUE!</v>
      </c>
      <c r="AO64" s="26" t="e">
        <f>bdrate($D64:$D67,H64:H67,$P64:$P67,T64:T67)</f>
        <v>#VALUE!</v>
      </c>
      <c r="AP64" s="21" t="e">
        <f>bdrate($D64:$D67,I64:I67,$P64:$P67,U64:U67)</f>
        <v>#VALUE!</v>
      </c>
      <c r="AQ64" s="36" t="e">
        <f>bdrate($D64:$D67,J64:J67,$P64:$P67,V64:V67)</f>
        <v>#VALUE!</v>
      </c>
      <c r="AR64" s="21"/>
      <c r="AS64" s="21"/>
      <c r="AT64" s="36"/>
      <c r="AU64" s="26"/>
      <c r="AV64" s="21"/>
      <c r="AW64" s="36"/>
      <c r="AX64" s="15" t="e">
        <f>V64/J64</f>
        <v>#DIV/0!</v>
      </c>
      <c r="AY64" s="15" t="e">
        <f t="shared" ref="AY64:AY67" si="74">X64/L64</f>
        <v>#DIV/0!</v>
      </c>
      <c r="AZ64" s="15" t="e">
        <f t="shared" si="10"/>
        <v>#DIV/0!</v>
      </c>
      <c r="BA64" s="15" t="e">
        <f>V64/J64</f>
        <v>#DIV/0!</v>
      </c>
      <c r="BB64" s="15" t="e">
        <f t="shared" si="72"/>
        <v>#DIV/0!</v>
      </c>
      <c r="BC64" s="15" t="e">
        <f t="shared" si="11"/>
        <v>#DIV/0!</v>
      </c>
    </row>
    <row r="65" spans="1:55" ht="15" x14ac:dyDescent="0.2">
      <c r="A65" s="13"/>
      <c r="B65" s="13"/>
      <c r="C65" s="43">
        <v>32</v>
      </c>
      <c r="D65" s="53">
        <v>1226.0999999999999</v>
      </c>
      <c r="E65" s="53">
        <v>37.118400000000001</v>
      </c>
      <c r="F65" s="53"/>
      <c r="G65" s="53"/>
      <c r="H65" s="53"/>
      <c r="I65" s="53"/>
      <c r="J65" s="53"/>
      <c r="K65" s="15">
        <v>0</v>
      </c>
      <c r="L65" s="15">
        <v>0</v>
      </c>
      <c r="M65" s="15">
        <v>0</v>
      </c>
      <c r="N65" s="16">
        <f t="shared" si="0"/>
        <v>0</v>
      </c>
      <c r="P65" s="54">
        <v>1221.96</v>
      </c>
      <c r="Q65" s="54">
        <v>37.103000000000002</v>
      </c>
      <c r="R65" s="54"/>
      <c r="S65" s="54"/>
      <c r="T65" s="54"/>
      <c r="U65" s="54"/>
      <c r="V65" s="54"/>
      <c r="W65" s="15">
        <v>0</v>
      </c>
      <c r="X65" s="15">
        <v>0</v>
      </c>
      <c r="Y65" s="15">
        <v>0</v>
      </c>
      <c r="Z65" s="16">
        <f t="shared" si="6"/>
        <v>0</v>
      </c>
      <c r="AA65" s="15" t="e">
        <f t="shared" si="1"/>
        <v>#DIV/0!</v>
      </c>
      <c r="AB65" s="15" t="e">
        <f t="shared" si="67"/>
        <v>#DIV/0!</v>
      </c>
      <c r="AC65" s="15" t="e">
        <f t="shared" si="67"/>
        <v>#DIV/0!</v>
      </c>
      <c r="AD65" s="16">
        <f t="shared" si="7"/>
        <v>3.3765598238315576E-3</v>
      </c>
      <c r="AE65" s="12"/>
      <c r="AF65" s="26"/>
      <c r="AG65" s="21"/>
      <c r="AH65" s="36"/>
      <c r="AI65" s="26"/>
      <c r="AJ65" s="21"/>
      <c r="AK65" s="21"/>
      <c r="AL65" s="26"/>
      <c r="AM65" s="21"/>
      <c r="AN65" s="36"/>
      <c r="AO65" s="21"/>
      <c r="AP65" s="21"/>
      <c r="AQ65" s="36"/>
      <c r="AR65" s="21"/>
      <c r="AS65" s="21"/>
      <c r="AT65" s="36"/>
      <c r="AU65" s="26"/>
      <c r="AV65" s="21"/>
      <c r="AW65" s="36"/>
      <c r="AX65" s="15" t="e">
        <f>V65/J65</f>
        <v>#DIV/0!</v>
      </c>
      <c r="AY65" s="15" t="e">
        <f t="shared" si="74"/>
        <v>#DIV/0!</v>
      </c>
      <c r="AZ65" s="15" t="e">
        <f t="shared" si="10"/>
        <v>#DIV/0!</v>
      </c>
      <c r="BA65" s="15" t="e">
        <f>V65/J65</f>
        <v>#DIV/0!</v>
      </c>
      <c r="BB65" s="15" t="e">
        <f t="shared" si="72"/>
        <v>#DIV/0!</v>
      </c>
      <c r="BC65" s="15" t="e">
        <f t="shared" si="11"/>
        <v>#DIV/0!</v>
      </c>
    </row>
    <row r="66" spans="1:55" ht="15" x14ac:dyDescent="0.2">
      <c r="A66" s="13"/>
      <c r="B66" s="13"/>
      <c r="C66" s="43">
        <v>37</v>
      </c>
      <c r="D66" s="53">
        <v>688.32</v>
      </c>
      <c r="E66" s="53">
        <v>34.033700000000003</v>
      </c>
      <c r="F66" s="53"/>
      <c r="G66" s="53"/>
      <c r="H66" s="53"/>
      <c r="I66" s="53"/>
      <c r="J66" s="53"/>
      <c r="K66" s="15">
        <v>0</v>
      </c>
      <c r="L66" s="15">
        <v>0</v>
      </c>
      <c r="M66" s="15">
        <v>0</v>
      </c>
      <c r="N66" s="16">
        <f t="shared" si="0"/>
        <v>0</v>
      </c>
      <c r="P66" s="54">
        <v>694.14</v>
      </c>
      <c r="Q66" s="54">
        <v>34.072000000000003</v>
      </c>
      <c r="R66" s="54"/>
      <c r="S66" s="54"/>
      <c r="T66" s="54"/>
      <c r="U66" s="54"/>
      <c r="V66" s="54"/>
      <c r="W66" s="15">
        <v>0</v>
      </c>
      <c r="X66" s="15">
        <v>0</v>
      </c>
      <c r="Y66" s="15">
        <v>0</v>
      </c>
      <c r="Z66" s="16">
        <f t="shared" si="6"/>
        <v>0</v>
      </c>
      <c r="AA66" s="15" t="e">
        <f t="shared" si="1"/>
        <v>#DIV/0!</v>
      </c>
      <c r="AB66" s="15" t="e">
        <f t="shared" si="67"/>
        <v>#DIV/0!</v>
      </c>
      <c r="AC66" s="15" t="e">
        <f t="shared" si="67"/>
        <v>#DIV/0!</v>
      </c>
      <c r="AD66" s="16">
        <f t="shared" si="7"/>
        <v>8.4553695955368671E-3</v>
      </c>
      <c r="AE66" s="12"/>
      <c r="AF66" s="26"/>
      <c r="AG66" s="21"/>
      <c r="AH66" s="36"/>
      <c r="AI66" s="26"/>
      <c r="AJ66" s="21"/>
      <c r="AK66" s="21"/>
      <c r="AL66" s="26"/>
      <c r="AM66" s="21"/>
      <c r="AN66" s="36"/>
      <c r="AO66" s="21"/>
      <c r="AP66" s="21"/>
      <c r="AQ66" s="36"/>
      <c r="AR66" s="21"/>
      <c r="AS66" s="21"/>
      <c r="AT66" s="36"/>
      <c r="AU66" s="26"/>
      <c r="AV66" s="21"/>
      <c r="AW66" s="36"/>
      <c r="AX66" s="15" t="e">
        <f>V66/J66</f>
        <v>#DIV/0!</v>
      </c>
      <c r="AY66" s="15" t="e">
        <f t="shared" si="74"/>
        <v>#DIV/0!</v>
      </c>
      <c r="AZ66" s="15" t="e">
        <f t="shared" si="10"/>
        <v>#DIV/0!</v>
      </c>
      <c r="BA66" s="15" t="e">
        <f>V66/J66</f>
        <v>#DIV/0!</v>
      </c>
      <c r="BB66" s="15" t="e">
        <f t="shared" si="72"/>
        <v>#DIV/0!</v>
      </c>
      <c r="BC66" s="15" t="e">
        <f t="shared" si="11"/>
        <v>#DIV/0!</v>
      </c>
    </row>
    <row r="67" spans="1:55" ht="15.75" thickBot="1" x14ac:dyDescent="0.25">
      <c r="A67" s="13"/>
      <c r="B67" s="17"/>
      <c r="C67" s="44">
        <v>42</v>
      </c>
      <c r="D67" s="53">
        <v>369.66</v>
      </c>
      <c r="E67" s="53">
        <v>31.117000000000001</v>
      </c>
      <c r="F67" s="53"/>
      <c r="G67" s="53"/>
      <c r="H67" s="53"/>
      <c r="I67" s="53"/>
      <c r="J67" s="53"/>
      <c r="K67" s="19">
        <v>0</v>
      </c>
      <c r="L67" s="19">
        <v>0</v>
      </c>
      <c r="M67" s="19">
        <v>0</v>
      </c>
      <c r="N67" s="20">
        <f t="shared" ref="N67:N130" si="75">K67/3600</f>
        <v>0</v>
      </c>
      <c r="P67" s="54">
        <v>364.98</v>
      </c>
      <c r="Q67" s="54">
        <v>31.064699999999998</v>
      </c>
      <c r="R67" s="54"/>
      <c r="S67" s="54"/>
      <c r="T67" s="54"/>
      <c r="U67" s="54"/>
      <c r="V67" s="54"/>
      <c r="W67" s="19">
        <v>0</v>
      </c>
      <c r="X67" s="19">
        <v>0</v>
      </c>
      <c r="Y67" s="19">
        <v>0</v>
      </c>
      <c r="Z67" s="20">
        <f t="shared" si="6"/>
        <v>0</v>
      </c>
      <c r="AA67" s="15" t="e">
        <f t="shared" ref="AA67:AA130" si="76">V67/J67</f>
        <v>#DIV/0!</v>
      </c>
      <c r="AB67" s="15" t="e">
        <f t="shared" si="67"/>
        <v>#DIV/0!</v>
      </c>
      <c r="AC67" s="15" t="e">
        <f t="shared" si="67"/>
        <v>#DIV/0!</v>
      </c>
      <c r="AD67" s="20">
        <f t="shared" si="7"/>
        <v>1.2660282421684809E-2</v>
      </c>
      <c r="AE67" s="12"/>
      <c r="AF67" s="27"/>
      <c r="AG67" s="37"/>
      <c r="AH67" s="38"/>
      <c r="AI67" s="27"/>
      <c r="AJ67" s="37"/>
      <c r="AK67" s="37"/>
      <c r="AL67" s="26"/>
      <c r="AM67" s="21"/>
      <c r="AN67" s="36"/>
      <c r="AO67" s="21"/>
      <c r="AP67" s="21"/>
      <c r="AQ67" s="36"/>
      <c r="AR67" s="37"/>
      <c r="AS67" s="37"/>
      <c r="AT67" s="38"/>
      <c r="AU67" s="27"/>
      <c r="AV67" s="37"/>
      <c r="AW67" s="38"/>
      <c r="AX67" s="15" t="e">
        <f>V67/J67</f>
        <v>#DIV/0!</v>
      </c>
      <c r="AY67" s="15" t="e">
        <f t="shared" si="74"/>
        <v>#DIV/0!</v>
      </c>
      <c r="AZ67" s="15" t="e">
        <f t="shared" si="10"/>
        <v>#DIV/0!</v>
      </c>
      <c r="BA67" s="15"/>
      <c r="BB67" s="15"/>
      <c r="BC67" s="15"/>
    </row>
    <row r="68" spans="1:55" ht="15" x14ac:dyDescent="0.2">
      <c r="A68" s="13"/>
      <c r="B68" s="8" t="s">
        <v>27</v>
      </c>
      <c r="C68" s="39">
        <v>22</v>
      </c>
      <c r="D68" s="53">
        <v>6051.55</v>
      </c>
      <c r="E68" s="53">
        <v>42.224499999999999</v>
      </c>
      <c r="F68" s="53"/>
      <c r="G68" s="53"/>
      <c r="H68" s="53"/>
      <c r="I68" s="53"/>
      <c r="J68" s="53"/>
      <c r="K68" s="10">
        <v>0</v>
      </c>
      <c r="L68" s="10">
        <v>0</v>
      </c>
      <c r="M68" s="10">
        <v>0</v>
      </c>
      <c r="N68" s="11">
        <f t="shared" si="75"/>
        <v>0</v>
      </c>
      <c r="P68" s="54">
        <v>6055.75</v>
      </c>
      <c r="Q68" s="54">
        <v>42.2301</v>
      </c>
      <c r="R68" s="54"/>
      <c r="S68" s="54"/>
      <c r="T68" s="54"/>
      <c r="U68" s="54"/>
      <c r="V68" s="54"/>
      <c r="W68" s="10">
        <v>0</v>
      </c>
      <c r="X68" s="10">
        <v>0</v>
      </c>
      <c r="Y68" s="10">
        <v>0</v>
      </c>
      <c r="Z68" s="11">
        <f t="shared" ref="Z68:Z131" si="77">W68/3600</f>
        <v>0</v>
      </c>
      <c r="AA68" s="15" t="e">
        <f t="shared" si="76"/>
        <v>#DIV/0!</v>
      </c>
      <c r="AB68" s="15" t="e">
        <f t="shared" si="67"/>
        <v>#DIV/0!</v>
      </c>
      <c r="AC68" s="15" t="e">
        <f t="shared" si="67"/>
        <v>#DIV/0!</v>
      </c>
      <c r="AD68" s="11">
        <f t="shared" ref="AD68:AD131" si="78">ABS(P68-D68)/D68</f>
        <v>6.9403706488417312E-4</v>
      </c>
      <c r="AE68" s="12"/>
      <c r="AF68" s="25">
        <f t="shared" ref="AF68:AK68" si="79">bdRateExtend($D68:$D72,E68:E72,$P68:$P72,Q68:Q72)</f>
        <v>-2.2305612538120467E-4</v>
      </c>
      <c r="AG68" s="30" t="e">
        <f t="shared" si="79"/>
        <v>#VALUE!</v>
      </c>
      <c r="AH68" s="31" t="e">
        <f t="shared" si="79"/>
        <v>#VALUE!</v>
      </c>
      <c r="AI68" s="25" t="e">
        <f t="shared" si="79"/>
        <v>#VALUE!</v>
      </c>
      <c r="AJ68" s="30" t="e">
        <f t="shared" si="79"/>
        <v>#VALUE!</v>
      </c>
      <c r="AK68" s="30" t="e">
        <f t="shared" si="79"/>
        <v>#VALUE!</v>
      </c>
      <c r="AL68" s="45"/>
      <c r="AM68" s="46"/>
      <c r="AN68" s="47"/>
      <c r="AO68" s="46"/>
      <c r="AP68" s="46"/>
      <c r="AQ68" s="47"/>
      <c r="AR68" s="30">
        <f t="shared" ref="AR68:AW68" si="80">bdrate($D68:$D71,E68:E71,$P68:$P71,Q68:Q71)</f>
        <v>-1.9313866680881198E-4</v>
      </c>
      <c r="AS68" s="30" t="e">
        <f t="shared" si="80"/>
        <v>#VALUE!</v>
      </c>
      <c r="AT68" s="31" t="e">
        <f t="shared" si="80"/>
        <v>#VALUE!</v>
      </c>
      <c r="AU68" s="25" t="e">
        <f t="shared" si="80"/>
        <v>#VALUE!</v>
      </c>
      <c r="AV68" s="30" t="e">
        <f t="shared" si="80"/>
        <v>#VALUE!</v>
      </c>
      <c r="AW68" s="31" t="e">
        <f t="shared" si="80"/>
        <v>#VALUE!</v>
      </c>
      <c r="AX68" s="15"/>
      <c r="AY68" s="15"/>
      <c r="AZ68" s="15"/>
      <c r="BA68" s="15" t="e">
        <f>V68/J68</f>
        <v>#DIV/0!</v>
      </c>
      <c r="BB68" s="15" t="e">
        <f t="shared" ref="BB68:BB71" si="81">X68/L68</f>
        <v>#DIV/0!</v>
      </c>
      <c r="BC68" s="15" t="e">
        <f t="shared" ref="BC68:BC96" si="82">Z68/N68</f>
        <v>#DIV/0!</v>
      </c>
    </row>
    <row r="69" spans="1:55" ht="15" x14ac:dyDescent="0.2">
      <c r="A69" s="13"/>
      <c r="B69" s="13"/>
      <c r="C69" s="43">
        <v>27</v>
      </c>
      <c r="D69" s="53">
        <v>3809.1</v>
      </c>
      <c r="E69" s="53">
        <v>37.984299999999998</v>
      </c>
      <c r="F69" s="53"/>
      <c r="G69" s="53"/>
      <c r="H69" s="53"/>
      <c r="I69" s="53"/>
      <c r="J69" s="53"/>
      <c r="K69" s="15">
        <v>0</v>
      </c>
      <c r="L69" s="15">
        <v>0</v>
      </c>
      <c r="M69" s="15">
        <v>0</v>
      </c>
      <c r="N69" s="16">
        <f t="shared" si="75"/>
        <v>0</v>
      </c>
      <c r="P69" s="54">
        <v>3806.9</v>
      </c>
      <c r="Q69" s="54">
        <v>37.991700000000002</v>
      </c>
      <c r="R69" s="54"/>
      <c r="S69" s="54"/>
      <c r="T69" s="54"/>
      <c r="U69" s="54"/>
      <c r="V69" s="54"/>
      <c r="W69" s="15">
        <v>0</v>
      </c>
      <c r="X69" s="15">
        <v>0</v>
      </c>
      <c r="Y69" s="15">
        <v>0</v>
      </c>
      <c r="Z69" s="16">
        <f t="shared" si="77"/>
        <v>0</v>
      </c>
      <c r="AA69" s="15" t="e">
        <f t="shared" si="76"/>
        <v>#DIV/0!</v>
      </c>
      <c r="AB69" s="15" t="e">
        <f t="shared" si="67"/>
        <v>#DIV/0!</v>
      </c>
      <c r="AC69" s="15" t="e">
        <f t="shared" si="67"/>
        <v>#DIV/0!</v>
      </c>
      <c r="AD69" s="16">
        <f t="shared" si="78"/>
        <v>5.7756425402321232E-4</v>
      </c>
      <c r="AE69" s="12"/>
      <c r="AF69" s="26"/>
      <c r="AG69" s="21"/>
      <c r="AH69" s="36"/>
      <c r="AI69" s="26"/>
      <c r="AJ69" s="21"/>
      <c r="AK69" s="21"/>
      <c r="AL69" s="26">
        <f>bdrate($D69:$D72,E69:E72,$P69:$P72,Q69:Q72)</f>
        <v>1.9802423724324392E-4</v>
      </c>
      <c r="AM69" s="21" t="e">
        <f>bdrate($D69:$D72,F69:F72,$P69:$P72,R69:R72)</f>
        <v>#VALUE!</v>
      </c>
      <c r="AN69" s="36" t="e">
        <f t="shared" ref="AN69" si="83">bdrate($D69:$D72,G69:G72,$P69:$P72,S69:S72)</f>
        <v>#VALUE!</v>
      </c>
      <c r="AO69" s="26" t="e">
        <f>bdrate($D69:$D72,H69:H72,$P69:$P72,T69:T72)</f>
        <v>#VALUE!</v>
      </c>
      <c r="AP69" s="21" t="e">
        <f>bdrate($D69:$D72,I69:I72,$P69:$P72,U69:U72)</f>
        <v>#VALUE!</v>
      </c>
      <c r="AQ69" s="36" t="e">
        <f>bdrate($D69:$D72,J69:J72,$P69:$P72,V69:V72)</f>
        <v>#VALUE!</v>
      </c>
      <c r="AR69" s="21"/>
      <c r="AS69" s="21"/>
      <c r="AT69" s="36"/>
      <c r="AU69" s="26"/>
      <c r="AV69" s="21"/>
      <c r="AW69" s="36"/>
      <c r="AX69" s="15" t="e">
        <f>V69/J69</f>
        <v>#DIV/0!</v>
      </c>
      <c r="AY69" s="15" t="e">
        <f t="shared" ref="AY69:AY72" si="84">X69/L69</f>
        <v>#DIV/0!</v>
      </c>
      <c r="AZ69" s="15" t="e">
        <f t="shared" ref="AZ69:AZ97" si="85">Z69/N69</f>
        <v>#DIV/0!</v>
      </c>
      <c r="BA69" s="15" t="e">
        <f>V69/J69</f>
        <v>#DIV/0!</v>
      </c>
      <c r="BB69" s="15" t="e">
        <f t="shared" si="81"/>
        <v>#DIV/0!</v>
      </c>
      <c r="BC69" s="15" t="e">
        <f t="shared" si="82"/>
        <v>#DIV/0!</v>
      </c>
    </row>
    <row r="70" spans="1:55" ht="15" x14ac:dyDescent="0.2">
      <c r="A70" s="13"/>
      <c r="B70" s="13"/>
      <c r="C70" s="43">
        <v>32</v>
      </c>
      <c r="D70" s="53">
        <v>2298.5</v>
      </c>
      <c r="E70" s="53">
        <v>34.351399999999998</v>
      </c>
      <c r="F70" s="53"/>
      <c r="G70" s="53"/>
      <c r="H70" s="53"/>
      <c r="I70" s="53"/>
      <c r="J70" s="53"/>
      <c r="K70" s="15">
        <v>0</v>
      </c>
      <c r="L70" s="15">
        <v>0</v>
      </c>
      <c r="M70" s="15">
        <v>0</v>
      </c>
      <c r="N70" s="16">
        <f t="shared" si="75"/>
        <v>0</v>
      </c>
      <c r="P70" s="54">
        <v>2294.85</v>
      </c>
      <c r="Q70" s="54">
        <v>34.335999999999999</v>
      </c>
      <c r="R70" s="54"/>
      <c r="S70" s="54"/>
      <c r="T70" s="54"/>
      <c r="U70" s="54"/>
      <c r="V70" s="54"/>
      <c r="W70" s="15">
        <v>0</v>
      </c>
      <c r="X70" s="15">
        <v>0</v>
      </c>
      <c r="Y70" s="15">
        <v>0</v>
      </c>
      <c r="Z70" s="16">
        <f t="shared" si="77"/>
        <v>0</v>
      </c>
      <c r="AA70" s="15" t="e">
        <f t="shared" si="76"/>
        <v>#DIV/0!</v>
      </c>
      <c r="AB70" s="15" t="e">
        <f t="shared" si="67"/>
        <v>#DIV/0!</v>
      </c>
      <c r="AC70" s="15" t="e">
        <f t="shared" si="67"/>
        <v>#DIV/0!</v>
      </c>
      <c r="AD70" s="16">
        <f t="shared" si="78"/>
        <v>1.5879921688057824E-3</v>
      </c>
      <c r="AE70" s="12"/>
      <c r="AF70" s="26"/>
      <c r="AG70" s="21"/>
      <c r="AH70" s="36"/>
      <c r="AI70" s="26"/>
      <c r="AJ70" s="21"/>
      <c r="AK70" s="21"/>
      <c r="AL70" s="26"/>
      <c r="AM70" s="21"/>
      <c r="AN70" s="36"/>
      <c r="AO70" s="21"/>
      <c r="AP70" s="21"/>
      <c r="AQ70" s="36"/>
      <c r="AR70" s="21"/>
      <c r="AS70" s="21"/>
      <c r="AT70" s="36"/>
      <c r="AU70" s="26"/>
      <c r="AV70" s="21"/>
      <c r="AW70" s="36"/>
      <c r="AX70" s="15" t="e">
        <f>V70/J70</f>
        <v>#DIV/0!</v>
      </c>
      <c r="AY70" s="15" t="e">
        <f t="shared" si="84"/>
        <v>#DIV/0!</v>
      </c>
      <c r="AZ70" s="15" t="e">
        <f t="shared" si="85"/>
        <v>#DIV/0!</v>
      </c>
      <c r="BA70" s="15" t="e">
        <f>V70/J70</f>
        <v>#DIV/0!</v>
      </c>
      <c r="BB70" s="15" t="e">
        <f t="shared" si="81"/>
        <v>#DIV/0!</v>
      </c>
      <c r="BC70" s="15" t="e">
        <f t="shared" si="82"/>
        <v>#DIV/0!</v>
      </c>
    </row>
    <row r="71" spans="1:55" ht="15" x14ac:dyDescent="0.2">
      <c r="A71" s="13"/>
      <c r="B71" s="13"/>
      <c r="C71" s="43">
        <v>37</v>
      </c>
      <c r="D71" s="53">
        <v>1263.8499999999999</v>
      </c>
      <c r="E71" s="53">
        <v>30.9145</v>
      </c>
      <c r="F71" s="53"/>
      <c r="G71" s="53"/>
      <c r="H71" s="53"/>
      <c r="I71" s="53"/>
      <c r="J71" s="53"/>
      <c r="K71" s="15">
        <v>0</v>
      </c>
      <c r="L71" s="15">
        <v>0</v>
      </c>
      <c r="M71" s="15">
        <v>0</v>
      </c>
      <c r="N71" s="16">
        <f t="shared" si="75"/>
        <v>0</v>
      </c>
      <c r="P71" s="54">
        <v>1273.3499999999999</v>
      </c>
      <c r="Q71" s="54">
        <v>30.948</v>
      </c>
      <c r="R71" s="54"/>
      <c r="S71" s="54"/>
      <c r="T71" s="54"/>
      <c r="U71" s="54"/>
      <c r="V71" s="54"/>
      <c r="W71" s="15">
        <v>0</v>
      </c>
      <c r="X71" s="15">
        <v>0</v>
      </c>
      <c r="Y71" s="15">
        <v>0</v>
      </c>
      <c r="Z71" s="16">
        <f t="shared" si="77"/>
        <v>0</v>
      </c>
      <c r="AA71" s="15" t="e">
        <f t="shared" si="76"/>
        <v>#DIV/0!</v>
      </c>
      <c r="AB71" s="15" t="e">
        <f t="shared" si="67"/>
        <v>#DIV/0!</v>
      </c>
      <c r="AC71" s="15" t="e">
        <f t="shared" si="67"/>
        <v>#DIV/0!</v>
      </c>
      <c r="AD71" s="16">
        <f t="shared" si="78"/>
        <v>7.5167148000158251E-3</v>
      </c>
      <c r="AE71" s="12"/>
      <c r="AF71" s="26"/>
      <c r="AG71" s="21"/>
      <c r="AH71" s="36"/>
      <c r="AI71" s="26"/>
      <c r="AJ71" s="21"/>
      <c r="AK71" s="21"/>
      <c r="AL71" s="26"/>
      <c r="AM71" s="21"/>
      <c r="AN71" s="36"/>
      <c r="AO71" s="21"/>
      <c r="AP71" s="21"/>
      <c r="AQ71" s="36"/>
      <c r="AR71" s="21"/>
      <c r="AS71" s="21"/>
      <c r="AT71" s="36"/>
      <c r="AU71" s="26"/>
      <c r="AV71" s="21"/>
      <c r="AW71" s="36"/>
      <c r="AX71" s="15" t="e">
        <f>V71/J71</f>
        <v>#DIV/0!</v>
      </c>
      <c r="AY71" s="15" t="e">
        <f t="shared" si="84"/>
        <v>#DIV/0!</v>
      </c>
      <c r="AZ71" s="15" t="e">
        <f t="shared" si="85"/>
        <v>#DIV/0!</v>
      </c>
      <c r="BA71" s="15" t="e">
        <f>V71/J71</f>
        <v>#DIV/0!</v>
      </c>
      <c r="BB71" s="15" t="e">
        <f t="shared" si="81"/>
        <v>#DIV/0!</v>
      </c>
      <c r="BC71" s="15" t="e">
        <f t="shared" si="82"/>
        <v>#DIV/0!</v>
      </c>
    </row>
    <row r="72" spans="1:55" ht="15.75" thickBot="1" x14ac:dyDescent="0.25">
      <c r="A72" s="13"/>
      <c r="B72" s="17"/>
      <c r="C72" s="44">
        <v>42</v>
      </c>
      <c r="D72" s="53">
        <v>596.45000000000005</v>
      </c>
      <c r="E72" s="53">
        <v>27.648499999999999</v>
      </c>
      <c r="F72" s="53"/>
      <c r="G72" s="53"/>
      <c r="H72" s="53"/>
      <c r="I72" s="53"/>
      <c r="J72" s="53"/>
      <c r="K72" s="19">
        <v>0</v>
      </c>
      <c r="L72" s="19">
        <v>0</v>
      </c>
      <c r="M72" s="19">
        <v>0</v>
      </c>
      <c r="N72" s="20">
        <f t="shared" si="75"/>
        <v>0</v>
      </c>
      <c r="P72" s="54">
        <v>596.04999999999995</v>
      </c>
      <c r="Q72" s="54">
        <v>27.6523</v>
      </c>
      <c r="R72" s="54"/>
      <c r="S72" s="54"/>
      <c r="T72" s="54"/>
      <c r="U72" s="54"/>
      <c r="V72" s="54"/>
      <c r="W72" s="19">
        <v>0</v>
      </c>
      <c r="X72" s="19">
        <v>0</v>
      </c>
      <c r="Y72" s="19">
        <v>0</v>
      </c>
      <c r="Z72" s="20">
        <f t="shared" si="77"/>
        <v>0</v>
      </c>
      <c r="AA72" s="15" t="e">
        <f t="shared" si="76"/>
        <v>#DIV/0!</v>
      </c>
      <c r="AB72" s="15" t="e">
        <f t="shared" si="67"/>
        <v>#DIV/0!</v>
      </c>
      <c r="AC72" s="15" t="e">
        <f t="shared" si="67"/>
        <v>#DIV/0!</v>
      </c>
      <c r="AD72" s="20">
        <f t="shared" si="78"/>
        <v>6.7063458797902748E-4</v>
      </c>
      <c r="AE72" s="12"/>
      <c r="AF72" s="27"/>
      <c r="AG72" s="37"/>
      <c r="AH72" s="38"/>
      <c r="AI72" s="27"/>
      <c r="AJ72" s="37"/>
      <c r="AK72" s="37"/>
      <c r="AL72" s="27"/>
      <c r="AM72" s="37"/>
      <c r="AN72" s="38"/>
      <c r="AO72" s="37"/>
      <c r="AP72" s="37"/>
      <c r="AQ72" s="38"/>
      <c r="AR72" s="37"/>
      <c r="AS72" s="37"/>
      <c r="AT72" s="38"/>
      <c r="AU72" s="27"/>
      <c r="AV72" s="37"/>
      <c r="AW72" s="38"/>
      <c r="AX72" s="15" t="e">
        <f>V72/J72</f>
        <v>#DIV/0!</v>
      </c>
      <c r="AY72" s="15" t="e">
        <f t="shared" si="84"/>
        <v>#DIV/0!</v>
      </c>
      <c r="AZ72" s="15" t="e">
        <f t="shared" si="85"/>
        <v>#DIV/0!</v>
      </c>
      <c r="BA72" s="15"/>
      <c r="BB72" s="15"/>
      <c r="BC72" s="15"/>
    </row>
    <row r="73" spans="1:55" ht="15" x14ac:dyDescent="0.2">
      <c r="A73" s="13"/>
      <c r="B73" s="8" t="s">
        <v>28</v>
      </c>
      <c r="C73" s="39">
        <v>22</v>
      </c>
      <c r="D73" s="53">
        <v>2099.85</v>
      </c>
      <c r="E73" s="53">
        <v>43.463200000000001</v>
      </c>
      <c r="F73" s="53"/>
      <c r="G73" s="53"/>
      <c r="H73" s="53"/>
      <c r="I73" s="53"/>
      <c r="J73" s="53"/>
      <c r="K73" s="10">
        <v>0</v>
      </c>
      <c r="L73" s="10">
        <v>0</v>
      </c>
      <c r="M73" s="10">
        <v>0</v>
      </c>
      <c r="N73" s="11">
        <f t="shared" si="75"/>
        <v>0</v>
      </c>
      <c r="P73" s="54">
        <v>2097.63</v>
      </c>
      <c r="Q73" s="54">
        <v>43.463500000000003</v>
      </c>
      <c r="R73" s="54"/>
      <c r="S73" s="54"/>
      <c r="T73" s="54"/>
      <c r="U73" s="54"/>
      <c r="V73" s="54"/>
      <c r="W73" s="10">
        <v>0</v>
      </c>
      <c r="X73" s="10">
        <v>0</v>
      </c>
      <c r="Y73" s="10">
        <v>0</v>
      </c>
      <c r="Z73" s="11">
        <f t="shared" si="77"/>
        <v>0</v>
      </c>
      <c r="AA73" s="15" t="e">
        <f t="shared" si="76"/>
        <v>#DIV/0!</v>
      </c>
      <c r="AB73" s="15" t="e">
        <f t="shared" si="67"/>
        <v>#DIV/0!</v>
      </c>
      <c r="AC73" s="15" t="e">
        <f t="shared" si="67"/>
        <v>#DIV/0!</v>
      </c>
      <c r="AD73" s="11">
        <f t="shared" si="78"/>
        <v>1.0572183727408147E-3</v>
      </c>
      <c r="AE73" s="12"/>
      <c r="AF73" s="25">
        <f>bdRateExtend($D73:$D77,E73:E77,$P73:$P77,Q73:Q77)</f>
        <v>-7.3122766756805735E-4</v>
      </c>
      <c r="AG73" s="30" t="e">
        <f t="shared" ref="AG73:AK73" si="86">bdRateExtend($D73:$D77,F73:F77,$P73:$P77,R73:R77)</f>
        <v>#VALUE!</v>
      </c>
      <c r="AH73" s="31" t="e">
        <f t="shared" si="86"/>
        <v>#VALUE!</v>
      </c>
      <c r="AI73" s="25" t="e">
        <f t="shared" si="86"/>
        <v>#VALUE!</v>
      </c>
      <c r="AJ73" s="30" t="e">
        <f t="shared" si="86"/>
        <v>#VALUE!</v>
      </c>
      <c r="AK73" s="30" t="e">
        <f t="shared" si="86"/>
        <v>#VALUE!</v>
      </c>
      <c r="AL73" s="26"/>
      <c r="AM73" s="21"/>
      <c r="AN73" s="36"/>
      <c r="AO73" s="21"/>
      <c r="AP73" s="21"/>
      <c r="AQ73" s="36"/>
      <c r="AR73" s="30">
        <f t="shared" ref="AR73:AT73" si="87">bdrate($D73:$D76,E73:E76,$P73:$P76,Q73:Q76)</f>
        <v>-1.0332914197265231E-3</v>
      </c>
      <c r="AS73" s="30" t="e">
        <f t="shared" si="87"/>
        <v>#VALUE!</v>
      </c>
      <c r="AT73" s="31" t="e">
        <f t="shared" si="87"/>
        <v>#VALUE!</v>
      </c>
      <c r="AU73" s="25" t="e">
        <f>bdrate($D73:$D76,H73:H76,$P73:$P76,T73:T76)</f>
        <v>#VALUE!</v>
      </c>
      <c r="AV73" s="30" t="e">
        <f>bdrate($D73:$D76,H73:H76,$P73:$P76,T73:T76)</f>
        <v>#VALUE!</v>
      </c>
      <c r="AW73" s="31" t="e">
        <f>bdrate($D73:$D76,I73:I76,$P73:$P76,U73:U76)</f>
        <v>#VALUE!</v>
      </c>
      <c r="AX73" s="15"/>
      <c r="AY73" s="15"/>
      <c r="AZ73" s="15"/>
      <c r="BA73" s="15" t="e">
        <f>V73/J73</f>
        <v>#DIV/0!</v>
      </c>
      <c r="BB73" s="15" t="e">
        <f t="shared" ref="BB73:BB76" si="88">X73/L73</f>
        <v>#DIV/0!</v>
      </c>
      <c r="BC73" s="15" t="e">
        <f t="shared" si="82"/>
        <v>#DIV/0!</v>
      </c>
    </row>
    <row r="74" spans="1:55" ht="15" x14ac:dyDescent="0.2">
      <c r="A74" s="13"/>
      <c r="B74" s="13"/>
      <c r="C74" s="43">
        <v>27</v>
      </c>
      <c r="D74" s="53">
        <v>1261.56</v>
      </c>
      <c r="E74" s="53">
        <v>39.798999999999999</v>
      </c>
      <c r="F74" s="53"/>
      <c r="G74" s="53"/>
      <c r="H74" s="53"/>
      <c r="I74" s="53"/>
      <c r="J74" s="53"/>
      <c r="K74" s="15">
        <v>0</v>
      </c>
      <c r="L74" s="15">
        <v>0</v>
      </c>
      <c r="M74" s="15">
        <v>0</v>
      </c>
      <c r="N74" s="16">
        <f t="shared" si="75"/>
        <v>0</v>
      </c>
      <c r="P74" s="54">
        <v>1257.3900000000001</v>
      </c>
      <c r="Q74" s="54">
        <v>39.775300000000001</v>
      </c>
      <c r="R74" s="54"/>
      <c r="S74" s="54"/>
      <c r="T74" s="54"/>
      <c r="U74" s="54"/>
      <c r="V74" s="54"/>
      <c r="W74" s="15">
        <v>0</v>
      </c>
      <c r="X74" s="15">
        <v>0</v>
      </c>
      <c r="Y74" s="15">
        <v>0</v>
      </c>
      <c r="Z74" s="16">
        <f t="shared" si="77"/>
        <v>0</v>
      </c>
      <c r="AA74" s="15" t="e">
        <f t="shared" si="76"/>
        <v>#DIV/0!</v>
      </c>
      <c r="AB74" s="15" t="e">
        <f t="shared" si="67"/>
        <v>#DIV/0!</v>
      </c>
      <c r="AC74" s="15" t="e">
        <f t="shared" si="67"/>
        <v>#DIV/0!</v>
      </c>
      <c r="AD74" s="16">
        <f t="shared" si="78"/>
        <v>3.3054313706837929E-3</v>
      </c>
      <c r="AE74" s="12"/>
      <c r="AF74" s="26"/>
      <c r="AG74" s="21"/>
      <c r="AH74" s="36"/>
      <c r="AI74" s="26"/>
      <c r="AJ74" s="21"/>
      <c r="AK74" s="21"/>
      <c r="AL74" s="26">
        <f>bdrate($D74:$D77,E74:E77,$P74:$P77,Q74:Q77)</f>
        <v>-1.0376564501838326E-3</v>
      </c>
      <c r="AM74" s="21" t="e">
        <f>bdrate($D74:$D77,F74:F77,$P74:$P77,R74:R77)</f>
        <v>#VALUE!</v>
      </c>
      <c r="AN74" s="36" t="e">
        <f t="shared" ref="AN74" si="89">bdrate($D74:$D77,G74:G77,$P74:$P77,S74:S77)</f>
        <v>#VALUE!</v>
      </c>
      <c r="AO74" s="26" t="e">
        <f>bdrate($D74:$D77,H74:H77,$P74:$P77,T74:T77)</f>
        <v>#VALUE!</v>
      </c>
      <c r="AP74" s="21" t="e">
        <f>bdrate($D74:$D77,I74:I77,$P74:$P77,U74:U77)</f>
        <v>#VALUE!</v>
      </c>
      <c r="AQ74" s="36" t="e">
        <f>bdrate($D74:$D77,J74:J77,$P74:$P77,V74:V77)</f>
        <v>#VALUE!</v>
      </c>
      <c r="AR74" s="21"/>
      <c r="AS74" s="21"/>
      <c r="AT74" s="36"/>
      <c r="AU74" s="26"/>
      <c r="AV74" s="21"/>
      <c r="AW74" s="36"/>
      <c r="AX74" s="15" t="e">
        <f>V74/J74</f>
        <v>#DIV/0!</v>
      </c>
      <c r="AY74" s="15" t="e">
        <f t="shared" ref="AY74:AY77" si="90">X74/L74</f>
        <v>#DIV/0!</v>
      </c>
      <c r="AZ74" s="15" t="e">
        <f t="shared" si="85"/>
        <v>#DIV/0!</v>
      </c>
      <c r="BA74" s="15" t="e">
        <f>V74/J74</f>
        <v>#DIV/0!</v>
      </c>
      <c r="BB74" s="15" t="e">
        <f t="shared" si="88"/>
        <v>#DIV/0!</v>
      </c>
      <c r="BC74" s="15" t="e">
        <f t="shared" si="82"/>
        <v>#DIV/0!</v>
      </c>
    </row>
    <row r="75" spans="1:55" ht="15" x14ac:dyDescent="0.2">
      <c r="A75" s="13"/>
      <c r="B75" s="13"/>
      <c r="C75" s="43">
        <v>32</v>
      </c>
      <c r="D75" s="53">
        <v>733.2</v>
      </c>
      <c r="E75" s="53">
        <v>36.454599999999999</v>
      </c>
      <c r="F75" s="53"/>
      <c r="G75" s="53"/>
      <c r="H75" s="53"/>
      <c r="I75" s="53"/>
      <c r="J75" s="53"/>
      <c r="K75" s="15">
        <v>0</v>
      </c>
      <c r="L75" s="15">
        <v>0</v>
      </c>
      <c r="M75" s="15">
        <v>0</v>
      </c>
      <c r="N75" s="16">
        <f t="shared" si="75"/>
        <v>0</v>
      </c>
      <c r="P75" s="54">
        <v>732.51</v>
      </c>
      <c r="Q75" s="54">
        <v>36.459099999999999</v>
      </c>
      <c r="R75" s="54"/>
      <c r="S75" s="54"/>
      <c r="T75" s="54"/>
      <c r="U75" s="54"/>
      <c r="V75" s="54"/>
      <c r="W75" s="15">
        <v>0</v>
      </c>
      <c r="X75" s="15">
        <v>0</v>
      </c>
      <c r="Y75" s="15">
        <v>0</v>
      </c>
      <c r="Z75" s="16">
        <f t="shared" si="77"/>
        <v>0</v>
      </c>
      <c r="AA75" s="15" t="e">
        <f t="shared" si="76"/>
        <v>#DIV/0!</v>
      </c>
      <c r="AB75" s="15" t="e">
        <f t="shared" si="67"/>
        <v>#DIV/0!</v>
      </c>
      <c r="AC75" s="15" t="e">
        <f t="shared" si="67"/>
        <v>#DIV/0!</v>
      </c>
      <c r="AD75" s="16">
        <f t="shared" si="78"/>
        <v>9.4108019639941969E-4</v>
      </c>
      <c r="AE75" s="12"/>
      <c r="AF75" s="26"/>
      <c r="AG75" s="21"/>
      <c r="AH75" s="36"/>
      <c r="AI75" s="26"/>
      <c r="AJ75" s="21"/>
      <c r="AK75" s="21"/>
      <c r="AL75" s="26"/>
      <c r="AM75" s="21"/>
      <c r="AN75" s="36"/>
      <c r="AO75" s="21"/>
      <c r="AP75" s="21"/>
      <c r="AQ75" s="36"/>
      <c r="AR75" s="21"/>
      <c r="AS75" s="21"/>
      <c r="AT75" s="36"/>
      <c r="AU75" s="26"/>
      <c r="AV75" s="21"/>
      <c r="AW75" s="36"/>
      <c r="AX75" s="15" t="e">
        <f>V75/J75</f>
        <v>#DIV/0!</v>
      </c>
      <c r="AY75" s="15" t="e">
        <f t="shared" si="90"/>
        <v>#DIV/0!</v>
      </c>
      <c r="AZ75" s="15" t="e">
        <f t="shared" si="85"/>
        <v>#DIV/0!</v>
      </c>
      <c r="BA75" s="15" t="e">
        <f>V75/J75</f>
        <v>#DIV/0!</v>
      </c>
      <c r="BB75" s="15" t="e">
        <f t="shared" si="88"/>
        <v>#DIV/0!</v>
      </c>
      <c r="BC75" s="15" t="e">
        <f t="shared" si="82"/>
        <v>#DIV/0!</v>
      </c>
    </row>
    <row r="76" spans="1:55" ht="15" x14ac:dyDescent="0.2">
      <c r="A76" s="13"/>
      <c r="B76" s="13"/>
      <c r="C76" s="43">
        <v>37</v>
      </c>
      <c r="D76" s="53">
        <v>385.53</v>
      </c>
      <c r="E76" s="53">
        <v>33.2348</v>
      </c>
      <c r="F76" s="53"/>
      <c r="G76" s="53"/>
      <c r="H76" s="53"/>
      <c r="I76" s="53"/>
      <c r="J76" s="53"/>
      <c r="K76" s="15">
        <v>0</v>
      </c>
      <c r="L76" s="15">
        <v>0</v>
      </c>
      <c r="M76" s="15">
        <v>0</v>
      </c>
      <c r="N76" s="16">
        <f t="shared" si="75"/>
        <v>0</v>
      </c>
      <c r="P76" s="54">
        <v>382.17</v>
      </c>
      <c r="Q76" s="54">
        <v>33.209099999999999</v>
      </c>
      <c r="R76" s="54"/>
      <c r="S76" s="54"/>
      <c r="T76" s="54"/>
      <c r="U76" s="54"/>
      <c r="V76" s="54"/>
      <c r="W76" s="15">
        <v>0</v>
      </c>
      <c r="X76" s="15">
        <v>0</v>
      </c>
      <c r="Y76" s="15">
        <v>0</v>
      </c>
      <c r="Z76" s="16">
        <f t="shared" si="77"/>
        <v>0</v>
      </c>
      <c r="AA76" s="15" t="e">
        <f t="shared" si="76"/>
        <v>#DIV/0!</v>
      </c>
      <c r="AB76" s="15" t="e">
        <f t="shared" si="67"/>
        <v>#DIV/0!</v>
      </c>
      <c r="AC76" s="15" t="e">
        <f t="shared" si="67"/>
        <v>#DIV/0!</v>
      </c>
      <c r="AD76" s="16">
        <f t="shared" si="78"/>
        <v>8.7152750758694702E-3</v>
      </c>
      <c r="AE76" s="12"/>
      <c r="AF76" s="26"/>
      <c r="AG76" s="21"/>
      <c r="AH76" s="36"/>
      <c r="AI76" s="26"/>
      <c r="AJ76" s="21"/>
      <c r="AK76" s="21"/>
      <c r="AL76" s="26"/>
      <c r="AM76" s="21"/>
      <c r="AN76" s="36"/>
      <c r="AO76" s="21"/>
      <c r="AP76" s="21"/>
      <c r="AQ76" s="36"/>
      <c r="AR76" s="21"/>
      <c r="AS76" s="21"/>
      <c r="AT76" s="36"/>
      <c r="AU76" s="26"/>
      <c r="AV76" s="21"/>
      <c r="AW76" s="36"/>
      <c r="AX76" s="15" t="e">
        <f>V76/J76</f>
        <v>#DIV/0!</v>
      </c>
      <c r="AY76" s="15" t="e">
        <f t="shared" si="90"/>
        <v>#DIV/0!</v>
      </c>
      <c r="AZ76" s="15" t="e">
        <f t="shared" si="85"/>
        <v>#DIV/0!</v>
      </c>
      <c r="BA76" s="15" t="e">
        <f>V76/J76</f>
        <v>#DIV/0!</v>
      </c>
      <c r="BB76" s="15" t="e">
        <f t="shared" si="88"/>
        <v>#DIV/0!</v>
      </c>
      <c r="BC76" s="15" t="e">
        <f t="shared" si="82"/>
        <v>#DIV/0!</v>
      </c>
    </row>
    <row r="77" spans="1:55" ht="15.75" thickBot="1" x14ac:dyDescent="0.25">
      <c r="A77" s="17"/>
      <c r="B77" s="17"/>
      <c r="C77" s="44">
        <v>42</v>
      </c>
      <c r="D77" s="53">
        <v>166.86</v>
      </c>
      <c r="E77" s="53">
        <v>30.163699999999999</v>
      </c>
      <c r="F77" s="53"/>
      <c r="G77" s="53"/>
      <c r="H77" s="53"/>
      <c r="I77" s="53"/>
      <c r="J77" s="53"/>
      <c r="K77" s="19">
        <v>0</v>
      </c>
      <c r="L77" s="19">
        <v>0</v>
      </c>
      <c r="M77" s="19">
        <v>0</v>
      </c>
      <c r="N77" s="20">
        <f t="shared" si="75"/>
        <v>0</v>
      </c>
      <c r="P77" s="54">
        <v>169.14</v>
      </c>
      <c r="Q77" s="54">
        <v>30.190100000000001</v>
      </c>
      <c r="R77" s="54"/>
      <c r="S77" s="54"/>
      <c r="T77" s="54"/>
      <c r="U77" s="54"/>
      <c r="V77" s="54"/>
      <c r="W77" s="19">
        <v>0</v>
      </c>
      <c r="X77" s="19">
        <v>0</v>
      </c>
      <c r="Y77" s="19">
        <v>0</v>
      </c>
      <c r="Z77" s="20">
        <f t="shared" si="77"/>
        <v>0</v>
      </c>
      <c r="AA77" s="19" t="e">
        <f t="shared" si="76"/>
        <v>#DIV/0!</v>
      </c>
      <c r="AB77" s="19" t="e">
        <f t="shared" si="67"/>
        <v>#DIV/0!</v>
      </c>
      <c r="AC77" s="19" t="e">
        <f t="shared" si="67"/>
        <v>#DIV/0!</v>
      </c>
      <c r="AD77" s="20">
        <f t="shared" si="78"/>
        <v>1.3664149586479518E-2</v>
      </c>
      <c r="AE77" s="41"/>
      <c r="AF77" s="27"/>
      <c r="AG77" s="37"/>
      <c r="AH77" s="38"/>
      <c r="AI77" s="27"/>
      <c r="AJ77" s="37"/>
      <c r="AK77" s="37"/>
      <c r="AL77" s="26"/>
      <c r="AM77" s="21"/>
      <c r="AN77" s="36"/>
      <c r="AO77" s="21"/>
      <c r="AP77" s="21"/>
      <c r="AQ77" s="36"/>
      <c r="AR77" s="37"/>
      <c r="AS77" s="37"/>
      <c r="AT77" s="38"/>
      <c r="AU77" s="27"/>
      <c r="AV77" s="37"/>
      <c r="AW77" s="38"/>
      <c r="AX77" s="19" t="e">
        <f>V77/J77</f>
        <v>#DIV/0!</v>
      </c>
      <c r="AY77" s="19" t="e">
        <f t="shared" si="90"/>
        <v>#DIV/0!</v>
      </c>
      <c r="AZ77" s="19" t="e">
        <f t="shared" si="85"/>
        <v>#DIV/0!</v>
      </c>
      <c r="BA77" s="19"/>
      <c r="BB77" s="19"/>
      <c r="BC77" s="19"/>
    </row>
    <row r="78" spans="1:55" ht="15" x14ac:dyDescent="0.2">
      <c r="A78" s="48" t="s">
        <v>6</v>
      </c>
      <c r="B78" s="8" t="s">
        <v>29</v>
      </c>
      <c r="C78" s="39">
        <f>C73</f>
        <v>22</v>
      </c>
      <c r="D78" s="53">
        <v>621.6</v>
      </c>
      <c r="E78" s="53">
        <v>44.232199999999999</v>
      </c>
      <c r="F78" s="53"/>
      <c r="G78" s="53"/>
      <c r="H78" s="53"/>
      <c r="I78" s="53"/>
      <c r="J78" s="53"/>
      <c r="K78" s="10">
        <v>0</v>
      </c>
      <c r="L78" s="10">
        <v>0</v>
      </c>
      <c r="M78" s="10">
        <v>0</v>
      </c>
      <c r="N78" s="11">
        <f t="shared" si="75"/>
        <v>0</v>
      </c>
      <c r="P78" s="54">
        <v>623.29999999999995</v>
      </c>
      <c r="Q78" s="54">
        <v>44.227899999999998</v>
      </c>
      <c r="R78" s="54"/>
      <c r="S78" s="54"/>
      <c r="T78" s="54"/>
      <c r="U78" s="54"/>
      <c r="V78" s="54"/>
      <c r="W78" s="10">
        <v>0</v>
      </c>
      <c r="X78" s="10">
        <v>0</v>
      </c>
      <c r="Y78" s="10">
        <v>0</v>
      </c>
      <c r="Z78" s="11">
        <f t="shared" si="77"/>
        <v>0</v>
      </c>
      <c r="AA78" s="10" t="e">
        <f t="shared" si="76"/>
        <v>#DIV/0!</v>
      </c>
      <c r="AB78" s="10" t="e">
        <f>X78/L78</f>
        <v>#DIV/0!</v>
      </c>
      <c r="AC78" s="10" t="e">
        <f>Y78/M78</f>
        <v>#DIV/0!</v>
      </c>
      <c r="AD78" s="11">
        <f>ABS(P93-D78)/D78</f>
        <v>2.847490347490318E-3</v>
      </c>
      <c r="AE78" s="40"/>
      <c r="AF78" s="25">
        <f>bdRateExtend($D78:$D82,E78:E82,P78:P82,Q78:Q82)</f>
        <v>-6.261746455325512E-3</v>
      </c>
      <c r="AG78" s="30" t="e">
        <f>bdRateExtend($D78:$D82,F78:F82,$P93:$P97,R78:R82)</f>
        <v>#VALUE!</v>
      </c>
      <c r="AH78" s="31" t="e">
        <f>bdRateExtend($D78:$D82,G78:G82,$P93:$P97,S78:S82)</f>
        <v>#VALUE!</v>
      </c>
      <c r="AI78" s="25" t="e">
        <f>bdRateExtend($D78:$D82,H78:H82,$P93:$P97,T78:T82)</f>
        <v>#VALUE!</v>
      </c>
      <c r="AJ78" s="30" t="e">
        <f>bdRateExtend($D78:$D82,I78:I82,$P93:$P97,U78:U82)</f>
        <v>#VALUE!</v>
      </c>
      <c r="AK78" s="30" t="e">
        <f>bdRateExtend($D78:$D82,J78:J82,$P93:$P97,V78:V82)</f>
        <v>#VALUE!</v>
      </c>
      <c r="AL78" s="45"/>
      <c r="AM78" s="46"/>
      <c r="AN78" s="47"/>
      <c r="AO78" s="46"/>
      <c r="AP78" s="46"/>
      <c r="AQ78" s="47"/>
      <c r="AR78" s="30">
        <f>bdrate($D78:$D81,E78:E81,$P78:$P81,Q78:Q81)</f>
        <v>-5.5702235376912101E-3</v>
      </c>
      <c r="AS78" s="30" t="e">
        <f>bdrate($D78:$D81,F78:F81,$P93:$P96,R78:R81)</f>
        <v>#VALUE!</v>
      </c>
      <c r="AT78" s="31" t="e">
        <f>bdrate($D78:$D81,G78:G81,$P93:$P96,S78:S81)</f>
        <v>#VALUE!</v>
      </c>
      <c r="AU78" s="25" t="e">
        <f>bdrate($D78:$D81,H78:H81,$P93:$P96,T78:T81)</f>
        <v>#VALUE!</v>
      </c>
      <c r="AV78" s="30" t="e">
        <f>bdrate($D78:$D81,I78:I81,$P93:$P96,U78:U81)</f>
        <v>#VALUE!</v>
      </c>
      <c r="AW78" s="31" t="e">
        <f>bdrate($D78:$D81,J78:J81,$P93:$P96,V78:V81)</f>
        <v>#VALUE!</v>
      </c>
      <c r="AX78" s="10"/>
      <c r="AY78" s="10"/>
      <c r="AZ78" s="10"/>
      <c r="BA78" s="10" t="e">
        <f>V78/J78</f>
        <v>#DIV/0!</v>
      </c>
      <c r="BB78" s="10" t="e">
        <f t="shared" ref="BB78:BB81" si="91">X78/L78</f>
        <v>#DIV/0!</v>
      </c>
      <c r="BC78" s="10" t="e">
        <f t="shared" si="82"/>
        <v>#DIV/0!</v>
      </c>
    </row>
    <row r="79" spans="1:55" ht="15" x14ac:dyDescent="0.2">
      <c r="A79" s="13" t="s">
        <v>22</v>
      </c>
      <c r="B79" s="13"/>
      <c r="C79" s="43">
        <f>C74</f>
        <v>27</v>
      </c>
      <c r="D79" s="53">
        <v>367.35</v>
      </c>
      <c r="E79" s="53">
        <v>40.735599999999998</v>
      </c>
      <c r="F79" s="53"/>
      <c r="G79" s="53"/>
      <c r="H79" s="53"/>
      <c r="I79" s="53"/>
      <c r="J79" s="53"/>
      <c r="K79" s="15">
        <v>0</v>
      </c>
      <c r="L79" s="15">
        <v>0</v>
      </c>
      <c r="M79" s="15">
        <v>0</v>
      </c>
      <c r="N79" s="16">
        <f t="shared" si="75"/>
        <v>0</v>
      </c>
      <c r="P79" s="54">
        <v>367.4</v>
      </c>
      <c r="Q79" s="54">
        <v>40.788200000000003</v>
      </c>
      <c r="R79" s="54"/>
      <c r="S79" s="54"/>
      <c r="T79" s="54"/>
      <c r="U79" s="54"/>
      <c r="V79" s="54"/>
      <c r="W79" s="15">
        <v>0</v>
      </c>
      <c r="X79" s="15">
        <v>0</v>
      </c>
      <c r="Y79" s="15">
        <v>0</v>
      </c>
      <c r="Z79" s="16">
        <f t="shared" si="77"/>
        <v>0</v>
      </c>
      <c r="AA79" s="15" t="e">
        <f t="shared" si="76"/>
        <v>#DIV/0!</v>
      </c>
      <c r="AB79" s="15" t="e">
        <f t="shared" ref="AB79:AC97" si="92">X79/L79</f>
        <v>#DIV/0!</v>
      </c>
      <c r="AC79" s="15" t="e">
        <f t="shared" si="92"/>
        <v>#DIV/0!</v>
      </c>
      <c r="AD79" s="16">
        <f>ABS(P94-D79)/D79</f>
        <v>4.3364638628011293E-2</v>
      </c>
      <c r="AE79" s="12"/>
      <c r="AF79" s="26"/>
      <c r="AG79" s="21"/>
      <c r="AH79" s="36"/>
      <c r="AI79" s="26"/>
      <c r="AJ79" s="21"/>
      <c r="AK79" s="21"/>
      <c r="AL79" s="26">
        <f>bdrate($D79:$D82,E79:E82,P79:P82,Q79:Q82)</f>
        <v>-6.7555691732212875E-3</v>
      </c>
      <c r="AM79" s="21" t="e">
        <f>bdrate($D79:$D82,F79:F82,$P94:$P97,R79:R82)</f>
        <v>#VALUE!</v>
      </c>
      <c r="AN79" s="36" t="e">
        <f>bdrate($D79:$D82,G79:G82,$P94:$P97,S79:S82)</f>
        <v>#VALUE!</v>
      </c>
      <c r="AO79" s="26" t="e">
        <f>bdrate($D79:$D82,H79:H82,$P94:$P97,T79:T82)</f>
        <v>#VALUE!</v>
      </c>
      <c r="AP79" s="21" t="e">
        <f>bdrate($D79:$D82,I79:I82,$P94:$P97,U79:U82)</f>
        <v>#VALUE!</v>
      </c>
      <c r="AQ79" s="36" t="e">
        <f>bdrate($D79:$D82,J79:J82,$P94:$P97,V79:V82)</f>
        <v>#VALUE!</v>
      </c>
      <c r="AR79" s="21"/>
      <c r="AS79" s="21"/>
      <c r="AT79" s="36"/>
      <c r="AU79" s="26"/>
      <c r="AV79" s="21"/>
      <c r="AW79" s="36"/>
      <c r="AX79" s="15" t="e">
        <f>V79/J79</f>
        <v>#DIV/0!</v>
      </c>
      <c r="AY79" s="15" t="e">
        <f t="shared" ref="AY79:AY82" si="93">X79/L79</f>
        <v>#DIV/0!</v>
      </c>
      <c r="AZ79" s="15" t="e">
        <f t="shared" si="85"/>
        <v>#DIV/0!</v>
      </c>
      <c r="BA79" s="15" t="e">
        <f>V79/J79</f>
        <v>#DIV/0!</v>
      </c>
      <c r="BB79" s="15" t="e">
        <f t="shared" si="91"/>
        <v>#DIV/0!</v>
      </c>
      <c r="BC79" s="15" t="e">
        <f t="shared" si="82"/>
        <v>#DIV/0!</v>
      </c>
    </row>
    <row r="80" spans="1:55" ht="15" x14ac:dyDescent="0.2">
      <c r="A80" s="13"/>
      <c r="B80" s="13"/>
      <c r="C80" s="43">
        <f>C75</f>
        <v>32</v>
      </c>
      <c r="D80" s="53">
        <v>206</v>
      </c>
      <c r="E80" s="53">
        <v>37.418500000000002</v>
      </c>
      <c r="F80" s="53"/>
      <c r="G80" s="53"/>
      <c r="H80" s="53"/>
      <c r="I80" s="53"/>
      <c r="J80" s="53"/>
      <c r="K80" s="15">
        <v>0</v>
      </c>
      <c r="L80" s="15">
        <v>0</v>
      </c>
      <c r="M80" s="15">
        <v>0</v>
      </c>
      <c r="N80" s="16">
        <f t="shared" si="75"/>
        <v>0</v>
      </c>
      <c r="P80" s="54">
        <v>205.5</v>
      </c>
      <c r="Q80" s="54">
        <v>37.429200000000002</v>
      </c>
      <c r="R80" s="54"/>
      <c r="S80" s="54"/>
      <c r="T80" s="54"/>
      <c r="U80" s="54"/>
      <c r="V80" s="54"/>
      <c r="W80" s="15">
        <v>0</v>
      </c>
      <c r="X80" s="15">
        <v>0</v>
      </c>
      <c r="Y80" s="15">
        <v>0</v>
      </c>
      <c r="Z80" s="16">
        <f t="shared" si="77"/>
        <v>0</v>
      </c>
      <c r="AA80" s="15" t="e">
        <f t="shared" si="76"/>
        <v>#DIV/0!</v>
      </c>
      <c r="AB80" s="15" t="e">
        <f t="shared" si="92"/>
        <v>#DIV/0!</v>
      </c>
      <c r="AC80" s="15" t="e">
        <f t="shared" si="92"/>
        <v>#DIV/0!</v>
      </c>
      <c r="AD80" s="16">
        <f>ABS(P95-D80)/D80</f>
        <v>7.8398058252427211E-2</v>
      </c>
      <c r="AE80" s="12"/>
      <c r="AF80" s="26"/>
      <c r="AG80" s="21"/>
      <c r="AH80" s="36"/>
      <c r="AI80" s="26"/>
      <c r="AJ80" s="21"/>
      <c r="AK80" s="21"/>
      <c r="AL80" s="26"/>
      <c r="AM80" s="21"/>
      <c r="AN80" s="36"/>
      <c r="AO80" s="21"/>
      <c r="AP80" s="21"/>
      <c r="AQ80" s="36"/>
      <c r="AR80" s="21"/>
      <c r="AS80" s="21"/>
      <c r="AT80" s="36"/>
      <c r="AU80" s="26"/>
      <c r="AV80" s="21"/>
      <c r="AW80" s="36"/>
      <c r="AX80" s="15" t="e">
        <f>V80/J80</f>
        <v>#DIV/0!</v>
      </c>
      <c r="AY80" s="15" t="e">
        <f t="shared" si="93"/>
        <v>#DIV/0!</v>
      </c>
      <c r="AZ80" s="15" t="e">
        <f t="shared" si="85"/>
        <v>#DIV/0!</v>
      </c>
      <c r="BA80" s="15" t="e">
        <f>V80/J80</f>
        <v>#DIV/0!</v>
      </c>
      <c r="BB80" s="15" t="e">
        <f t="shared" si="91"/>
        <v>#DIV/0!</v>
      </c>
      <c r="BC80" s="15" t="e">
        <f t="shared" si="82"/>
        <v>#DIV/0!</v>
      </c>
    </row>
    <row r="81" spans="1:55" ht="15" x14ac:dyDescent="0.2">
      <c r="A81" s="13"/>
      <c r="B81" s="13"/>
      <c r="C81" s="43">
        <f>C76</f>
        <v>37</v>
      </c>
      <c r="D81" s="53">
        <v>111.85</v>
      </c>
      <c r="E81" s="53">
        <v>34.485399999999998</v>
      </c>
      <c r="F81" s="53"/>
      <c r="G81" s="53"/>
      <c r="H81" s="53"/>
      <c r="I81" s="53"/>
      <c r="J81" s="53"/>
      <c r="K81" s="15">
        <v>0</v>
      </c>
      <c r="L81" s="15">
        <v>0</v>
      </c>
      <c r="M81" s="15">
        <v>0</v>
      </c>
      <c r="N81" s="16">
        <f t="shared" si="75"/>
        <v>0</v>
      </c>
      <c r="P81" s="54">
        <v>111.25</v>
      </c>
      <c r="Q81" s="54">
        <v>34.5047</v>
      </c>
      <c r="R81" s="54"/>
      <c r="S81" s="54"/>
      <c r="T81" s="54"/>
      <c r="U81" s="54"/>
      <c r="V81" s="54"/>
      <c r="W81" s="15">
        <v>0</v>
      </c>
      <c r="X81" s="15">
        <v>0</v>
      </c>
      <c r="Y81" s="15">
        <v>0</v>
      </c>
      <c r="Z81" s="16">
        <f t="shared" si="77"/>
        <v>0</v>
      </c>
      <c r="AA81" s="15" t="e">
        <f t="shared" si="76"/>
        <v>#DIV/0!</v>
      </c>
      <c r="AB81" s="15" t="e">
        <f t="shared" si="92"/>
        <v>#DIV/0!</v>
      </c>
      <c r="AC81" s="15" t="e">
        <f t="shared" si="92"/>
        <v>#DIV/0!</v>
      </c>
      <c r="AD81" s="16">
        <f>ABS(P96-D81)/D81</f>
        <v>9.2981671881984862E-2</v>
      </c>
      <c r="AE81" s="12"/>
      <c r="AF81" s="26"/>
      <c r="AG81" s="21"/>
      <c r="AH81" s="36"/>
      <c r="AI81" s="26"/>
      <c r="AJ81" s="21"/>
      <c r="AK81" s="21"/>
      <c r="AL81" s="26"/>
      <c r="AM81" s="21"/>
      <c r="AN81" s="36"/>
      <c r="AO81" s="21"/>
      <c r="AP81" s="21"/>
      <c r="AQ81" s="36"/>
      <c r="AR81" s="21"/>
      <c r="AS81" s="21"/>
      <c r="AT81" s="36"/>
      <c r="AU81" s="26"/>
      <c r="AV81" s="21"/>
      <c r="AW81" s="36"/>
      <c r="AX81" s="15" t="e">
        <f>V81/J81</f>
        <v>#DIV/0!</v>
      </c>
      <c r="AY81" s="15" t="e">
        <f t="shared" si="93"/>
        <v>#DIV/0!</v>
      </c>
      <c r="AZ81" s="15" t="e">
        <f t="shared" si="85"/>
        <v>#DIV/0!</v>
      </c>
      <c r="BA81" s="15" t="e">
        <f>V81/J81</f>
        <v>#DIV/0!</v>
      </c>
      <c r="BB81" s="15" t="e">
        <f t="shared" si="91"/>
        <v>#DIV/0!</v>
      </c>
      <c r="BC81" s="15" t="e">
        <f t="shared" si="82"/>
        <v>#DIV/0!</v>
      </c>
    </row>
    <row r="82" spans="1:55" ht="15.75" thickBot="1" x14ac:dyDescent="0.25">
      <c r="A82" s="13"/>
      <c r="B82" s="17"/>
      <c r="C82" s="44">
        <f>C77</f>
        <v>42</v>
      </c>
      <c r="D82" s="53">
        <v>61.7</v>
      </c>
      <c r="E82" s="53">
        <v>31.7728</v>
      </c>
      <c r="F82" s="53"/>
      <c r="G82" s="53"/>
      <c r="H82" s="53"/>
      <c r="I82" s="53"/>
      <c r="J82" s="53"/>
      <c r="K82" s="19">
        <v>0</v>
      </c>
      <c r="L82" s="19">
        <v>0</v>
      </c>
      <c r="M82" s="19">
        <v>0</v>
      </c>
      <c r="N82" s="20">
        <f t="shared" si="75"/>
        <v>0</v>
      </c>
      <c r="P82" s="54">
        <v>61.15</v>
      </c>
      <c r="Q82" s="54">
        <v>31.754999999999999</v>
      </c>
      <c r="R82" s="54"/>
      <c r="S82" s="54"/>
      <c r="T82" s="54"/>
      <c r="U82" s="54"/>
      <c r="V82" s="54"/>
      <c r="W82" s="19">
        <v>0</v>
      </c>
      <c r="X82" s="19">
        <v>0</v>
      </c>
      <c r="Y82" s="19">
        <v>0</v>
      </c>
      <c r="Z82" s="20">
        <f t="shared" si="77"/>
        <v>0</v>
      </c>
      <c r="AA82" s="15" t="e">
        <f t="shared" si="76"/>
        <v>#DIV/0!</v>
      </c>
      <c r="AB82" s="15" t="e">
        <f t="shared" si="92"/>
        <v>#DIV/0!</v>
      </c>
      <c r="AC82" s="15" t="e">
        <f t="shared" si="92"/>
        <v>#DIV/0!</v>
      </c>
      <c r="AD82" s="20">
        <f>ABS(P97-D82)/D82</f>
        <v>8.3306320907617512E-2</v>
      </c>
      <c r="AE82" s="12"/>
      <c r="AF82" s="27"/>
      <c r="AG82" s="37"/>
      <c r="AH82" s="38"/>
      <c r="AI82" s="27"/>
      <c r="AJ82" s="37"/>
      <c r="AK82" s="37"/>
      <c r="AL82" s="27"/>
      <c r="AM82" s="37"/>
      <c r="AN82" s="38"/>
      <c r="AO82" s="37"/>
      <c r="AP82" s="37"/>
      <c r="AQ82" s="38"/>
      <c r="AR82" s="37"/>
      <c r="AS82" s="37"/>
      <c r="AT82" s="38"/>
      <c r="AU82" s="27"/>
      <c r="AV82" s="37"/>
      <c r="AW82" s="38"/>
      <c r="AX82" s="15" t="e">
        <f>V82/J82</f>
        <v>#DIV/0!</v>
      </c>
      <c r="AY82" s="15" t="e">
        <f t="shared" si="93"/>
        <v>#DIV/0!</v>
      </c>
      <c r="AZ82" s="15" t="e">
        <f t="shared" si="85"/>
        <v>#DIV/0!</v>
      </c>
      <c r="BA82" s="15"/>
      <c r="BB82" s="15"/>
      <c r="BC82" s="15"/>
    </row>
    <row r="83" spans="1:55" ht="15" x14ac:dyDescent="0.2">
      <c r="A83" s="13"/>
      <c r="B83" s="8" t="s">
        <v>31</v>
      </c>
      <c r="C83" s="39">
        <v>22</v>
      </c>
      <c r="D83" s="53">
        <v>1129.75</v>
      </c>
      <c r="E83" s="53">
        <v>42.3825</v>
      </c>
      <c r="F83" s="53"/>
      <c r="G83" s="53"/>
      <c r="H83" s="53"/>
      <c r="I83" s="53"/>
      <c r="J83" s="53"/>
      <c r="K83" s="10">
        <v>0</v>
      </c>
      <c r="L83" s="10">
        <v>0</v>
      </c>
      <c r="M83" s="10">
        <v>0</v>
      </c>
      <c r="N83" s="11">
        <f t="shared" si="75"/>
        <v>0</v>
      </c>
      <c r="P83" s="54">
        <v>1131.0999999999999</v>
      </c>
      <c r="Q83" s="54">
        <v>42.398699999999998</v>
      </c>
      <c r="R83" s="54"/>
      <c r="S83" s="54"/>
      <c r="T83" s="54"/>
      <c r="U83" s="54"/>
      <c r="V83" s="54"/>
      <c r="W83" s="10">
        <v>0</v>
      </c>
      <c r="X83" s="10">
        <v>0</v>
      </c>
      <c r="Y83" s="10">
        <v>0</v>
      </c>
      <c r="Z83" s="11">
        <f t="shared" si="77"/>
        <v>0</v>
      </c>
      <c r="AA83" s="15" t="e">
        <f t="shared" si="76"/>
        <v>#DIV/0!</v>
      </c>
      <c r="AB83" s="15" t="e">
        <f t="shared" si="92"/>
        <v>#DIV/0!</v>
      </c>
      <c r="AC83" s="15" t="e">
        <f t="shared" si="92"/>
        <v>#DIV/0!</v>
      </c>
      <c r="AD83" s="11">
        <f t="shared" si="78"/>
        <v>1.1949546359813312E-3</v>
      </c>
      <c r="AE83" s="12"/>
      <c r="AF83" s="25">
        <f t="shared" ref="AF83:AK83" si="94">bdRateExtend($D83:$D87,E83:E87,$P83:$P87,Q83:Q87)</f>
        <v>1.9479359796881202E-3</v>
      </c>
      <c r="AG83" s="30" t="e">
        <f t="shared" si="94"/>
        <v>#VALUE!</v>
      </c>
      <c r="AH83" s="31" t="e">
        <f t="shared" si="94"/>
        <v>#VALUE!</v>
      </c>
      <c r="AI83" s="25" t="e">
        <f t="shared" si="94"/>
        <v>#VALUE!</v>
      </c>
      <c r="AJ83" s="30" t="e">
        <f t="shared" si="94"/>
        <v>#VALUE!</v>
      </c>
      <c r="AK83" s="30" t="e">
        <f t="shared" si="94"/>
        <v>#VALUE!</v>
      </c>
      <c r="AL83" s="26"/>
      <c r="AM83" s="21"/>
      <c r="AN83" s="36"/>
      <c r="AO83" s="21"/>
      <c r="AP83" s="21"/>
      <c r="AQ83" s="36"/>
      <c r="AR83" s="30">
        <f t="shared" ref="AR83:AW83" si="95">bdrate($D83:$D86,E83:E86,$P83:$P86,Q83:Q86)</f>
        <v>4.9850960163078106E-4</v>
      </c>
      <c r="AS83" s="30" t="e">
        <f t="shared" si="95"/>
        <v>#VALUE!</v>
      </c>
      <c r="AT83" s="31" t="e">
        <f t="shared" si="95"/>
        <v>#VALUE!</v>
      </c>
      <c r="AU83" s="25" t="e">
        <f t="shared" si="95"/>
        <v>#VALUE!</v>
      </c>
      <c r="AV83" s="30" t="e">
        <f t="shared" si="95"/>
        <v>#VALUE!</v>
      </c>
      <c r="AW83" s="31" t="e">
        <f t="shared" si="95"/>
        <v>#VALUE!</v>
      </c>
      <c r="AX83" s="15"/>
      <c r="AY83" s="15"/>
      <c r="AZ83" s="15"/>
      <c r="BA83" s="15" t="e">
        <f>V83/J83</f>
        <v>#DIV/0!</v>
      </c>
      <c r="BB83" s="15" t="e">
        <f t="shared" ref="BB83:BB86" si="96">X83/L83</f>
        <v>#DIV/0!</v>
      </c>
      <c r="BC83" s="15" t="e">
        <f t="shared" si="82"/>
        <v>#DIV/0!</v>
      </c>
    </row>
    <row r="84" spans="1:55" ht="15" x14ac:dyDescent="0.2">
      <c r="A84" s="13"/>
      <c r="C84" s="43">
        <v>27</v>
      </c>
      <c r="D84" s="53">
        <v>655.5</v>
      </c>
      <c r="E84" s="53">
        <v>38.493099999999998</v>
      </c>
      <c r="F84" s="53"/>
      <c r="G84" s="53"/>
      <c r="H84" s="53"/>
      <c r="I84" s="53"/>
      <c r="J84" s="53"/>
      <c r="K84" s="15">
        <v>0</v>
      </c>
      <c r="L84" s="15">
        <v>0</v>
      </c>
      <c r="M84" s="15">
        <v>0</v>
      </c>
      <c r="N84" s="16">
        <f t="shared" si="75"/>
        <v>0</v>
      </c>
      <c r="P84" s="54">
        <v>655.1</v>
      </c>
      <c r="Q84" s="54">
        <v>38.489100000000001</v>
      </c>
      <c r="R84" s="54"/>
      <c r="S84" s="54"/>
      <c r="T84" s="54"/>
      <c r="U84" s="54"/>
      <c r="V84" s="54"/>
      <c r="W84" s="15">
        <v>0</v>
      </c>
      <c r="X84" s="15">
        <v>0</v>
      </c>
      <c r="Y84" s="15">
        <v>0</v>
      </c>
      <c r="Z84" s="16">
        <f t="shared" si="77"/>
        <v>0</v>
      </c>
      <c r="AA84" s="15" t="e">
        <f t="shared" si="76"/>
        <v>#DIV/0!</v>
      </c>
      <c r="AB84" s="15" t="e">
        <f t="shared" si="92"/>
        <v>#DIV/0!</v>
      </c>
      <c r="AC84" s="15" t="e">
        <f t="shared" si="92"/>
        <v>#DIV/0!</v>
      </c>
      <c r="AD84" s="16">
        <f t="shared" si="78"/>
        <v>6.1022120518684558E-4</v>
      </c>
      <c r="AE84" s="12"/>
      <c r="AF84" s="26"/>
      <c r="AG84" s="21"/>
      <c r="AH84" s="36"/>
      <c r="AI84" s="26"/>
      <c r="AJ84" s="21"/>
      <c r="AK84" s="21"/>
      <c r="AL84" s="26">
        <f>bdrate($D84:$D87,E84:E87,$P84:$P87,Q84:Q87)</f>
        <v>2.6877930622934976E-3</v>
      </c>
      <c r="AM84" s="21" t="e">
        <f>bdrate($D84:$D87,F84:F87,$P84:$P87,R84:R87)</f>
        <v>#VALUE!</v>
      </c>
      <c r="AN84" s="36" t="e">
        <f t="shared" ref="AN84" si="97">bdrate($D84:$D87,G84:G87,$P84:$P87,S84:S87)</f>
        <v>#VALUE!</v>
      </c>
      <c r="AO84" s="26" t="e">
        <f>bdrate($D84:$D87,H84:H87,$P84:$P87,T84:T87)</f>
        <v>#VALUE!</v>
      </c>
      <c r="AP84" s="21" t="e">
        <f>bdrate($D84:$D87,I84:I87,$P84:$P87,U84:U87)</f>
        <v>#VALUE!</v>
      </c>
      <c r="AQ84" s="36" t="e">
        <f>bdrate($D84:$D87,J84:J87,$P84:$P87,V84:V87)</f>
        <v>#VALUE!</v>
      </c>
      <c r="AR84" s="21"/>
      <c r="AS84" s="21"/>
      <c r="AT84" s="36"/>
      <c r="AU84" s="26"/>
      <c r="AV84" s="21"/>
      <c r="AW84" s="36"/>
      <c r="AX84" s="15" t="e">
        <f>V84/J84</f>
        <v>#DIV/0!</v>
      </c>
      <c r="AY84" s="15" t="e">
        <f t="shared" ref="AY84:AY87" si="98">X84/L84</f>
        <v>#DIV/0!</v>
      </c>
      <c r="AZ84" s="15" t="e">
        <f t="shared" si="85"/>
        <v>#DIV/0!</v>
      </c>
      <c r="BA84" s="15" t="e">
        <f>V84/J84</f>
        <v>#DIV/0!</v>
      </c>
      <c r="BB84" s="15" t="e">
        <f t="shared" si="96"/>
        <v>#DIV/0!</v>
      </c>
      <c r="BC84" s="15" t="e">
        <f t="shared" si="82"/>
        <v>#DIV/0!</v>
      </c>
    </row>
    <row r="85" spans="1:55" ht="15" x14ac:dyDescent="0.2">
      <c r="A85" s="13"/>
      <c r="B85" s="13"/>
      <c r="C85" s="43">
        <v>32</v>
      </c>
      <c r="D85" s="53">
        <v>361.5</v>
      </c>
      <c r="E85" s="53">
        <v>35.081299999999999</v>
      </c>
      <c r="F85" s="53"/>
      <c r="G85" s="53"/>
      <c r="H85" s="53"/>
      <c r="I85" s="53"/>
      <c r="J85" s="53"/>
      <c r="K85" s="15">
        <v>0</v>
      </c>
      <c r="L85" s="15">
        <v>0</v>
      </c>
      <c r="M85" s="15">
        <v>0</v>
      </c>
      <c r="N85" s="16">
        <f t="shared" si="75"/>
        <v>0</v>
      </c>
      <c r="P85" s="54">
        <v>363.65</v>
      </c>
      <c r="Q85" s="54">
        <v>35.115299999999998</v>
      </c>
      <c r="R85" s="54"/>
      <c r="S85" s="54"/>
      <c r="T85" s="54"/>
      <c r="U85" s="54"/>
      <c r="V85" s="54"/>
      <c r="W85" s="15">
        <v>0</v>
      </c>
      <c r="X85" s="15">
        <v>0</v>
      </c>
      <c r="Y85" s="15">
        <v>0</v>
      </c>
      <c r="Z85" s="16">
        <f t="shared" si="77"/>
        <v>0</v>
      </c>
      <c r="AA85" s="15" t="e">
        <f t="shared" si="76"/>
        <v>#DIV/0!</v>
      </c>
      <c r="AB85" s="15" t="e">
        <f t="shared" si="92"/>
        <v>#DIV/0!</v>
      </c>
      <c r="AC85" s="15" t="e">
        <f t="shared" si="92"/>
        <v>#DIV/0!</v>
      </c>
      <c r="AD85" s="16">
        <f t="shared" si="78"/>
        <v>5.947441217150698E-3</v>
      </c>
      <c r="AE85" s="12"/>
      <c r="AF85" s="26"/>
      <c r="AG85" s="21"/>
      <c r="AH85" s="36"/>
      <c r="AI85" s="26"/>
      <c r="AJ85" s="21"/>
      <c r="AK85" s="21"/>
      <c r="AL85" s="26"/>
      <c r="AM85" s="21"/>
      <c r="AN85" s="36"/>
      <c r="AO85" s="21"/>
      <c r="AP85" s="21"/>
      <c r="AQ85" s="36"/>
      <c r="AR85" s="21"/>
      <c r="AS85" s="21"/>
      <c r="AT85" s="36"/>
      <c r="AU85" s="26"/>
      <c r="AV85" s="21"/>
      <c r="AW85" s="36"/>
      <c r="AX85" s="15" t="e">
        <f>V85/J85</f>
        <v>#DIV/0!</v>
      </c>
      <c r="AY85" s="15" t="e">
        <f t="shared" si="98"/>
        <v>#DIV/0!</v>
      </c>
      <c r="AZ85" s="15" t="e">
        <f t="shared" si="85"/>
        <v>#DIV/0!</v>
      </c>
      <c r="BA85" s="15" t="e">
        <f>V85/J85</f>
        <v>#DIV/0!</v>
      </c>
      <c r="BB85" s="15" t="e">
        <f t="shared" si="96"/>
        <v>#DIV/0!</v>
      </c>
      <c r="BC85" s="15" t="e">
        <f t="shared" si="82"/>
        <v>#DIV/0!</v>
      </c>
    </row>
    <row r="86" spans="1:55" ht="15" x14ac:dyDescent="0.2">
      <c r="A86" s="13"/>
      <c r="B86" s="13"/>
      <c r="C86" s="43">
        <v>37</v>
      </c>
      <c r="D86" s="53">
        <v>190.2</v>
      </c>
      <c r="E86" s="53">
        <v>32.142499999999998</v>
      </c>
      <c r="F86" s="53"/>
      <c r="G86" s="53"/>
      <c r="H86" s="53"/>
      <c r="I86" s="53"/>
      <c r="J86" s="53"/>
      <c r="K86" s="15">
        <v>0</v>
      </c>
      <c r="L86" s="15">
        <v>0</v>
      </c>
      <c r="M86" s="15">
        <v>0</v>
      </c>
      <c r="N86" s="16">
        <f t="shared" si="75"/>
        <v>0</v>
      </c>
      <c r="P86" s="54">
        <v>189.85</v>
      </c>
      <c r="Q86" s="54">
        <v>32.100900000000003</v>
      </c>
      <c r="R86" s="54"/>
      <c r="S86" s="54"/>
      <c r="T86" s="54"/>
      <c r="U86" s="54"/>
      <c r="V86" s="54"/>
      <c r="W86" s="15">
        <v>0</v>
      </c>
      <c r="X86" s="15">
        <v>0</v>
      </c>
      <c r="Y86" s="15">
        <v>0</v>
      </c>
      <c r="Z86" s="16">
        <f t="shared" si="77"/>
        <v>0</v>
      </c>
      <c r="AA86" s="15" t="e">
        <f t="shared" si="76"/>
        <v>#DIV/0!</v>
      </c>
      <c r="AB86" s="15" t="e">
        <f t="shared" si="92"/>
        <v>#DIV/0!</v>
      </c>
      <c r="AC86" s="15" t="e">
        <f t="shared" si="92"/>
        <v>#DIV/0!</v>
      </c>
      <c r="AD86" s="16">
        <f t="shared" si="78"/>
        <v>1.840168243953703E-3</v>
      </c>
      <c r="AE86" s="12"/>
      <c r="AF86" s="26"/>
      <c r="AG86" s="21"/>
      <c r="AH86" s="36"/>
      <c r="AI86" s="26"/>
      <c r="AJ86" s="21"/>
      <c r="AK86" s="21"/>
      <c r="AL86" s="26"/>
      <c r="AM86" s="21"/>
      <c r="AN86" s="36"/>
      <c r="AO86" s="21"/>
      <c r="AP86" s="21"/>
      <c r="AQ86" s="36"/>
      <c r="AR86" s="21"/>
      <c r="AS86" s="21"/>
      <c r="AT86" s="36"/>
      <c r="AU86" s="26"/>
      <c r="AV86" s="21"/>
      <c r="AW86" s="36"/>
      <c r="AX86" s="15" t="e">
        <f>V86/J86</f>
        <v>#DIV/0!</v>
      </c>
      <c r="AY86" s="15" t="e">
        <f t="shared" si="98"/>
        <v>#DIV/0!</v>
      </c>
      <c r="AZ86" s="15" t="e">
        <f t="shared" si="85"/>
        <v>#DIV/0!</v>
      </c>
      <c r="BA86" s="15" t="e">
        <f>V86/J86</f>
        <v>#DIV/0!</v>
      </c>
      <c r="BB86" s="15" t="e">
        <f t="shared" si="96"/>
        <v>#DIV/0!</v>
      </c>
      <c r="BC86" s="15" t="e">
        <f t="shared" si="82"/>
        <v>#DIV/0!</v>
      </c>
    </row>
    <row r="87" spans="1:55" ht="15.75" thickBot="1" x14ac:dyDescent="0.25">
      <c r="A87" s="13"/>
      <c r="B87" s="17"/>
      <c r="C87" s="44">
        <v>42</v>
      </c>
      <c r="D87" s="53">
        <v>95.5</v>
      </c>
      <c r="E87" s="53">
        <v>29.471800000000002</v>
      </c>
      <c r="F87" s="53"/>
      <c r="G87" s="53"/>
      <c r="H87" s="53"/>
      <c r="I87" s="53"/>
      <c r="J87" s="53"/>
      <c r="K87" s="19">
        <v>0</v>
      </c>
      <c r="L87" s="19">
        <v>0</v>
      </c>
      <c r="M87" s="19">
        <v>0</v>
      </c>
      <c r="N87" s="20">
        <f t="shared" si="75"/>
        <v>0</v>
      </c>
      <c r="P87" s="54">
        <v>94.9</v>
      </c>
      <c r="Q87" s="54">
        <v>29.4405</v>
      </c>
      <c r="R87" s="54"/>
      <c r="S87" s="54"/>
      <c r="T87" s="54"/>
      <c r="U87" s="54"/>
      <c r="V87" s="54"/>
      <c r="W87" s="19">
        <v>0</v>
      </c>
      <c r="X87" s="19">
        <v>0</v>
      </c>
      <c r="Y87" s="19">
        <v>0</v>
      </c>
      <c r="Z87" s="20">
        <f t="shared" si="77"/>
        <v>0</v>
      </c>
      <c r="AA87" s="15" t="e">
        <f t="shared" si="76"/>
        <v>#DIV/0!</v>
      </c>
      <c r="AB87" s="15" t="e">
        <f t="shared" si="92"/>
        <v>#DIV/0!</v>
      </c>
      <c r="AC87" s="15" t="e">
        <f t="shared" si="92"/>
        <v>#DIV/0!</v>
      </c>
      <c r="AD87" s="20">
        <f t="shared" si="78"/>
        <v>6.2827225130889456E-3</v>
      </c>
      <c r="AE87" s="12"/>
      <c r="AF87" s="27"/>
      <c r="AG87" s="37"/>
      <c r="AH87" s="38"/>
      <c r="AI87" s="27"/>
      <c r="AJ87" s="37"/>
      <c r="AK87" s="37"/>
      <c r="AL87" s="26"/>
      <c r="AM87" s="21"/>
      <c r="AN87" s="36"/>
      <c r="AO87" s="21"/>
      <c r="AP87" s="21"/>
      <c r="AQ87" s="36"/>
      <c r="AR87" s="37"/>
      <c r="AS87" s="37"/>
      <c r="AT87" s="38"/>
      <c r="AU87" s="27"/>
      <c r="AV87" s="37"/>
      <c r="AW87" s="38"/>
      <c r="AX87" s="15" t="e">
        <f>V87/J87</f>
        <v>#DIV/0!</v>
      </c>
      <c r="AY87" s="15" t="e">
        <f t="shared" si="98"/>
        <v>#DIV/0!</v>
      </c>
      <c r="AZ87" s="15" t="e">
        <f t="shared" si="85"/>
        <v>#DIV/0!</v>
      </c>
      <c r="BA87" s="15"/>
      <c r="BB87" s="15"/>
      <c r="BC87" s="15"/>
    </row>
    <row r="88" spans="1:55" ht="15" x14ac:dyDescent="0.2">
      <c r="A88" s="13"/>
      <c r="B88" s="8" t="s">
        <v>30</v>
      </c>
      <c r="C88" s="39">
        <v>22</v>
      </c>
      <c r="D88" s="53">
        <v>1514.34</v>
      </c>
      <c r="E88" s="53">
        <v>43.217700000000001</v>
      </c>
      <c r="F88" s="53"/>
      <c r="G88" s="53"/>
      <c r="H88" s="53"/>
      <c r="I88" s="53"/>
      <c r="J88" s="53"/>
      <c r="K88" s="10">
        <v>0</v>
      </c>
      <c r="L88" s="10">
        <v>0</v>
      </c>
      <c r="M88" s="10">
        <v>0</v>
      </c>
      <c r="N88" s="11">
        <f t="shared" si="75"/>
        <v>0</v>
      </c>
      <c r="P88" s="54">
        <v>1511.82</v>
      </c>
      <c r="Q88" s="54">
        <v>43.203899999999997</v>
      </c>
      <c r="R88" s="54"/>
      <c r="S88" s="54"/>
      <c r="T88" s="54"/>
      <c r="U88" s="54"/>
      <c r="V88" s="54"/>
      <c r="W88" s="10">
        <v>0</v>
      </c>
      <c r="X88" s="10">
        <v>0</v>
      </c>
      <c r="Y88" s="10">
        <v>0</v>
      </c>
      <c r="Z88" s="11">
        <f t="shared" si="77"/>
        <v>0</v>
      </c>
      <c r="AA88" s="15" t="e">
        <f t="shared" si="76"/>
        <v>#DIV/0!</v>
      </c>
      <c r="AB88" s="15" t="e">
        <f t="shared" si="92"/>
        <v>#DIV/0!</v>
      </c>
      <c r="AC88" s="15" t="e">
        <f t="shared" si="92"/>
        <v>#DIV/0!</v>
      </c>
      <c r="AD88" s="11">
        <f t="shared" si="78"/>
        <v>1.6640912872934624E-3</v>
      </c>
      <c r="AE88" s="12"/>
      <c r="AF88" s="25">
        <f t="shared" ref="AF88:AK88" si="99">bdRateExtend($D88:$D92,E88:E92,$P88:$P92,Q88:Q92)</f>
        <v>-1.5362774631518805E-3</v>
      </c>
      <c r="AG88" s="30" t="e">
        <f t="shared" si="99"/>
        <v>#VALUE!</v>
      </c>
      <c r="AH88" s="31" t="e">
        <f t="shared" si="99"/>
        <v>#VALUE!</v>
      </c>
      <c r="AI88" s="25" t="e">
        <f t="shared" si="99"/>
        <v>#VALUE!</v>
      </c>
      <c r="AJ88" s="30" t="e">
        <f t="shared" si="99"/>
        <v>#VALUE!</v>
      </c>
      <c r="AK88" s="30" t="e">
        <f t="shared" si="99"/>
        <v>#VALUE!</v>
      </c>
      <c r="AL88" s="45"/>
      <c r="AM88" s="46"/>
      <c r="AN88" s="47"/>
      <c r="AO88" s="46"/>
      <c r="AP88" s="46"/>
      <c r="AQ88" s="47"/>
      <c r="AR88" s="30">
        <f>bdrate($D88:$D91,E88:E91,$P88:$P91,Q88:Q91)</f>
        <v>-9.6735053099106239E-4</v>
      </c>
      <c r="AS88" s="30" t="e">
        <f t="shared" ref="AS88:AW88" si="100">bdrate($D88:$D91,F88:F91,$P88:$P91,R88:R91)</f>
        <v>#VALUE!</v>
      </c>
      <c r="AT88" s="31" t="e">
        <f t="shared" si="100"/>
        <v>#VALUE!</v>
      </c>
      <c r="AU88" s="25" t="e">
        <f t="shared" si="100"/>
        <v>#VALUE!</v>
      </c>
      <c r="AV88" s="30" t="e">
        <f t="shared" si="100"/>
        <v>#VALUE!</v>
      </c>
      <c r="AW88" s="31" t="e">
        <f t="shared" si="100"/>
        <v>#VALUE!</v>
      </c>
      <c r="AX88" s="15"/>
      <c r="AY88" s="15"/>
      <c r="AZ88" s="15"/>
      <c r="BA88" s="15" t="e">
        <f>V88/J88</f>
        <v>#DIV/0!</v>
      </c>
      <c r="BB88" s="15" t="e">
        <f t="shared" ref="BB88:BB91" si="101">X88/L88</f>
        <v>#DIV/0!</v>
      </c>
      <c r="BC88" s="15" t="e">
        <f t="shared" si="82"/>
        <v>#DIV/0!</v>
      </c>
    </row>
    <row r="89" spans="1:55" ht="15" x14ac:dyDescent="0.2">
      <c r="A89" s="13"/>
      <c r="B89" s="13"/>
      <c r="C89" s="43">
        <v>27</v>
      </c>
      <c r="D89" s="53">
        <v>1001.52</v>
      </c>
      <c r="E89" s="53">
        <v>39.125100000000003</v>
      </c>
      <c r="F89" s="53"/>
      <c r="G89" s="53"/>
      <c r="H89" s="53"/>
      <c r="I89" s="53"/>
      <c r="J89" s="53"/>
      <c r="K89" s="15">
        <v>0</v>
      </c>
      <c r="L89" s="15">
        <v>0</v>
      </c>
      <c r="M89" s="15">
        <v>0</v>
      </c>
      <c r="N89" s="16">
        <f t="shared" si="75"/>
        <v>0</v>
      </c>
      <c r="P89" s="54">
        <v>999.66</v>
      </c>
      <c r="Q89" s="54">
        <v>39.0777</v>
      </c>
      <c r="R89" s="54"/>
      <c r="S89" s="54"/>
      <c r="T89" s="54"/>
      <c r="U89" s="54"/>
      <c r="V89" s="54"/>
      <c r="W89" s="15">
        <v>0</v>
      </c>
      <c r="X89" s="15">
        <v>0</v>
      </c>
      <c r="Y89" s="15">
        <v>0</v>
      </c>
      <c r="Z89" s="16">
        <f t="shared" si="77"/>
        <v>0</v>
      </c>
      <c r="AA89" s="15" t="e">
        <f t="shared" si="76"/>
        <v>#DIV/0!</v>
      </c>
      <c r="AB89" s="15" t="e">
        <f t="shared" si="92"/>
        <v>#DIV/0!</v>
      </c>
      <c r="AC89" s="15" t="e">
        <f t="shared" si="92"/>
        <v>#DIV/0!</v>
      </c>
      <c r="AD89" s="16">
        <f t="shared" si="78"/>
        <v>1.8571770908219643E-3</v>
      </c>
      <c r="AE89" s="12"/>
      <c r="AF89" s="26"/>
      <c r="AG89" s="21"/>
      <c r="AH89" s="36"/>
      <c r="AI89" s="26"/>
      <c r="AJ89" s="21"/>
      <c r="AK89" s="21"/>
      <c r="AL89" s="26">
        <f>bdrate($D89:$D92,E89:E92,$P89:$P92,Q89:Q92)</f>
        <v>-3.6837457309619737E-3</v>
      </c>
      <c r="AM89" s="21" t="e">
        <f>bdrate($D89:$D92,F89:F92,$P89:$P92,R89:R92)</f>
        <v>#VALUE!</v>
      </c>
      <c r="AN89" s="36" t="e">
        <f t="shared" ref="AN89" si="102">bdrate($D89:$D92,G89:G92,$P89:$P92,S89:S92)</f>
        <v>#VALUE!</v>
      </c>
      <c r="AO89" s="26" t="e">
        <f>bdrate($D89:$D92,H89:H92,$P89:$P92,T89:T92)</f>
        <v>#VALUE!</v>
      </c>
      <c r="AP89" s="21" t="e">
        <f>bdrate($D89:$D92,I89:I92,$P89:$P92,U89:U92)</f>
        <v>#VALUE!</v>
      </c>
      <c r="AQ89" s="36" t="e">
        <f>bdrate($D89:$D92,J89:J92,$P89:$P92,V89:V92)</f>
        <v>#VALUE!</v>
      </c>
      <c r="AR89" s="21"/>
      <c r="AS89" s="21"/>
      <c r="AT89" s="36"/>
      <c r="AU89" s="26"/>
      <c r="AV89" s="21"/>
      <c r="AW89" s="36"/>
      <c r="AX89" s="15" t="e">
        <f>V89/J89</f>
        <v>#DIV/0!</v>
      </c>
      <c r="AY89" s="15" t="e">
        <f t="shared" ref="AY89:AY92" si="103">X89/L89</f>
        <v>#DIV/0!</v>
      </c>
      <c r="AZ89" s="15" t="e">
        <f t="shared" si="85"/>
        <v>#DIV/0!</v>
      </c>
      <c r="BA89" s="15" t="e">
        <f>V89/J89</f>
        <v>#DIV/0!</v>
      </c>
      <c r="BB89" s="15" t="e">
        <f t="shared" si="101"/>
        <v>#DIV/0!</v>
      </c>
      <c r="BC89" s="15" t="e">
        <f t="shared" si="82"/>
        <v>#DIV/0!</v>
      </c>
    </row>
    <row r="90" spans="1:55" ht="15" x14ac:dyDescent="0.2">
      <c r="A90" s="13"/>
      <c r="B90" s="13"/>
      <c r="C90" s="43">
        <v>32</v>
      </c>
      <c r="D90" s="53">
        <v>625.91999999999996</v>
      </c>
      <c r="E90" s="53">
        <v>35.369999999999997</v>
      </c>
      <c r="F90" s="53"/>
      <c r="G90" s="53"/>
      <c r="H90" s="53"/>
      <c r="I90" s="53"/>
      <c r="J90" s="53"/>
      <c r="K90" s="15">
        <v>0</v>
      </c>
      <c r="L90" s="15">
        <v>0</v>
      </c>
      <c r="M90" s="15">
        <v>0</v>
      </c>
      <c r="N90" s="16">
        <f t="shared" si="75"/>
        <v>0</v>
      </c>
      <c r="P90" s="54">
        <v>622.5</v>
      </c>
      <c r="Q90" s="54">
        <v>35.378</v>
      </c>
      <c r="R90" s="54"/>
      <c r="S90" s="54"/>
      <c r="T90" s="54"/>
      <c r="U90" s="54"/>
      <c r="V90" s="54"/>
      <c r="W90" s="15">
        <v>0</v>
      </c>
      <c r="X90" s="15">
        <v>0</v>
      </c>
      <c r="Y90" s="15">
        <v>0</v>
      </c>
      <c r="Z90" s="16">
        <f t="shared" si="77"/>
        <v>0</v>
      </c>
      <c r="AA90" s="15" t="e">
        <f t="shared" si="76"/>
        <v>#DIV/0!</v>
      </c>
      <c r="AB90" s="15" t="e">
        <f t="shared" si="92"/>
        <v>#DIV/0!</v>
      </c>
      <c r="AC90" s="15" t="e">
        <f t="shared" si="92"/>
        <v>#DIV/0!</v>
      </c>
      <c r="AD90" s="16">
        <f t="shared" si="78"/>
        <v>5.4639570552146586E-3</v>
      </c>
      <c r="AE90" s="12"/>
      <c r="AF90" s="26"/>
      <c r="AG90" s="21"/>
      <c r="AH90" s="36"/>
      <c r="AI90" s="26"/>
      <c r="AJ90" s="21"/>
      <c r="AK90" s="21"/>
      <c r="AL90" s="26"/>
      <c r="AM90" s="21"/>
      <c r="AN90" s="36"/>
      <c r="AO90" s="21"/>
      <c r="AP90" s="21"/>
      <c r="AQ90" s="36"/>
      <c r="AR90" s="21"/>
      <c r="AS90" s="21"/>
      <c r="AT90" s="36"/>
      <c r="AU90" s="26"/>
      <c r="AV90" s="21"/>
      <c r="AW90" s="36"/>
      <c r="AX90" s="15" t="e">
        <f>V90/J90</f>
        <v>#DIV/0!</v>
      </c>
      <c r="AY90" s="15" t="e">
        <f t="shared" si="103"/>
        <v>#DIV/0!</v>
      </c>
      <c r="AZ90" s="15" t="e">
        <f t="shared" si="85"/>
        <v>#DIV/0!</v>
      </c>
      <c r="BA90" s="15" t="e">
        <f>V90/J90</f>
        <v>#DIV/0!</v>
      </c>
      <c r="BB90" s="15" t="e">
        <f t="shared" si="101"/>
        <v>#DIV/0!</v>
      </c>
      <c r="BC90" s="15" t="e">
        <f t="shared" si="82"/>
        <v>#DIV/0!</v>
      </c>
    </row>
    <row r="91" spans="1:55" ht="15" x14ac:dyDescent="0.2">
      <c r="A91" s="13"/>
      <c r="B91" s="13"/>
      <c r="C91" s="43">
        <v>37</v>
      </c>
      <c r="D91" s="53">
        <v>387.24</v>
      </c>
      <c r="E91" s="53">
        <v>32.049500000000002</v>
      </c>
      <c r="F91" s="53"/>
      <c r="G91" s="53"/>
      <c r="H91" s="53"/>
      <c r="I91" s="53"/>
      <c r="J91" s="53"/>
      <c r="K91" s="15">
        <v>0</v>
      </c>
      <c r="L91" s="15">
        <v>0</v>
      </c>
      <c r="M91" s="15">
        <v>0</v>
      </c>
      <c r="N91" s="16">
        <f t="shared" si="75"/>
        <v>0</v>
      </c>
      <c r="P91" s="54">
        <v>385.56</v>
      </c>
      <c r="Q91" s="54">
        <v>32.026800000000001</v>
      </c>
      <c r="R91" s="54"/>
      <c r="S91" s="54"/>
      <c r="T91" s="54"/>
      <c r="U91" s="54"/>
      <c r="V91" s="54"/>
      <c r="W91" s="15">
        <v>0</v>
      </c>
      <c r="X91" s="15">
        <v>0</v>
      </c>
      <c r="Y91" s="15">
        <v>0</v>
      </c>
      <c r="Z91" s="16">
        <f t="shared" si="77"/>
        <v>0</v>
      </c>
      <c r="AA91" s="15" t="e">
        <f t="shared" si="76"/>
        <v>#DIV/0!</v>
      </c>
      <c r="AB91" s="15" t="e">
        <f t="shared" si="92"/>
        <v>#DIV/0!</v>
      </c>
      <c r="AC91" s="15" t="e">
        <f t="shared" si="92"/>
        <v>#DIV/0!</v>
      </c>
      <c r="AD91" s="16">
        <f t="shared" si="78"/>
        <v>4.3383947939262648E-3</v>
      </c>
      <c r="AE91" s="12"/>
      <c r="AF91" s="26"/>
      <c r="AG91" s="21"/>
      <c r="AH91" s="36"/>
      <c r="AI91" s="26"/>
      <c r="AJ91" s="21"/>
      <c r="AK91" s="21"/>
      <c r="AL91" s="26"/>
      <c r="AM91" s="21"/>
      <c r="AN91" s="36"/>
      <c r="AO91" s="21"/>
      <c r="AP91" s="21"/>
      <c r="AQ91" s="36"/>
      <c r="AR91" s="21"/>
      <c r="AS91" s="21"/>
      <c r="AT91" s="36"/>
      <c r="AU91" s="26"/>
      <c r="AV91" s="21"/>
      <c r="AW91" s="36"/>
      <c r="AX91" s="15" t="e">
        <f>V91/J91</f>
        <v>#DIV/0!</v>
      </c>
      <c r="AY91" s="15" t="e">
        <f t="shared" si="103"/>
        <v>#DIV/0!</v>
      </c>
      <c r="AZ91" s="15" t="e">
        <f t="shared" si="85"/>
        <v>#DIV/0!</v>
      </c>
      <c r="BA91" s="15" t="e">
        <f>V91/J91</f>
        <v>#DIV/0!</v>
      </c>
      <c r="BB91" s="15" t="e">
        <f t="shared" si="101"/>
        <v>#DIV/0!</v>
      </c>
      <c r="BC91" s="15" t="e">
        <f t="shared" si="82"/>
        <v>#DIV/0!</v>
      </c>
    </row>
    <row r="92" spans="1:55" ht="15.75" thickBot="1" x14ac:dyDescent="0.25">
      <c r="A92" s="13"/>
      <c r="B92" s="17"/>
      <c r="C92" s="44">
        <v>42</v>
      </c>
      <c r="D92" s="53">
        <v>220.98</v>
      </c>
      <c r="E92" s="53">
        <v>28.561900000000001</v>
      </c>
      <c r="F92" s="53"/>
      <c r="G92" s="53"/>
      <c r="H92" s="53"/>
      <c r="I92" s="53"/>
      <c r="J92" s="53"/>
      <c r="K92" s="19">
        <v>0</v>
      </c>
      <c r="L92" s="19">
        <v>0</v>
      </c>
      <c r="M92" s="19">
        <v>0</v>
      </c>
      <c r="N92" s="20">
        <f t="shared" si="75"/>
        <v>0</v>
      </c>
      <c r="P92" s="54">
        <v>219.48</v>
      </c>
      <c r="Q92" s="54">
        <v>28.586400000000001</v>
      </c>
      <c r="R92" s="54"/>
      <c r="S92" s="54"/>
      <c r="T92" s="54"/>
      <c r="U92" s="54"/>
      <c r="V92" s="54"/>
      <c r="W92" s="19">
        <v>0</v>
      </c>
      <c r="X92" s="19">
        <v>0</v>
      </c>
      <c r="Y92" s="19">
        <v>0</v>
      </c>
      <c r="Z92" s="20">
        <f t="shared" si="77"/>
        <v>0</v>
      </c>
      <c r="AA92" s="15" t="e">
        <f t="shared" si="76"/>
        <v>#DIV/0!</v>
      </c>
      <c r="AB92" s="15" t="e">
        <f t="shared" si="92"/>
        <v>#DIV/0!</v>
      </c>
      <c r="AC92" s="15" t="e">
        <f t="shared" si="92"/>
        <v>#DIV/0!</v>
      </c>
      <c r="AD92" s="20">
        <f t="shared" si="78"/>
        <v>6.7879446103719793E-3</v>
      </c>
      <c r="AE92" s="12"/>
      <c r="AF92" s="27"/>
      <c r="AG92" s="37"/>
      <c r="AH92" s="38"/>
      <c r="AI92" s="27"/>
      <c r="AJ92" s="37"/>
      <c r="AK92" s="37"/>
      <c r="AL92" s="27"/>
      <c r="AM92" s="37"/>
      <c r="AN92" s="38"/>
      <c r="AO92" s="37"/>
      <c r="AP92" s="37"/>
      <c r="AQ92" s="38"/>
      <c r="AR92" s="37"/>
      <c r="AS92" s="37"/>
      <c r="AT92" s="38"/>
      <c r="AU92" s="27"/>
      <c r="AV92" s="37"/>
      <c r="AW92" s="38"/>
      <c r="AX92" s="15" t="e">
        <f>V92/J92</f>
        <v>#DIV/0!</v>
      </c>
      <c r="AY92" s="15" t="e">
        <f t="shared" si="103"/>
        <v>#DIV/0!</v>
      </c>
      <c r="AZ92" s="15" t="e">
        <f t="shared" si="85"/>
        <v>#DIV/0!</v>
      </c>
      <c r="BA92" s="15"/>
      <c r="BB92" s="15"/>
      <c r="BC92" s="15"/>
    </row>
    <row r="93" spans="1:55" ht="15" x14ac:dyDescent="0.2">
      <c r="A93" s="13"/>
      <c r="B93" s="8" t="s">
        <v>28</v>
      </c>
      <c r="C93" s="39">
        <v>22</v>
      </c>
      <c r="D93" s="53">
        <v>614.88</v>
      </c>
      <c r="E93" s="53">
        <v>43.572299999999998</v>
      </c>
      <c r="F93" s="53"/>
      <c r="G93" s="53"/>
      <c r="H93" s="53"/>
      <c r="I93" s="53"/>
      <c r="J93" s="53"/>
      <c r="K93" s="10">
        <v>0</v>
      </c>
      <c r="L93" s="10">
        <v>0</v>
      </c>
      <c r="M93" s="10">
        <v>0</v>
      </c>
      <c r="N93" s="11">
        <f t="shared" si="75"/>
        <v>0</v>
      </c>
      <c r="P93" s="54">
        <v>619.83000000000004</v>
      </c>
      <c r="Q93" s="54">
        <v>43.613</v>
      </c>
      <c r="R93" s="54"/>
      <c r="S93" s="54"/>
      <c r="T93" s="54"/>
      <c r="U93" s="54"/>
      <c r="V93" s="54"/>
      <c r="W93" s="10">
        <v>0</v>
      </c>
      <c r="X93" s="10">
        <v>0</v>
      </c>
      <c r="Y93" s="10">
        <v>0</v>
      </c>
      <c r="Z93" s="11">
        <f t="shared" si="77"/>
        <v>0</v>
      </c>
      <c r="AA93" s="15" t="e">
        <f t="shared" si="76"/>
        <v>#DIV/0!</v>
      </c>
      <c r="AB93" s="15" t="e">
        <f t="shared" si="92"/>
        <v>#DIV/0!</v>
      </c>
      <c r="AC93" s="15" t="e">
        <f t="shared" si="92"/>
        <v>#DIV/0!</v>
      </c>
      <c r="AD93" s="11" t="e">
        <f>ABS(#REF!-D93)/D93</f>
        <v>#REF!</v>
      </c>
      <c r="AE93" s="12"/>
      <c r="AF93" s="25">
        <f>bdRateExtend($D93:$D97,E93:E97,$P93:$P97,Q93:Q97)</f>
        <v>1.2232242465293197E-4</v>
      </c>
      <c r="AG93" s="30" t="e">
        <f>bdRateExtend($D93:$D97,F93:F97,#REF!,R93:R97)</f>
        <v>#VALUE!</v>
      </c>
      <c r="AH93" s="31" t="e">
        <f>bdRateExtend($D93:$D97,G93:G97,#REF!,S93:S97)</f>
        <v>#VALUE!</v>
      </c>
      <c r="AI93" s="25" t="e">
        <f>bdRateExtend($D93:$D97,H93:H97,#REF!,T93:T97)</f>
        <v>#VALUE!</v>
      </c>
      <c r="AJ93" s="30" t="e">
        <f>bdRateExtend($D93:$D97,I93:I97,#REF!,U93:U97)</f>
        <v>#VALUE!</v>
      </c>
      <c r="AK93" s="30" t="e">
        <f>bdRateExtend($D93:$D97,J93:J97,#REF!,V93:V97)</f>
        <v>#VALUE!</v>
      </c>
      <c r="AL93" s="26"/>
      <c r="AM93" s="21"/>
      <c r="AN93" s="36"/>
      <c r="AO93" s="21"/>
      <c r="AP93" s="21"/>
      <c r="AQ93" s="36"/>
      <c r="AR93" s="30">
        <f t="shared" ref="AR93" si="104">bdrate($D93:$D96,E93:E96,$P93:$P96,Q93:Q96)</f>
        <v>-2.5980054081816695E-3</v>
      </c>
      <c r="AS93" s="30" t="e">
        <f>bdrate($D93:$D96,F93:F96,#REF!,R93:R96)</f>
        <v>#VALUE!</v>
      </c>
      <c r="AT93" s="31" t="e">
        <f>bdrate($D93:$D96,G93:G96,#REF!,S93:S96)</f>
        <v>#VALUE!</v>
      </c>
      <c r="AU93" s="25" t="e">
        <f>bdrate($D93:$D96,H93:H96,#REF!,T93:T96)</f>
        <v>#VALUE!</v>
      </c>
      <c r="AV93" s="30" t="e">
        <f>bdrate($D93:$D96,I93:I96,#REF!,U93:U96)</f>
        <v>#VALUE!</v>
      </c>
      <c r="AW93" s="31" t="e">
        <f>bdrate($D93:$D96,J93:J96,#REF!,V93:V96)</f>
        <v>#VALUE!</v>
      </c>
      <c r="AX93" s="15"/>
      <c r="AY93" s="15"/>
      <c r="AZ93" s="15"/>
      <c r="BA93" s="15" t="e">
        <f>V93/J93</f>
        <v>#DIV/0!</v>
      </c>
      <c r="BB93" s="15" t="e">
        <f t="shared" ref="BB93:BB96" si="105">X93/L93</f>
        <v>#DIV/0!</v>
      </c>
      <c r="BC93" s="15" t="e">
        <f t="shared" si="82"/>
        <v>#DIV/0!</v>
      </c>
    </row>
    <row r="94" spans="1:55" ht="15" x14ac:dyDescent="0.2">
      <c r="A94" s="13"/>
      <c r="B94" s="13"/>
      <c r="C94" s="43">
        <v>27</v>
      </c>
      <c r="D94" s="53">
        <v>381.78</v>
      </c>
      <c r="E94" s="53">
        <v>39.499299999999998</v>
      </c>
      <c r="F94" s="53"/>
      <c r="G94" s="53"/>
      <c r="H94" s="53"/>
      <c r="I94" s="53"/>
      <c r="J94" s="53"/>
      <c r="K94" s="15">
        <v>0</v>
      </c>
      <c r="L94" s="15">
        <v>0</v>
      </c>
      <c r="M94" s="15">
        <v>0</v>
      </c>
      <c r="N94" s="16">
        <f t="shared" si="75"/>
        <v>0</v>
      </c>
      <c r="P94" s="54">
        <v>383.28</v>
      </c>
      <c r="Q94" s="54">
        <v>39.5565</v>
      </c>
      <c r="R94" s="54"/>
      <c r="S94" s="54"/>
      <c r="T94" s="54"/>
      <c r="U94" s="54"/>
      <c r="V94" s="54"/>
      <c r="W94" s="15">
        <v>0</v>
      </c>
      <c r="X94" s="15">
        <v>0</v>
      </c>
      <c r="Y94" s="15">
        <v>0</v>
      </c>
      <c r="Z94" s="16">
        <f t="shared" si="77"/>
        <v>0</v>
      </c>
      <c r="AA94" s="15" t="e">
        <f t="shared" si="76"/>
        <v>#DIV/0!</v>
      </c>
      <c r="AB94" s="15" t="e">
        <f t="shared" si="92"/>
        <v>#DIV/0!</v>
      </c>
      <c r="AC94" s="15" t="e">
        <f t="shared" si="92"/>
        <v>#DIV/0!</v>
      </c>
      <c r="AD94" s="16" t="e">
        <f>ABS(#REF!-D94)/D94</f>
        <v>#REF!</v>
      </c>
      <c r="AE94" s="12"/>
      <c r="AF94" s="26"/>
      <c r="AG94" s="21"/>
      <c r="AH94" s="36"/>
      <c r="AI94" s="26"/>
      <c r="AJ94" s="21"/>
      <c r="AK94" s="21"/>
      <c r="AL94" s="26">
        <f>bdrate($D94:$D97,E94:E97,$P94:$P97,Q94:Q97)</f>
        <v>4.9576126884165461E-5</v>
      </c>
      <c r="AM94" s="21" t="e">
        <f>bdrate($D94:$D97,F94:F97,#REF!,R94:R97)</f>
        <v>#VALUE!</v>
      </c>
      <c r="AN94" s="36" t="e">
        <f>bdrate($D94:$D97,G94:G97,#REF!,S94:S97)</f>
        <v>#VALUE!</v>
      </c>
      <c r="AO94" s="26" t="e">
        <f>bdrate($D94:$D97,H94:H97,#REF!,T94:T97)</f>
        <v>#VALUE!</v>
      </c>
      <c r="AP94" s="21" t="e">
        <f>bdrate($D94:$D97,I94:I97,#REF!,U94:U97)</f>
        <v>#VALUE!</v>
      </c>
      <c r="AQ94" s="36" t="e">
        <f>bdrate($D94:$D97,J94:J97,#REF!,V94:V97)</f>
        <v>#VALUE!</v>
      </c>
      <c r="AR94" s="21"/>
      <c r="AS94" s="21"/>
      <c r="AT94" s="36"/>
      <c r="AU94" s="26"/>
      <c r="AV94" s="21"/>
      <c r="AW94" s="36"/>
      <c r="AX94" s="15" t="e">
        <f>V94/J94</f>
        <v>#DIV/0!</v>
      </c>
      <c r="AY94" s="15" t="e">
        <f t="shared" ref="AY94:AY97" si="106">X94/L94</f>
        <v>#DIV/0!</v>
      </c>
      <c r="AZ94" s="15" t="e">
        <f t="shared" si="85"/>
        <v>#DIV/0!</v>
      </c>
      <c r="BA94" s="15" t="e">
        <f>V94/J94</f>
        <v>#DIV/0!</v>
      </c>
      <c r="BB94" s="15" t="e">
        <f t="shared" si="105"/>
        <v>#DIV/0!</v>
      </c>
      <c r="BC94" s="15" t="e">
        <f t="shared" si="82"/>
        <v>#DIV/0!</v>
      </c>
    </row>
    <row r="95" spans="1:55" ht="15" x14ac:dyDescent="0.2">
      <c r="A95" s="13"/>
      <c r="B95" s="13"/>
      <c r="C95" s="43">
        <v>32</v>
      </c>
      <c r="D95" s="53">
        <v>223.32</v>
      </c>
      <c r="E95" s="53">
        <v>35.868400000000001</v>
      </c>
      <c r="F95" s="53"/>
      <c r="G95" s="53"/>
      <c r="H95" s="53"/>
      <c r="I95" s="53"/>
      <c r="J95" s="53"/>
      <c r="K95" s="15">
        <v>0</v>
      </c>
      <c r="L95" s="15">
        <v>0</v>
      </c>
      <c r="M95" s="15">
        <v>0</v>
      </c>
      <c r="N95" s="16">
        <f t="shared" si="75"/>
        <v>0</v>
      </c>
      <c r="P95" s="54">
        <v>222.15</v>
      </c>
      <c r="Q95" s="54">
        <v>35.878799999999998</v>
      </c>
      <c r="R95" s="54"/>
      <c r="S95" s="54"/>
      <c r="T95" s="54"/>
      <c r="U95" s="54"/>
      <c r="V95" s="54"/>
      <c r="W95" s="15">
        <v>0</v>
      </c>
      <c r="X95" s="15">
        <v>0</v>
      </c>
      <c r="Y95" s="15">
        <v>0</v>
      </c>
      <c r="Z95" s="16">
        <f t="shared" si="77"/>
        <v>0</v>
      </c>
      <c r="AA95" s="15" t="e">
        <f t="shared" si="76"/>
        <v>#DIV/0!</v>
      </c>
      <c r="AB95" s="15" t="e">
        <f t="shared" si="92"/>
        <v>#DIV/0!</v>
      </c>
      <c r="AC95" s="15" t="e">
        <f t="shared" si="92"/>
        <v>#DIV/0!</v>
      </c>
      <c r="AD95" s="16" t="e">
        <f>ABS(#REF!-D95)/D95</f>
        <v>#REF!</v>
      </c>
      <c r="AE95" s="12"/>
      <c r="AF95" s="26"/>
      <c r="AG95" s="21"/>
      <c r="AH95" s="36"/>
      <c r="AI95" s="26"/>
      <c r="AJ95" s="21"/>
      <c r="AK95" s="21"/>
      <c r="AL95" s="26"/>
      <c r="AM95" s="21"/>
      <c r="AN95" s="36"/>
      <c r="AO95" s="21"/>
      <c r="AP95" s="21"/>
      <c r="AQ95" s="36"/>
      <c r="AR95" s="21"/>
      <c r="AS95" s="21"/>
      <c r="AT95" s="36"/>
      <c r="AU95" s="26"/>
      <c r="AV95" s="21"/>
      <c r="AW95" s="36"/>
      <c r="AX95" s="15" t="e">
        <f>V95/J95</f>
        <v>#DIV/0!</v>
      </c>
      <c r="AY95" s="15" t="e">
        <f t="shared" si="106"/>
        <v>#DIV/0!</v>
      </c>
      <c r="AZ95" s="15" t="e">
        <f t="shared" si="85"/>
        <v>#DIV/0!</v>
      </c>
      <c r="BA95" s="15" t="e">
        <f>V95/J95</f>
        <v>#DIV/0!</v>
      </c>
      <c r="BB95" s="15" t="e">
        <f t="shared" si="105"/>
        <v>#DIV/0!</v>
      </c>
      <c r="BC95" s="15" t="e">
        <f t="shared" si="82"/>
        <v>#DIV/0!</v>
      </c>
    </row>
    <row r="96" spans="1:55" ht="15" x14ac:dyDescent="0.2">
      <c r="A96" s="13"/>
      <c r="B96" s="13"/>
      <c r="C96" s="43">
        <v>37</v>
      </c>
      <c r="D96" s="53">
        <v>121.17</v>
      </c>
      <c r="E96" s="53">
        <v>32.674900000000001</v>
      </c>
      <c r="F96" s="53"/>
      <c r="G96" s="53"/>
      <c r="H96" s="53"/>
      <c r="I96" s="53"/>
      <c r="J96" s="53"/>
      <c r="K96" s="15">
        <v>0</v>
      </c>
      <c r="L96" s="15">
        <v>0</v>
      </c>
      <c r="M96" s="15">
        <v>0</v>
      </c>
      <c r="N96" s="16">
        <f t="shared" si="75"/>
        <v>0</v>
      </c>
      <c r="P96" s="54">
        <v>122.25</v>
      </c>
      <c r="Q96" s="54">
        <v>32.684199999999997</v>
      </c>
      <c r="R96" s="54"/>
      <c r="S96" s="54"/>
      <c r="T96" s="54"/>
      <c r="U96" s="54"/>
      <c r="V96" s="54"/>
      <c r="W96" s="15">
        <v>0</v>
      </c>
      <c r="X96" s="15">
        <v>0</v>
      </c>
      <c r="Y96" s="15">
        <v>0</v>
      </c>
      <c r="Z96" s="16">
        <f t="shared" si="77"/>
        <v>0</v>
      </c>
      <c r="AA96" s="15" t="e">
        <f t="shared" si="76"/>
        <v>#DIV/0!</v>
      </c>
      <c r="AB96" s="15" t="e">
        <f t="shared" si="92"/>
        <v>#DIV/0!</v>
      </c>
      <c r="AC96" s="15" t="e">
        <f t="shared" si="92"/>
        <v>#DIV/0!</v>
      </c>
      <c r="AD96" s="16" t="e">
        <f>ABS(#REF!-D96)/D96</f>
        <v>#REF!</v>
      </c>
      <c r="AE96" s="12"/>
      <c r="AF96" s="26"/>
      <c r="AG96" s="21"/>
      <c r="AH96" s="36"/>
      <c r="AI96" s="26"/>
      <c r="AJ96" s="21"/>
      <c r="AK96" s="21"/>
      <c r="AL96" s="26"/>
      <c r="AM96" s="21"/>
      <c r="AN96" s="36"/>
      <c r="AO96" s="21"/>
      <c r="AP96" s="21"/>
      <c r="AQ96" s="36"/>
      <c r="AR96" s="21"/>
      <c r="AS96" s="21"/>
      <c r="AT96" s="36"/>
      <c r="AU96" s="26"/>
      <c r="AV96" s="21"/>
      <c r="AW96" s="36"/>
      <c r="AX96" s="15" t="e">
        <f>V96/J96</f>
        <v>#DIV/0!</v>
      </c>
      <c r="AY96" s="15" t="e">
        <f t="shared" si="106"/>
        <v>#DIV/0!</v>
      </c>
      <c r="AZ96" s="15" t="e">
        <f t="shared" si="85"/>
        <v>#DIV/0!</v>
      </c>
      <c r="BA96" s="15" t="e">
        <f>V96/J96</f>
        <v>#DIV/0!</v>
      </c>
      <c r="BB96" s="15" t="e">
        <f t="shared" si="105"/>
        <v>#DIV/0!</v>
      </c>
      <c r="BC96" s="15" t="e">
        <f t="shared" si="82"/>
        <v>#DIV/0!</v>
      </c>
    </row>
    <row r="97" spans="1:55" ht="15.75" thickBot="1" x14ac:dyDescent="0.25">
      <c r="A97" s="17"/>
      <c r="B97" s="17"/>
      <c r="C97" s="44">
        <v>42</v>
      </c>
      <c r="D97" s="53">
        <v>67.2</v>
      </c>
      <c r="E97" s="53">
        <v>29.976800000000001</v>
      </c>
      <c r="F97" s="53"/>
      <c r="G97" s="53"/>
      <c r="H97" s="53"/>
      <c r="I97" s="53"/>
      <c r="J97" s="53"/>
      <c r="K97" s="19">
        <v>0</v>
      </c>
      <c r="L97" s="19">
        <v>0</v>
      </c>
      <c r="M97" s="19">
        <v>0</v>
      </c>
      <c r="N97" s="20">
        <f t="shared" si="75"/>
        <v>0</v>
      </c>
      <c r="P97" s="54">
        <v>66.84</v>
      </c>
      <c r="Q97" s="54">
        <v>29.903400000000001</v>
      </c>
      <c r="R97" s="54"/>
      <c r="S97" s="54"/>
      <c r="T97" s="54"/>
      <c r="U97" s="54"/>
      <c r="V97" s="54"/>
      <c r="W97" s="19">
        <v>0</v>
      </c>
      <c r="X97" s="19">
        <v>0</v>
      </c>
      <c r="Y97" s="19">
        <v>0</v>
      </c>
      <c r="Z97" s="20">
        <f t="shared" si="77"/>
        <v>0</v>
      </c>
      <c r="AA97" s="19" t="e">
        <f t="shared" si="76"/>
        <v>#DIV/0!</v>
      </c>
      <c r="AB97" s="19" t="e">
        <f t="shared" si="92"/>
        <v>#DIV/0!</v>
      </c>
      <c r="AC97" s="19" t="e">
        <f t="shared" si="92"/>
        <v>#DIV/0!</v>
      </c>
      <c r="AD97" s="20" t="e">
        <f>ABS(#REF!-D97)/D97</f>
        <v>#REF!</v>
      </c>
      <c r="AE97" s="41"/>
      <c r="AF97" s="27"/>
      <c r="AG97" s="37"/>
      <c r="AH97" s="38"/>
      <c r="AI97" s="27"/>
      <c r="AJ97" s="37"/>
      <c r="AK97" s="37"/>
      <c r="AL97" s="26"/>
      <c r="AM97" s="21"/>
      <c r="AN97" s="36"/>
      <c r="AO97" s="21"/>
      <c r="AP97" s="21"/>
      <c r="AQ97" s="36"/>
      <c r="AR97" s="37"/>
      <c r="AS97" s="37"/>
      <c r="AT97" s="38"/>
      <c r="AU97" s="27"/>
      <c r="AV97" s="37"/>
      <c r="AW97" s="38"/>
      <c r="AX97" s="19" t="e">
        <f>V97/J97</f>
        <v>#DIV/0!</v>
      </c>
      <c r="AY97" s="19" t="e">
        <f t="shared" si="106"/>
        <v>#DIV/0!</v>
      </c>
      <c r="AZ97" s="19" t="e">
        <f t="shared" si="85"/>
        <v>#DIV/0!</v>
      </c>
      <c r="BA97" s="19"/>
      <c r="BB97" s="19"/>
      <c r="BC97" s="19"/>
    </row>
    <row r="98" spans="1:55" ht="15" x14ac:dyDescent="0.2">
      <c r="A98" s="48" t="s">
        <v>23</v>
      </c>
      <c r="B98" s="8" t="s">
        <v>32</v>
      </c>
      <c r="C98" s="39">
        <v>22</v>
      </c>
      <c r="D98" s="53">
        <v>3393.9</v>
      </c>
      <c r="E98" s="53">
        <v>45.5886</v>
      </c>
      <c r="F98" s="53"/>
      <c r="G98" s="53"/>
      <c r="H98" s="53"/>
      <c r="I98" s="53"/>
      <c r="J98" s="53"/>
      <c r="K98" s="10">
        <v>0</v>
      </c>
      <c r="L98" s="10">
        <v>0</v>
      </c>
      <c r="M98" s="10">
        <v>0</v>
      </c>
      <c r="N98" s="11">
        <f t="shared" si="75"/>
        <v>0</v>
      </c>
      <c r="P98" s="54">
        <v>3392.22</v>
      </c>
      <c r="Q98" s="54">
        <v>45.579700000000003</v>
      </c>
      <c r="R98" s="54"/>
      <c r="S98" s="54"/>
      <c r="T98" s="54"/>
      <c r="U98" s="54"/>
      <c r="V98" s="54"/>
      <c r="W98" s="10">
        <v>0</v>
      </c>
      <c r="X98" s="10">
        <v>0</v>
      </c>
      <c r="Y98" s="10">
        <v>0</v>
      </c>
      <c r="Z98" s="11">
        <f t="shared" si="77"/>
        <v>0</v>
      </c>
      <c r="AA98" s="10" t="e">
        <f t="shared" si="76"/>
        <v>#DIV/0!</v>
      </c>
      <c r="AB98" s="10" t="e">
        <f>X98/L98</f>
        <v>#DIV/0!</v>
      </c>
      <c r="AC98" s="10" t="e">
        <f>Y98/M98</f>
        <v>#DIV/0!</v>
      </c>
      <c r="AD98" s="11">
        <f t="shared" si="78"/>
        <v>4.9500574560249009E-4</v>
      </c>
      <c r="AE98" s="40"/>
      <c r="AF98" s="25">
        <f t="shared" ref="AF98:AK98" si="107">bdRateExtend($D98:$D102,E98:E102,$P98:$P102,Q98:Q102)</f>
        <v>-2.1312809831646184E-3</v>
      </c>
      <c r="AG98" s="30" t="e">
        <f t="shared" si="107"/>
        <v>#VALUE!</v>
      </c>
      <c r="AH98" s="31" t="e">
        <f t="shared" si="107"/>
        <v>#VALUE!</v>
      </c>
      <c r="AI98" s="25" t="e">
        <f t="shared" si="107"/>
        <v>#VALUE!</v>
      </c>
      <c r="AJ98" s="30" t="e">
        <f t="shared" si="107"/>
        <v>#VALUE!</v>
      </c>
      <c r="AK98" s="30" t="e">
        <f t="shared" si="107"/>
        <v>#VALUE!</v>
      </c>
      <c r="AL98" s="45"/>
      <c r="AM98" s="46"/>
      <c r="AN98" s="47"/>
      <c r="AO98" s="46"/>
      <c r="AP98" s="46"/>
      <c r="AQ98" s="47"/>
      <c r="AR98" s="30">
        <f t="shared" ref="AR98:AW98" si="108">bdrate($D98:$D101,E98:E101,$P98:$P101,Q98:Q101)</f>
        <v>-1.3304684096049346E-3</v>
      </c>
      <c r="AS98" s="30" t="e">
        <f t="shared" si="108"/>
        <v>#VALUE!</v>
      </c>
      <c r="AT98" s="31" t="e">
        <f t="shared" si="108"/>
        <v>#VALUE!</v>
      </c>
      <c r="AU98" s="25" t="e">
        <f t="shared" si="108"/>
        <v>#VALUE!</v>
      </c>
      <c r="AV98" s="30" t="e">
        <f t="shared" si="108"/>
        <v>#VALUE!</v>
      </c>
      <c r="AW98" s="31" t="e">
        <f t="shared" si="108"/>
        <v>#VALUE!</v>
      </c>
      <c r="AX98" s="10"/>
      <c r="AY98" s="10"/>
      <c r="AZ98" s="10"/>
      <c r="BA98" s="10" t="e">
        <f>V98/J98</f>
        <v>#DIV/0!</v>
      </c>
      <c r="BB98" s="10" t="e">
        <f>X98/L98</f>
        <v>#DIV/0!</v>
      </c>
      <c r="BC98" s="10" t="e">
        <f t="shared" ref="BC98:BC101" si="109">Z98/N98</f>
        <v>#DIV/0!</v>
      </c>
    </row>
    <row r="99" spans="1:55" ht="15" x14ac:dyDescent="0.2">
      <c r="A99" s="13" t="s">
        <v>24</v>
      </c>
      <c r="B99" s="13"/>
      <c r="C99" s="43">
        <v>27</v>
      </c>
      <c r="D99" s="53">
        <v>2070.96</v>
      </c>
      <c r="E99" s="53">
        <v>43.236499999999999</v>
      </c>
      <c r="F99" s="53"/>
      <c r="G99" s="53"/>
      <c r="H99" s="53"/>
      <c r="I99" s="53"/>
      <c r="J99" s="53"/>
      <c r="K99" s="15">
        <v>0</v>
      </c>
      <c r="L99" s="15">
        <v>0</v>
      </c>
      <c r="M99" s="15">
        <v>0</v>
      </c>
      <c r="N99" s="16">
        <f t="shared" si="75"/>
        <v>0</v>
      </c>
      <c r="P99" s="54">
        <v>2063.6999999999998</v>
      </c>
      <c r="Q99" s="54">
        <v>43.222499999999997</v>
      </c>
      <c r="R99" s="54"/>
      <c r="S99" s="54"/>
      <c r="T99" s="54"/>
      <c r="U99" s="54"/>
      <c r="V99" s="54"/>
      <c r="W99" s="15">
        <v>0</v>
      </c>
      <c r="X99" s="15">
        <v>0</v>
      </c>
      <c r="Y99" s="15">
        <v>0</v>
      </c>
      <c r="Z99" s="16">
        <f t="shared" si="77"/>
        <v>0</v>
      </c>
      <c r="AA99" s="15" t="e">
        <f t="shared" si="76"/>
        <v>#DIV/0!</v>
      </c>
      <c r="AB99" s="15" t="e">
        <f t="shared" ref="AB99:AC112" si="110">X99/L99</f>
        <v>#DIV/0!</v>
      </c>
      <c r="AC99" s="15" t="e">
        <f t="shared" si="110"/>
        <v>#DIV/0!</v>
      </c>
      <c r="AD99" s="16">
        <f t="shared" si="78"/>
        <v>3.5056205817592893E-3</v>
      </c>
      <c r="AE99" s="12"/>
      <c r="AF99" s="26"/>
      <c r="AG99" s="21"/>
      <c r="AH99" s="36"/>
      <c r="AI99" s="26"/>
      <c r="AJ99" s="21"/>
      <c r="AK99" s="21"/>
      <c r="AL99" s="26">
        <f>bdrate($D99:$D102,E99:E102,$P99:$P102,Q99:Q102)</f>
        <v>-2.7420935714334016E-3</v>
      </c>
      <c r="AM99" s="21" t="e">
        <f>bdrate($D99:$D102,F99:F102,$P99:$P102,R99:R102)</f>
        <v>#VALUE!</v>
      </c>
      <c r="AN99" s="36" t="e">
        <f t="shared" ref="AN99" si="111">bdrate($D99:$D102,G99:G102,$P99:$P102,S99:S102)</f>
        <v>#VALUE!</v>
      </c>
      <c r="AO99" s="26" t="e">
        <f>bdrate($D99:$D102,H99:H102,$P99:$P102,T99:T102)</f>
        <v>#VALUE!</v>
      </c>
      <c r="AP99" s="21" t="e">
        <f>bdrate($D99:$D102,I99:I102,$P99:$P102,U99:U102)</f>
        <v>#VALUE!</v>
      </c>
      <c r="AQ99" s="36" t="e">
        <f>bdrate($D99:$D102,J99:J102,$P99:$P102,V99:V102)</f>
        <v>#VALUE!</v>
      </c>
      <c r="AR99" s="21"/>
      <c r="AS99" s="21"/>
      <c r="AT99" s="36"/>
      <c r="AU99" s="26"/>
      <c r="AV99" s="21"/>
      <c r="AW99" s="36"/>
      <c r="AX99" s="15" t="e">
        <f>V99/J99</f>
        <v>#DIV/0!</v>
      </c>
      <c r="AY99" s="15" t="e">
        <f>X99/L99</f>
        <v>#DIV/0!</v>
      </c>
      <c r="AZ99" s="15" t="e">
        <f t="shared" ref="AZ99:AZ102" si="112">Z99/N99</f>
        <v>#DIV/0!</v>
      </c>
      <c r="BA99" s="15" t="e">
        <f>V99/J99</f>
        <v>#DIV/0!</v>
      </c>
      <c r="BB99" s="15" t="e">
        <f>X99/L99</f>
        <v>#DIV/0!</v>
      </c>
      <c r="BC99" s="15" t="e">
        <f t="shared" si="109"/>
        <v>#DIV/0!</v>
      </c>
    </row>
    <row r="100" spans="1:55" ht="15" x14ac:dyDescent="0.2">
      <c r="A100" s="13"/>
      <c r="B100" s="13"/>
      <c r="C100" s="43">
        <v>32</v>
      </c>
      <c r="D100" s="53">
        <v>1285.32</v>
      </c>
      <c r="E100" s="53">
        <v>40.645299999999999</v>
      </c>
      <c r="F100" s="53"/>
      <c r="G100" s="53"/>
      <c r="H100" s="53"/>
      <c r="I100" s="53"/>
      <c r="J100" s="53"/>
      <c r="K100" s="15">
        <v>0</v>
      </c>
      <c r="L100" s="15">
        <v>0</v>
      </c>
      <c r="M100" s="15">
        <v>0</v>
      </c>
      <c r="N100" s="16">
        <f t="shared" si="75"/>
        <v>0</v>
      </c>
      <c r="P100" s="54">
        <v>1281.18</v>
      </c>
      <c r="Q100" s="54">
        <v>40.635399999999997</v>
      </c>
      <c r="R100" s="54"/>
      <c r="S100" s="54"/>
      <c r="T100" s="54"/>
      <c r="U100" s="54"/>
      <c r="V100" s="54"/>
      <c r="W100" s="15">
        <v>0</v>
      </c>
      <c r="X100" s="15">
        <v>0</v>
      </c>
      <c r="Y100" s="15">
        <v>0</v>
      </c>
      <c r="Z100" s="16">
        <f t="shared" si="77"/>
        <v>0</v>
      </c>
      <c r="AA100" s="15" t="e">
        <f t="shared" si="76"/>
        <v>#DIV/0!</v>
      </c>
      <c r="AB100" s="15" t="e">
        <f t="shared" si="110"/>
        <v>#DIV/0!</v>
      </c>
      <c r="AC100" s="15" t="e">
        <f t="shared" si="110"/>
        <v>#DIV/0!</v>
      </c>
      <c r="AD100" s="16">
        <f t="shared" si="78"/>
        <v>3.2209877695825733E-3</v>
      </c>
      <c r="AE100" s="12"/>
      <c r="AF100" s="26"/>
      <c r="AG100" s="21"/>
      <c r="AH100" s="36"/>
      <c r="AI100" s="26"/>
      <c r="AJ100" s="21"/>
      <c r="AK100" s="21"/>
      <c r="AL100" s="26"/>
      <c r="AM100" s="21"/>
      <c r="AN100" s="36"/>
      <c r="AO100" s="21"/>
      <c r="AP100" s="21"/>
      <c r="AQ100" s="36"/>
      <c r="AR100" s="21"/>
      <c r="AS100" s="21"/>
      <c r="AT100" s="36"/>
      <c r="AU100" s="26"/>
      <c r="AV100" s="21"/>
      <c r="AW100" s="36"/>
      <c r="AX100" s="15" t="e">
        <f>V100/J100</f>
        <v>#DIV/0!</v>
      </c>
      <c r="AY100" s="15" t="e">
        <f>X100/L100</f>
        <v>#DIV/0!</v>
      </c>
      <c r="AZ100" s="15" t="e">
        <f t="shared" si="112"/>
        <v>#DIV/0!</v>
      </c>
      <c r="BA100" s="15" t="e">
        <f>V100/J100</f>
        <v>#DIV/0!</v>
      </c>
      <c r="BB100" s="15" t="e">
        <f>X100/L100</f>
        <v>#DIV/0!</v>
      </c>
      <c r="BC100" s="15" t="e">
        <f t="shared" si="109"/>
        <v>#DIV/0!</v>
      </c>
    </row>
    <row r="101" spans="1:55" ht="15" x14ac:dyDescent="0.2">
      <c r="A101" s="13"/>
      <c r="B101" s="13"/>
      <c r="C101" s="43">
        <v>37</v>
      </c>
      <c r="D101" s="53">
        <v>786.6</v>
      </c>
      <c r="E101" s="53">
        <v>37.745800000000003</v>
      </c>
      <c r="F101" s="53"/>
      <c r="G101" s="53"/>
      <c r="H101" s="53"/>
      <c r="I101" s="53"/>
      <c r="J101" s="53"/>
      <c r="K101" s="15">
        <v>0</v>
      </c>
      <c r="L101" s="15">
        <v>0</v>
      </c>
      <c r="M101" s="15">
        <v>0</v>
      </c>
      <c r="N101" s="16">
        <f t="shared" si="75"/>
        <v>0</v>
      </c>
      <c r="P101" s="54">
        <v>785.22</v>
      </c>
      <c r="Q101" s="54">
        <v>37.762999999999998</v>
      </c>
      <c r="R101" s="54"/>
      <c r="S101" s="54"/>
      <c r="T101" s="54"/>
      <c r="U101" s="54"/>
      <c r="V101" s="54"/>
      <c r="W101" s="15">
        <v>0</v>
      </c>
      <c r="X101" s="15">
        <v>0</v>
      </c>
      <c r="Y101" s="15">
        <v>0</v>
      </c>
      <c r="Z101" s="16">
        <f t="shared" si="77"/>
        <v>0</v>
      </c>
      <c r="AA101" s="15" t="e">
        <f t="shared" si="76"/>
        <v>#DIV/0!</v>
      </c>
      <c r="AB101" s="15" t="e">
        <f t="shared" si="110"/>
        <v>#DIV/0!</v>
      </c>
      <c r="AC101" s="15" t="e">
        <f t="shared" si="110"/>
        <v>#DIV/0!</v>
      </c>
      <c r="AD101" s="16">
        <f t="shared" si="78"/>
        <v>1.7543859649122749E-3</v>
      </c>
      <c r="AE101" s="12"/>
      <c r="AF101" s="26"/>
      <c r="AG101" s="21"/>
      <c r="AH101" s="36"/>
      <c r="AI101" s="26"/>
      <c r="AJ101" s="21"/>
      <c r="AK101" s="21"/>
      <c r="AL101" s="26"/>
      <c r="AM101" s="21"/>
      <c r="AN101" s="36"/>
      <c r="AO101" s="21"/>
      <c r="AP101" s="21"/>
      <c r="AQ101" s="36"/>
      <c r="AR101" s="21"/>
      <c r="AS101" s="21"/>
      <c r="AT101" s="36"/>
      <c r="AU101" s="26"/>
      <c r="AV101" s="21"/>
      <c r="AW101" s="36"/>
      <c r="AX101" s="15" t="e">
        <f>V101/J101</f>
        <v>#DIV/0!</v>
      </c>
      <c r="AY101" s="15" t="e">
        <f>X101/L101</f>
        <v>#DIV/0!</v>
      </c>
      <c r="AZ101" s="15" t="e">
        <f t="shared" si="112"/>
        <v>#DIV/0!</v>
      </c>
      <c r="BA101" s="15" t="e">
        <f>V101/J101</f>
        <v>#DIV/0!</v>
      </c>
      <c r="BB101" s="15" t="e">
        <f>X101/L101</f>
        <v>#DIV/0!</v>
      </c>
      <c r="BC101" s="15" t="e">
        <f t="shared" si="109"/>
        <v>#DIV/0!</v>
      </c>
    </row>
    <row r="102" spans="1:55" ht="15.75" thickBot="1" x14ac:dyDescent="0.25">
      <c r="A102" s="13"/>
      <c r="B102" s="17"/>
      <c r="C102" s="44">
        <v>42</v>
      </c>
      <c r="D102" s="53">
        <v>460.44</v>
      </c>
      <c r="E102" s="53">
        <v>34.682600000000001</v>
      </c>
      <c r="F102" s="53"/>
      <c r="G102" s="53"/>
      <c r="H102" s="53"/>
      <c r="I102" s="53"/>
      <c r="J102" s="53"/>
      <c r="K102" s="19">
        <v>0</v>
      </c>
      <c r="L102" s="19">
        <v>0</v>
      </c>
      <c r="M102" s="19">
        <v>0</v>
      </c>
      <c r="N102" s="20">
        <f t="shared" si="75"/>
        <v>0</v>
      </c>
      <c r="P102" s="54">
        <v>456</v>
      </c>
      <c r="Q102" s="54">
        <v>34.637500000000003</v>
      </c>
      <c r="R102" s="54"/>
      <c r="S102" s="54"/>
      <c r="T102" s="54"/>
      <c r="U102" s="54"/>
      <c r="V102" s="54"/>
      <c r="W102" s="19">
        <v>0</v>
      </c>
      <c r="X102" s="19">
        <v>0</v>
      </c>
      <c r="Y102" s="19">
        <v>0</v>
      </c>
      <c r="Z102" s="20">
        <f t="shared" si="77"/>
        <v>0</v>
      </c>
      <c r="AA102" s="15" t="e">
        <f t="shared" si="76"/>
        <v>#DIV/0!</v>
      </c>
      <c r="AB102" s="15" t="e">
        <f t="shared" si="110"/>
        <v>#DIV/0!</v>
      </c>
      <c r="AC102" s="15" t="e">
        <f t="shared" si="110"/>
        <v>#DIV/0!</v>
      </c>
      <c r="AD102" s="20">
        <f t="shared" si="78"/>
        <v>9.6429502215272297E-3</v>
      </c>
      <c r="AE102" s="12"/>
      <c r="AF102" s="27"/>
      <c r="AG102" s="37"/>
      <c r="AH102" s="38"/>
      <c r="AI102" s="27"/>
      <c r="AJ102" s="37"/>
      <c r="AK102" s="37"/>
      <c r="AL102" s="27"/>
      <c r="AM102" s="37"/>
      <c r="AN102" s="38"/>
      <c r="AO102" s="37"/>
      <c r="AP102" s="37"/>
      <c r="AQ102" s="38"/>
      <c r="AR102" s="37"/>
      <c r="AS102" s="37"/>
      <c r="AT102" s="38"/>
      <c r="AU102" s="27"/>
      <c r="AV102" s="37"/>
      <c r="AW102" s="38"/>
      <c r="AX102" s="15" t="e">
        <f>V102/J102</f>
        <v>#DIV/0!</v>
      </c>
      <c r="AY102" s="15" t="e">
        <f>X102/L102</f>
        <v>#DIV/0!</v>
      </c>
      <c r="AZ102" s="15" t="e">
        <f t="shared" si="112"/>
        <v>#DIV/0!</v>
      </c>
      <c r="BA102" s="15"/>
      <c r="BB102" s="15"/>
      <c r="BC102" s="15"/>
    </row>
    <row r="103" spans="1:55" ht="15" x14ac:dyDescent="0.2">
      <c r="A103" s="13"/>
      <c r="B103" s="8" t="s">
        <v>33</v>
      </c>
      <c r="C103" s="39">
        <v>22</v>
      </c>
      <c r="D103" s="53">
        <v>2290.56</v>
      </c>
      <c r="E103" s="53">
        <v>45.890799999999999</v>
      </c>
      <c r="F103" s="53"/>
      <c r="G103" s="53"/>
      <c r="H103" s="53"/>
      <c r="I103" s="53"/>
      <c r="J103" s="53"/>
      <c r="K103" s="10">
        <v>0</v>
      </c>
      <c r="L103" s="10">
        <v>0</v>
      </c>
      <c r="M103" s="10">
        <v>0</v>
      </c>
      <c r="N103" s="11">
        <f t="shared" si="75"/>
        <v>0</v>
      </c>
      <c r="P103" s="54">
        <v>2277.12</v>
      </c>
      <c r="Q103" s="54">
        <v>45.870699999999999</v>
      </c>
      <c r="R103" s="54"/>
      <c r="S103" s="54"/>
      <c r="T103" s="54"/>
      <c r="U103" s="54"/>
      <c r="V103" s="54"/>
      <c r="W103" s="10">
        <v>0</v>
      </c>
      <c r="X103" s="10">
        <v>0</v>
      </c>
      <c r="Y103" s="10">
        <v>0</v>
      </c>
      <c r="Z103" s="11">
        <f t="shared" si="77"/>
        <v>0</v>
      </c>
      <c r="AA103" s="15" t="e">
        <f t="shared" si="76"/>
        <v>#DIV/0!</v>
      </c>
      <c r="AB103" s="15" t="e">
        <f t="shared" si="110"/>
        <v>#DIV/0!</v>
      </c>
      <c r="AC103" s="15" t="e">
        <f t="shared" si="110"/>
        <v>#DIV/0!</v>
      </c>
      <c r="AD103" s="11">
        <f t="shared" si="78"/>
        <v>5.8675607711651543E-3</v>
      </c>
      <c r="AE103" s="12"/>
      <c r="AF103" s="25">
        <f t="shared" ref="AF103:AK103" si="113">bdRateExtend($D103:$D107,E103:E107,$P103:$P107,Q103:Q107)</f>
        <v>2.3406586562013665E-4</v>
      </c>
      <c r="AG103" s="30" t="e">
        <f t="shared" si="113"/>
        <v>#VALUE!</v>
      </c>
      <c r="AH103" s="31" t="e">
        <f t="shared" si="113"/>
        <v>#VALUE!</v>
      </c>
      <c r="AI103" s="25" t="e">
        <f t="shared" si="113"/>
        <v>#VALUE!</v>
      </c>
      <c r="AJ103" s="30" t="e">
        <f t="shared" si="113"/>
        <v>#VALUE!</v>
      </c>
      <c r="AK103" s="30" t="e">
        <f t="shared" si="113"/>
        <v>#VALUE!</v>
      </c>
      <c r="AL103" s="26"/>
      <c r="AM103" s="21"/>
      <c r="AN103" s="36"/>
      <c r="AO103" s="21"/>
      <c r="AP103" s="21"/>
      <c r="AQ103" s="36"/>
      <c r="AR103" s="30">
        <f t="shared" ref="AR103:AW103" si="114">bdrate($D103:$D106,E103:E106,$P103:$P106,Q103:Q106)</f>
        <v>-7.2227052198459152E-4</v>
      </c>
      <c r="AS103" s="30" t="e">
        <f t="shared" si="114"/>
        <v>#VALUE!</v>
      </c>
      <c r="AT103" s="31" t="e">
        <f t="shared" si="114"/>
        <v>#VALUE!</v>
      </c>
      <c r="AU103" s="25" t="e">
        <f t="shared" si="114"/>
        <v>#VALUE!</v>
      </c>
      <c r="AV103" s="30" t="e">
        <f t="shared" si="114"/>
        <v>#VALUE!</v>
      </c>
      <c r="AW103" s="31" t="e">
        <f t="shared" si="114"/>
        <v>#VALUE!</v>
      </c>
      <c r="AX103" s="15"/>
      <c r="AY103" s="15"/>
      <c r="AZ103" s="15"/>
      <c r="BA103" s="15" t="e">
        <f>V103/J103</f>
        <v>#DIV/0!</v>
      </c>
      <c r="BB103" s="15" t="e">
        <f>X103/L103</f>
        <v>#DIV/0!</v>
      </c>
      <c r="BC103" s="15" t="e">
        <f t="shared" ref="BC103:BC106" si="115">Z103/N103</f>
        <v>#DIV/0!</v>
      </c>
    </row>
    <row r="104" spans="1:55" ht="15" x14ac:dyDescent="0.2">
      <c r="A104" s="13"/>
      <c r="B104" s="13"/>
      <c r="C104" s="43">
        <v>27</v>
      </c>
      <c r="D104" s="53">
        <v>1217.4000000000001</v>
      </c>
      <c r="E104" s="53">
        <v>43.857799999999997</v>
      </c>
      <c r="F104" s="53"/>
      <c r="G104" s="53"/>
      <c r="H104" s="53"/>
      <c r="I104" s="53"/>
      <c r="J104" s="53"/>
      <c r="K104" s="15">
        <v>0</v>
      </c>
      <c r="L104" s="15">
        <v>0</v>
      </c>
      <c r="M104" s="15">
        <v>0</v>
      </c>
      <c r="N104" s="16">
        <f t="shared" si="75"/>
        <v>0</v>
      </c>
      <c r="P104" s="54">
        <v>1226.3399999999999</v>
      </c>
      <c r="Q104" s="54">
        <v>43.889499999999998</v>
      </c>
      <c r="R104" s="54"/>
      <c r="S104" s="54"/>
      <c r="T104" s="54"/>
      <c r="U104" s="54"/>
      <c r="V104" s="54"/>
      <c r="W104" s="15">
        <v>0</v>
      </c>
      <c r="X104" s="15">
        <v>0</v>
      </c>
      <c r="Y104" s="15">
        <v>0</v>
      </c>
      <c r="Z104" s="16">
        <f t="shared" si="77"/>
        <v>0</v>
      </c>
      <c r="AA104" s="15" t="e">
        <f t="shared" si="76"/>
        <v>#DIV/0!</v>
      </c>
      <c r="AB104" s="15" t="e">
        <f t="shared" si="110"/>
        <v>#DIV/0!</v>
      </c>
      <c r="AC104" s="15" t="e">
        <f t="shared" si="110"/>
        <v>#DIV/0!</v>
      </c>
      <c r="AD104" s="16">
        <f t="shared" si="78"/>
        <v>7.3435189748643223E-3</v>
      </c>
      <c r="AE104" s="12"/>
      <c r="AF104" s="26"/>
      <c r="AG104" s="21"/>
      <c r="AH104" s="36"/>
      <c r="AI104" s="26"/>
      <c r="AJ104" s="21"/>
      <c r="AK104" s="21"/>
      <c r="AL104" s="26">
        <f>bdrate($D104:$D107,E104:E107,$P104:$P107,Q104:Q107)</f>
        <v>5.4311782064431213E-4</v>
      </c>
      <c r="AM104" s="21" t="e">
        <f>bdrate($D104:$D107,F104:F107,$P104:$P107,R104:R107)</f>
        <v>#VALUE!</v>
      </c>
      <c r="AN104" s="36" t="e">
        <f t="shared" ref="AN104" si="116">bdrate($D104:$D107,G104:G107,$P104:$P107,S104:S107)</f>
        <v>#VALUE!</v>
      </c>
      <c r="AO104" s="26" t="e">
        <f>bdrate($D104:$D107,H104:H107,$P104:$P107,T104:T107)</f>
        <v>#VALUE!</v>
      </c>
      <c r="AP104" s="21" t="e">
        <f>bdrate($D104:$D107,I104:I107,$P104:$P107,U104:U107)</f>
        <v>#VALUE!</v>
      </c>
      <c r="AQ104" s="36" t="e">
        <f>bdrate($D104:$D107,J104:J107,$P104:$P107,V104:V107)</f>
        <v>#VALUE!</v>
      </c>
      <c r="AR104" s="21"/>
      <c r="AS104" s="21"/>
      <c r="AT104" s="36"/>
      <c r="AU104" s="26"/>
      <c r="AV104" s="21"/>
      <c r="AW104" s="36"/>
      <c r="AX104" s="15" t="e">
        <f>V104/J104</f>
        <v>#DIV/0!</v>
      </c>
      <c r="AY104" s="15" t="e">
        <f>X104/L104</f>
        <v>#DIV/0!</v>
      </c>
      <c r="AZ104" s="15" t="e">
        <f t="shared" ref="AZ104:AZ107" si="117">Z104/N104</f>
        <v>#DIV/0!</v>
      </c>
      <c r="BA104" s="15" t="e">
        <f>V104/J104</f>
        <v>#DIV/0!</v>
      </c>
      <c r="BB104" s="15" t="e">
        <f>X104/L104</f>
        <v>#DIV/0!</v>
      </c>
      <c r="BC104" s="15" t="e">
        <f t="shared" si="115"/>
        <v>#DIV/0!</v>
      </c>
    </row>
    <row r="105" spans="1:55" ht="15" x14ac:dyDescent="0.2">
      <c r="A105" s="13"/>
      <c r="B105" s="13"/>
      <c r="C105" s="43">
        <v>32</v>
      </c>
      <c r="D105" s="53">
        <v>681.54</v>
      </c>
      <c r="E105" s="53">
        <v>41.746499999999997</v>
      </c>
      <c r="F105" s="53"/>
      <c r="G105" s="53"/>
      <c r="H105" s="53"/>
      <c r="I105" s="53"/>
      <c r="J105" s="53"/>
      <c r="K105" s="15">
        <v>0</v>
      </c>
      <c r="L105" s="15">
        <v>0</v>
      </c>
      <c r="M105" s="15">
        <v>0</v>
      </c>
      <c r="N105" s="16">
        <f t="shared" si="75"/>
        <v>0</v>
      </c>
      <c r="P105" s="54">
        <v>684.48</v>
      </c>
      <c r="Q105" s="54">
        <v>41.7697</v>
      </c>
      <c r="R105" s="54"/>
      <c r="S105" s="54"/>
      <c r="T105" s="54"/>
      <c r="U105" s="54"/>
      <c r="V105" s="54"/>
      <c r="W105" s="15">
        <v>0</v>
      </c>
      <c r="X105" s="15">
        <v>0</v>
      </c>
      <c r="Y105" s="15">
        <v>0</v>
      </c>
      <c r="Z105" s="16">
        <f t="shared" si="77"/>
        <v>0</v>
      </c>
      <c r="AA105" s="15" t="e">
        <f t="shared" si="76"/>
        <v>#DIV/0!</v>
      </c>
      <c r="AB105" s="15" t="e">
        <f t="shared" si="110"/>
        <v>#DIV/0!</v>
      </c>
      <c r="AC105" s="15" t="e">
        <f t="shared" si="110"/>
        <v>#DIV/0!</v>
      </c>
      <c r="AD105" s="16">
        <f t="shared" si="78"/>
        <v>4.3137600140858269E-3</v>
      </c>
      <c r="AE105" s="12"/>
      <c r="AF105" s="26"/>
      <c r="AG105" s="21"/>
      <c r="AH105" s="36"/>
      <c r="AI105" s="26"/>
      <c r="AJ105" s="21"/>
      <c r="AK105" s="21"/>
      <c r="AL105" s="26"/>
      <c r="AM105" s="21"/>
      <c r="AN105" s="36"/>
      <c r="AO105" s="21"/>
      <c r="AP105" s="21"/>
      <c r="AQ105" s="36"/>
      <c r="AR105" s="21"/>
      <c r="AS105" s="21"/>
      <c r="AT105" s="36"/>
      <c r="AU105" s="26"/>
      <c r="AV105" s="21"/>
      <c r="AW105" s="36"/>
      <c r="AX105" s="15" t="e">
        <f>V105/J105</f>
        <v>#DIV/0!</v>
      </c>
      <c r="AY105" s="15" t="e">
        <f>X105/L105</f>
        <v>#DIV/0!</v>
      </c>
      <c r="AZ105" s="15" t="e">
        <f t="shared" si="117"/>
        <v>#DIV/0!</v>
      </c>
      <c r="BA105" s="15" t="e">
        <f>V105/J105</f>
        <v>#DIV/0!</v>
      </c>
      <c r="BB105" s="15" t="e">
        <f>X105/L105</f>
        <v>#DIV/0!</v>
      </c>
      <c r="BC105" s="15" t="e">
        <f t="shared" si="115"/>
        <v>#DIV/0!</v>
      </c>
    </row>
    <row r="106" spans="1:55" ht="15" x14ac:dyDescent="0.2">
      <c r="A106" s="13"/>
      <c r="B106" s="13"/>
      <c r="C106" s="43">
        <v>37</v>
      </c>
      <c r="D106" s="53">
        <v>398.52</v>
      </c>
      <c r="E106" s="53">
        <v>39.450400000000002</v>
      </c>
      <c r="F106" s="53"/>
      <c r="G106" s="53"/>
      <c r="H106" s="53"/>
      <c r="I106" s="53"/>
      <c r="J106" s="53"/>
      <c r="K106" s="15">
        <v>0</v>
      </c>
      <c r="L106" s="15">
        <v>0</v>
      </c>
      <c r="M106" s="15">
        <v>0</v>
      </c>
      <c r="N106" s="16">
        <f t="shared" si="75"/>
        <v>0</v>
      </c>
      <c r="P106" s="54">
        <v>403.26</v>
      </c>
      <c r="Q106" s="54">
        <v>39.487400000000001</v>
      </c>
      <c r="R106" s="54"/>
      <c r="S106" s="54"/>
      <c r="T106" s="54"/>
      <c r="U106" s="54"/>
      <c r="V106" s="54"/>
      <c r="W106" s="15">
        <v>0</v>
      </c>
      <c r="X106" s="15">
        <v>0</v>
      </c>
      <c r="Y106" s="15">
        <v>0</v>
      </c>
      <c r="Z106" s="16">
        <f t="shared" si="77"/>
        <v>0</v>
      </c>
      <c r="AA106" s="15" t="e">
        <f t="shared" si="76"/>
        <v>#DIV/0!</v>
      </c>
      <c r="AB106" s="15" t="e">
        <f t="shared" si="110"/>
        <v>#DIV/0!</v>
      </c>
      <c r="AC106" s="15" t="e">
        <f t="shared" si="110"/>
        <v>#DIV/0!</v>
      </c>
      <c r="AD106" s="16">
        <f t="shared" si="78"/>
        <v>1.1894007828967202E-2</v>
      </c>
      <c r="AE106" s="12"/>
      <c r="AF106" s="26"/>
      <c r="AG106" s="21"/>
      <c r="AH106" s="36"/>
      <c r="AI106" s="26"/>
      <c r="AJ106" s="21"/>
      <c r="AK106" s="21"/>
      <c r="AL106" s="26"/>
      <c r="AM106" s="21"/>
      <c r="AN106" s="36"/>
      <c r="AO106" s="21"/>
      <c r="AP106" s="21"/>
      <c r="AQ106" s="36"/>
      <c r="AR106" s="21"/>
      <c r="AS106" s="21"/>
      <c r="AT106" s="36"/>
      <c r="AU106" s="26"/>
      <c r="AV106" s="21"/>
      <c r="AW106" s="36"/>
      <c r="AX106" s="15" t="e">
        <f>V106/J106</f>
        <v>#DIV/0!</v>
      </c>
      <c r="AY106" s="15" t="e">
        <f>X106/L106</f>
        <v>#DIV/0!</v>
      </c>
      <c r="AZ106" s="15" t="e">
        <f t="shared" si="117"/>
        <v>#DIV/0!</v>
      </c>
      <c r="BA106" s="15" t="e">
        <f>V106/J106</f>
        <v>#DIV/0!</v>
      </c>
      <c r="BB106" s="15" t="e">
        <f>X106/L106</f>
        <v>#DIV/0!</v>
      </c>
      <c r="BC106" s="15" t="e">
        <f t="shared" si="115"/>
        <v>#DIV/0!</v>
      </c>
    </row>
    <row r="107" spans="1:55" ht="15.75" thickBot="1" x14ac:dyDescent="0.25">
      <c r="A107" s="13"/>
      <c r="B107" s="17"/>
      <c r="C107" s="44">
        <v>42</v>
      </c>
      <c r="D107" s="53">
        <v>234.96</v>
      </c>
      <c r="E107" s="53">
        <v>37.003999999999998</v>
      </c>
      <c r="F107" s="53"/>
      <c r="G107" s="53"/>
      <c r="H107" s="53"/>
      <c r="I107" s="53"/>
      <c r="J107" s="53"/>
      <c r="K107" s="19">
        <v>0</v>
      </c>
      <c r="L107" s="19">
        <v>0</v>
      </c>
      <c r="M107" s="19">
        <v>0</v>
      </c>
      <c r="N107" s="20">
        <f t="shared" si="75"/>
        <v>0</v>
      </c>
      <c r="P107" s="54">
        <v>231.6</v>
      </c>
      <c r="Q107" s="54">
        <v>36.939</v>
      </c>
      <c r="R107" s="54"/>
      <c r="S107" s="54"/>
      <c r="T107" s="54"/>
      <c r="U107" s="54"/>
      <c r="V107" s="54"/>
      <c r="W107" s="19">
        <v>0</v>
      </c>
      <c r="X107" s="19">
        <v>0</v>
      </c>
      <c r="Y107" s="19">
        <v>0</v>
      </c>
      <c r="Z107" s="20">
        <f t="shared" si="77"/>
        <v>0</v>
      </c>
      <c r="AA107" s="15" t="e">
        <f t="shared" si="76"/>
        <v>#DIV/0!</v>
      </c>
      <c r="AB107" s="15" t="e">
        <f t="shared" si="110"/>
        <v>#DIV/0!</v>
      </c>
      <c r="AC107" s="15" t="e">
        <f t="shared" si="110"/>
        <v>#DIV/0!</v>
      </c>
      <c r="AD107" s="20">
        <f t="shared" si="78"/>
        <v>1.4300306435137954E-2</v>
      </c>
      <c r="AE107" s="12"/>
      <c r="AF107" s="27"/>
      <c r="AG107" s="37"/>
      <c r="AH107" s="38"/>
      <c r="AI107" s="27"/>
      <c r="AJ107" s="37"/>
      <c r="AK107" s="37"/>
      <c r="AL107" s="26"/>
      <c r="AM107" s="21"/>
      <c r="AN107" s="36"/>
      <c r="AO107" s="21"/>
      <c r="AP107" s="21"/>
      <c r="AQ107" s="36"/>
      <c r="AR107" s="37"/>
      <c r="AS107" s="37"/>
      <c r="AT107" s="38"/>
      <c r="AU107" s="27"/>
      <c r="AV107" s="37"/>
      <c r="AW107" s="38"/>
      <c r="AX107" s="15" t="e">
        <f>V107/J107</f>
        <v>#DIV/0!</v>
      </c>
      <c r="AY107" s="15" t="e">
        <f>X107/L107</f>
        <v>#DIV/0!</v>
      </c>
      <c r="AZ107" s="15" t="e">
        <f t="shared" si="117"/>
        <v>#DIV/0!</v>
      </c>
      <c r="BA107" s="15"/>
      <c r="BB107" s="15"/>
      <c r="BC107" s="15"/>
    </row>
    <row r="108" spans="1:55" ht="15" x14ac:dyDescent="0.2">
      <c r="A108" s="13"/>
      <c r="B108" s="8" t="s">
        <v>34</v>
      </c>
      <c r="C108" s="39">
        <v>22</v>
      </c>
      <c r="D108" s="53">
        <v>2496.06</v>
      </c>
      <c r="E108" s="53">
        <v>46.177700000000002</v>
      </c>
      <c r="F108" s="53"/>
      <c r="G108" s="53"/>
      <c r="H108" s="53"/>
      <c r="I108" s="53"/>
      <c r="J108" s="53"/>
      <c r="K108" s="10">
        <v>0</v>
      </c>
      <c r="L108" s="10">
        <v>0</v>
      </c>
      <c r="M108" s="10">
        <v>0</v>
      </c>
      <c r="N108" s="11">
        <f t="shared" si="75"/>
        <v>0</v>
      </c>
      <c r="P108" s="54">
        <v>2492.2199999999998</v>
      </c>
      <c r="Q108" s="54">
        <v>46.164400000000001</v>
      </c>
      <c r="R108" s="54"/>
      <c r="S108" s="54"/>
      <c r="T108" s="54"/>
      <c r="U108" s="54"/>
      <c r="V108" s="54"/>
      <c r="W108" s="10">
        <v>0</v>
      </c>
      <c r="X108" s="10">
        <v>0</v>
      </c>
      <c r="Y108" s="10">
        <v>0</v>
      </c>
      <c r="Z108" s="11">
        <f t="shared" si="77"/>
        <v>0</v>
      </c>
      <c r="AA108" s="15" t="e">
        <f t="shared" si="76"/>
        <v>#DIV/0!</v>
      </c>
      <c r="AB108" s="15" t="e">
        <f t="shared" si="110"/>
        <v>#DIV/0!</v>
      </c>
      <c r="AC108" s="15" t="e">
        <f t="shared" si="110"/>
        <v>#DIV/0!</v>
      </c>
      <c r="AD108" s="11">
        <f t="shared" si="78"/>
        <v>1.5384245571020512E-3</v>
      </c>
      <c r="AE108" s="12"/>
      <c r="AF108" s="25">
        <f t="shared" ref="AF108:AK108" si="118">bdRateExtend($D108:$D112,E108:E112,$P108:$P112,Q108:Q112)</f>
        <v>-9.2902404834971364E-4</v>
      </c>
      <c r="AG108" s="30" t="e">
        <f t="shared" si="118"/>
        <v>#VALUE!</v>
      </c>
      <c r="AH108" s="31" t="e">
        <f t="shared" si="118"/>
        <v>#VALUE!</v>
      </c>
      <c r="AI108" s="25" t="e">
        <f t="shared" si="118"/>
        <v>#VALUE!</v>
      </c>
      <c r="AJ108" s="30" t="e">
        <f t="shared" si="118"/>
        <v>#VALUE!</v>
      </c>
      <c r="AK108" s="30" t="e">
        <f t="shared" si="118"/>
        <v>#VALUE!</v>
      </c>
      <c r="AL108" s="45"/>
      <c r="AM108" s="46"/>
      <c r="AN108" s="47"/>
      <c r="AO108" s="46"/>
      <c r="AP108" s="46"/>
      <c r="AQ108" s="47"/>
      <c r="AR108" s="30">
        <f t="shared" ref="AR108:AW108" si="119">bdrate($D108:$D111,E108:E111,$P108:$P111,Q108:Q111)</f>
        <v>-1.3194164183097934E-3</v>
      </c>
      <c r="AS108" s="30" t="e">
        <f t="shared" si="119"/>
        <v>#VALUE!</v>
      </c>
      <c r="AT108" s="31" t="e">
        <f t="shared" si="119"/>
        <v>#VALUE!</v>
      </c>
      <c r="AU108" s="25" t="e">
        <f t="shared" si="119"/>
        <v>#VALUE!</v>
      </c>
      <c r="AV108" s="30" t="e">
        <f t="shared" si="119"/>
        <v>#VALUE!</v>
      </c>
      <c r="AW108" s="31" t="e">
        <f t="shared" si="119"/>
        <v>#VALUE!</v>
      </c>
      <c r="AX108" s="15"/>
      <c r="AY108" s="15"/>
      <c r="AZ108" s="15"/>
      <c r="BA108" s="15" t="e">
        <f>V108/J108</f>
        <v>#DIV/0!</v>
      </c>
      <c r="BB108" s="15" t="e">
        <f>X108/L108</f>
        <v>#DIV/0!</v>
      </c>
      <c r="BC108" s="15" t="e">
        <f t="shared" ref="BC108:BC111" si="120">Z108/N108</f>
        <v>#DIV/0!</v>
      </c>
    </row>
    <row r="109" spans="1:55" ht="15" x14ac:dyDescent="0.2">
      <c r="A109" s="13"/>
      <c r="B109" s="13"/>
      <c r="C109" s="43">
        <v>27</v>
      </c>
      <c r="D109" s="53">
        <v>1481.22</v>
      </c>
      <c r="E109" s="53">
        <v>44.075000000000003</v>
      </c>
      <c r="F109" s="53"/>
      <c r="G109" s="53"/>
      <c r="H109" s="53"/>
      <c r="I109" s="53"/>
      <c r="J109" s="53"/>
      <c r="K109" s="15">
        <v>0</v>
      </c>
      <c r="L109" s="15">
        <v>0</v>
      </c>
      <c r="M109" s="15">
        <v>0</v>
      </c>
      <c r="N109" s="16">
        <f t="shared" si="75"/>
        <v>0</v>
      </c>
      <c r="P109" s="54">
        <v>1479.42</v>
      </c>
      <c r="Q109" s="54">
        <v>44.078000000000003</v>
      </c>
      <c r="R109" s="54"/>
      <c r="S109" s="54"/>
      <c r="T109" s="54"/>
      <c r="U109" s="54"/>
      <c r="V109" s="54"/>
      <c r="W109" s="15">
        <v>0</v>
      </c>
      <c r="X109" s="15">
        <v>0</v>
      </c>
      <c r="Y109" s="15">
        <v>0</v>
      </c>
      <c r="Z109" s="16">
        <f t="shared" si="77"/>
        <v>0</v>
      </c>
      <c r="AA109" s="15" t="e">
        <f t="shared" si="76"/>
        <v>#DIV/0!</v>
      </c>
      <c r="AB109" s="15" t="e">
        <f t="shared" si="110"/>
        <v>#DIV/0!</v>
      </c>
      <c r="AC109" s="15" t="e">
        <f t="shared" si="110"/>
        <v>#DIV/0!</v>
      </c>
      <c r="AD109" s="16">
        <f t="shared" si="78"/>
        <v>1.2152144853566347E-3</v>
      </c>
      <c r="AE109" s="12"/>
      <c r="AF109" s="26"/>
      <c r="AG109" s="21"/>
      <c r="AH109" s="36"/>
      <c r="AI109" s="26"/>
      <c r="AJ109" s="21"/>
      <c r="AK109" s="21"/>
      <c r="AL109" s="26">
        <f>bdrate($D109:$D112,E109:E112,$P109:$P112,Q109:Q112)</f>
        <v>-1.140058983355452E-3</v>
      </c>
      <c r="AM109" s="21" t="e">
        <f>bdrate($D109:$D112,F109:F112,$P109:$P112,R109:R112)</f>
        <v>#VALUE!</v>
      </c>
      <c r="AN109" s="36" t="e">
        <f t="shared" ref="AN109" si="121">bdrate($D109:$D112,G109:G112,$P109:$P112,S109:S112)</f>
        <v>#VALUE!</v>
      </c>
      <c r="AO109" s="26" t="e">
        <f>bdrate($D109:$D112,H109:H112,$P109:$P112,T109:T112)</f>
        <v>#VALUE!</v>
      </c>
      <c r="AP109" s="21" t="e">
        <f>bdrate($D109:$D112,I109:I112,$P109:$P112,U109:U112)</f>
        <v>#VALUE!</v>
      </c>
      <c r="AQ109" s="36" t="e">
        <f>bdrate($D109:$D112,J109:J112,$P109:$P112,V109:V112)</f>
        <v>#VALUE!</v>
      </c>
      <c r="AR109" s="21"/>
      <c r="AS109" s="21"/>
      <c r="AT109" s="36"/>
      <c r="AU109" s="26"/>
      <c r="AV109" s="21"/>
      <c r="AW109" s="36"/>
      <c r="AX109" s="15" t="e">
        <f>V109/J109</f>
        <v>#DIV/0!</v>
      </c>
      <c r="AY109" s="15" t="e">
        <f>X109/L109</f>
        <v>#DIV/0!</v>
      </c>
      <c r="AZ109" s="15" t="e">
        <f t="shared" ref="AZ109:AZ112" si="122">Z109/N109</f>
        <v>#DIV/0!</v>
      </c>
      <c r="BA109" s="15" t="e">
        <f>V109/J109</f>
        <v>#DIV/0!</v>
      </c>
      <c r="BB109" s="15" t="e">
        <f>X109/L109</f>
        <v>#DIV/0!</v>
      </c>
      <c r="BC109" s="15" t="e">
        <f t="shared" si="120"/>
        <v>#DIV/0!</v>
      </c>
    </row>
    <row r="110" spans="1:55" ht="15" x14ac:dyDescent="0.2">
      <c r="A110" s="13"/>
      <c r="B110" s="13"/>
      <c r="C110" s="43">
        <v>32</v>
      </c>
      <c r="D110" s="53">
        <v>892.56</v>
      </c>
      <c r="E110" s="53">
        <v>41.679099999999998</v>
      </c>
      <c r="F110" s="53"/>
      <c r="G110" s="53"/>
      <c r="H110" s="53"/>
      <c r="I110" s="53"/>
      <c r="J110" s="53"/>
      <c r="K110" s="15">
        <v>0</v>
      </c>
      <c r="L110" s="15">
        <v>0</v>
      </c>
      <c r="M110" s="15">
        <v>0</v>
      </c>
      <c r="N110" s="16">
        <f t="shared" si="75"/>
        <v>0</v>
      </c>
      <c r="P110" s="54">
        <v>892.8</v>
      </c>
      <c r="Q110" s="54">
        <v>41.693800000000003</v>
      </c>
      <c r="R110" s="54"/>
      <c r="S110" s="54"/>
      <c r="T110" s="54"/>
      <c r="U110" s="54"/>
      <c r="V110" s="54"/>
      <c r="W110" s="15">
        <v>0</v>
      </c>
      <c r="X110" s="15">
        <v>0</v>
      </c>
      <c r="Y110" s="15">
        <v>0</v>
      </c>
      <c r="Z110" s="16">
        <f t="shared" si="77"/>
        <v>0</v>
      </c>
      <c r="AA110" s="15" t="e">
        <f t="shared" si="76"/>
        <v>#DIV/0!</v>
      </c>
      <c r="AB110" s="15" t="e">
        <f t="shared" si="110"/>
        <v>#DIV/0!</v>
      </c>
      <c r="AC110" s="15" t="e">
        <f t="shared" si="110"/>
        <v>#DIV/0!</v>
      </c>
      <c r="AD110" s="16">
        <f t="shared" si="78"/>
        <v>2.6888948642109114E-4</v>
      </c>
      <c r="AE110" s="12"/>
      <c r="AF110" s="26"/>
      <c r="AG110" s="21"/>
      <c r="AH110" s="36"/>
      <c r="AI110" s="26"/>
      <c r="AJ110" s="21"/>
      <c r="AK110" s="21"/>
      <c r="AL110" s="26"/>
      <c r="AM110" s="21"/>
      <c r="AN110" s="36"/>
      <c r="AO110" s="21"/>
      <c r="AP110" s="21"/>
      <c r="AQ110" s="36"/>
      <c r="AR110" s="21"/>
      <c r="AS110" s="21"/>
      <c r="AT110" s="36"/>
      <c r="AU110" s="26"/>
      <c r="AV110" s="21"/>
      <c r="AW110" s="36"/>
      <c r="AX110" s="15" t="e">
        <f>V110/J110</f>
        <v>#DIV/0!</v>
      </c>
      <c r="AY110" s="15" t="e">
        <f>X110/L110</f>
        <v>#DIV/0!</v>
      </c>
      <c r="AZ110" s="15" t="e">
        <f t="shared" si="122"/>
        <v>#DIV/0!</v>
      </c>
      <c r="BA110" s="15" t="e">
        <f>V110/J110</f>
        <v>#DIV/0!</v>
      </c>
      <c r="BB110" s="15" t="e">
        <f>X110/L110</f>
        <v>#DIV/0!</v>
      </c>
      <c r="BC110" s="15" t="e">
        <f t="shared" si="120"/>
        <v>#DIV/0!</v>
      </c>
    </row>
    <row r="111" spans="1:55" ht="15" x14ac:dyDescent="0.2">
      <c r="A111" s="13"/>
      <c r="B111" s="13"/>
      <c r="C111" s="43">
        <v>37</v>
      </c>
      <c r="D111" s="53">
        <v>544.38</v>
      </c>
      <c r="E111" s="53">
        <v>39.117800000000003</v>
      </c>
      <c r="F111" s="53"/>
      <c r="G111" s="53"/>
      <c r="H111" s="53"/>
      <c r="I111" s="53"/>
      <c r="J111" s="53"/>
      <c r="K111" s="15">
        <v>0</v>
      </c>
      <c r="L111" s="15">
        <v>0</v>
      </c>
      <c r="M111" s="15">
        <v>0</v>
      </c>
      <c r="N111" s="16">
        <f t="shared" si="75"/>
        <v>0</v>
      </c>
      <c r="P111" s="54">
        <v>543.78</v>
      </c>
      <c r="Q111" s="54">
        <v>39.103099999999998</v>
      </c>
      <c r="R111" s="54"/>
      <c r="S111" s="54"/>
      <c r="T111" s="54"/>
      <c r="U111" s="54"/>
      <c r="V111" s="54"/>
      <c r="W111" s="15">
        <v>0</v>
      </c>
      <c r="X111" s="15">
        <v>0</v>
      </c>
      <c r="Y111" s="15">
        <v>0</v>
      </c>
      <c r="Z111" s="16">
        <f t="shared" si="77"/>
        <v>0</v>
      </c>
      <c r="AA111" s="15" t="e">
        <f t="shared" si="76"/>
        <v>#DIV/0!</v>
      </c>
      <c r="AB111" s="15" t="e">
        <f t="shared" si="110"/>
        <v>#DIV/0!</v>
      </c>
      <c r="AC111" s="15" t="e">
        <f t="shared" si="110"/>
        <v>#DIV/0!</v>
      </c>
      <c r="AD111" s="16">
        <f t="shared" si="78"/>
        <v>1.1021712774165523E-3</v>
      </c>
      <c r="AE111" s="12"/>
      <c r="AF111" s="26"/>
      <c r="AG111" s="21"/>
      <c r="AH111" s="36"/>
      <c r="AI111" s="26"/>
      <c r="AJ111" s="21"/>
      <c r="AK111" s="21"/>
      <c r="AL111" s="26"/>
      <c r="AM111" s="21"/>
      <c r="AN111" s="36"/>
      <c r="AO111" s="21"/>
      <c r="AP111" s="21"/>
      <c r="AQ111" s="36"/>
      <c r="AR111" s="21"/>
      <c r="AS111" s="21"/>
      <c r="AT111" s="36"/>
      <c r="AU111" s="26"/>
      <c r="AV111" s="21"/>
      <c r="AW111" s="36"/>
      <c r="AX111" s="15" t="e">
        <f>V111/J111</f>
        <v>#DIV/0!</v>
      </c>
      <c r="AY111" s="15" t="e">
        <f>X111/L111</f>
        <v>#DIV/0!</v>
      </c>
      <c r="AZ111" s="15" t="e">
        <f t="shared" si="122"/>
        <v>#DIV/0!</v>
      </c>
      <c r="BA111" s="15" t="e">
        <f>V111/J111</f>
        <v>#DIV/0!</v>
      </c>
      <c r="BB111" s="15" t="e">
        <f>X111/L111</f>
        <v>#DIV/0!</v>
      </c>
      <c r="BC111" s="15" t="e">
        <f t="shared" si="120"/>
        <v>#DIV/0!</v>
      </c>
    </row>
    <row r="112" spans="1:55" ht="15.75" thickBot="1" x14ac:dyDescent="0.25">
      <c r="A112" s="17"/>
      <c r="B112" s="17"/>
      <c r="C112" s="44">
        <v>42</v>
      </c>
      <c r="D112" s="53">
        <v>330.36</v>
      </c>
      <c r="E112" s="53">
        <v>36.384799999999998</v>
      </c>
      <c r="F112" s="53"/>
      <c r="G112" s="53"/>
      <c r="H112" s="53"/>
      <c r="I112" s="53"/>
      <c r="J112" s="53"/>
      <c r="K112" s="19">
        <v>0</v>
      </c>
      <c r="L112" s="19">
        <v>0</v>
      </c>
      <c r="M112" s="19">
        <v>0</v>
      </c>
      <c r="N112" s="20">
        <f t="shared" si="75"/>
        <v>0</v>
      </c>
      <c r="P112" s="54">
        <v>325.14</v>
      </c>
      <c r="Q112" s="54">
        <v>36.322800000000001</v>
      </c>
      <c r="R112" s="54"/>
      <c r="S112" s="54"/>
      <c r="T112" s="54"/>
      <c r="U112" s="54"/>
      <c r="V112" s="54"/>
      <c r="W112" s="19">
        <v>0</v>
      </c>
      <c r="X112" s="19">
        <v>0</v>
      </c>
      <c r="Y112" s="19">
        <v>0</v>
      </c>
      <c r="Z112" s="20">
        <f t="shared" si="77"/>
        <v>0</v>
      </c>
      <c r="AA112" s="15" t="e">
        <f t="shared" si="76"/>
        <v>#DIV/0!</v>
      </c>
      <c r="AB112" s="15" t="e">
        <f t="shared" si="110"/>
        <v>#DIV/0!</v>
      </c>
      <c r="AC112" s="15" t="e">
        <f t="shared" si="110"/>
        <v>#DIV/0!</v>
      </c>
      <c r="AD112" s="20">
        <f t="shared" si="78"/>
        <v>1.580094442426452E-2</v>
      </c>
      <c r="AE112" s="12"/>
      <c r="AF112" s="27"/>
      <c r="AG112" s="37"/>
      <c r="AH112" s="38"/>
      <c r="AI112" s="27"/>
      <c r="AJ112" s="37"/>
      <c r="AK112" s="37"/>
      <c r="AL112" s="27"/>
      <c r="AM112" s="37"/>
      <c r="AN112" s="38"/>
      <c r="AO112" s="37"/>
      <c r="AP112" s="37"/>
      <c r="AQ112" s="38"/>
      <c r="AR112" s="37"/>
      <c r="AS112" s="37"/>
      <c r="AT112" s="38"/>
      <c r="AU112" s="27"/>
      <c r="AV112" s="37"/>
      <c r="AW112" s="38"/>
      <c r="AX112" s="19" t="e">
        <f>V112/J112</f>
        <v>#DIV/0!</v>
      </c>
      <c r="AY112" s="19" t="e">
        <f>X112/L112</f>
        <v>#DIV/0!</v>
      </c>
      <c r="AZ112" s="19" t="e">
        <f t="shared" si="122"/>
        <v>#DIV/0!</v>
      </c>
      <c r="BA112" s="19"/>
      <c r="BB112" s="19"/>
      <c r="BC112" s="19"/>
    </row>
    <row r="113" spans="1:55" ht="15" x14ac:dyDescent="0.2">
      <c r="A113" s="48" t="s">
        <v>25</v>
      </c>
      <c r="B113" s="8" t="s">
        <v>49</v>
      </c>
      <c r="C113" s="39">
        <v>22</v>
      </c>
      <c r="D113" s="53">
        <v>12897.24</v>
      </c>
      <c r="E113" s="53">
        <v>45.447299999999998</v>
      </c>
      <c r="F113" s="53"/>
      <c r="G113" s="53"/>
      <c r="H113" s="53"/>
      <c r="I113" s="53"/>
      <c r="J113" s="53"/>
      <c r="K113" s="10">
        <v>0</v>
      </c>
      <c r="L113" s="10">
        <v>0</v>
      </c>
      <c r="M113" s="10">
        <v>0</v>
      </c>
      <c r="N113" s="11">
        <f t="shared" si="75"/>
        <v>0</v>
      </c>
      <c r="P113" s="54">
        <v>12905.7</v>
      </c>
      <c r="Q113" s="54">
        <v>45.444099999999999</v>
      </c>
      <c r="R113" s="54"/>
      <c r="S113" s="54"/>
      <c r="T113" s="54"/>
      <c r="U113" s="54"/>
      <c r="V113" s="54"/>
      <c r="W113" s="10">
        <v>0</v>
      </c>
      <c r="X113" s="10">
        <v>0</v>
      </c>
      <c r="Y113" s="10">
        <v>0</v>
      </c>
      <c r="Z113" s="11">
        <f t="shared" si="77"/>
        <v>0</v>
      </c>
      <c r="AA113" s="10" t="e">
        <f t="shared" si="76"/>
        <v>#DIV/0!</v>
      </c>
      <c r="AB113" s="10" t="e">
        <f>X113/L113</f>
        <v>#DIV/0!</v>
      </c>
      <c r="AC113" s="10" t="e">
        <f>Y113/M113</f>
        <v>#DIV/0!</v>
      </c>
      <c r="AD113" s="11">
        <f t="shared" si="78"/>
        <v>6.559542971985437E-4</v>
      </c>
      <c r="AE113" s="40"/>
      <c r="AF113" s="25">
        <f>bdRateExtend($D113:$D117,E113:E117,$P113:$P117,Q113:Q117)</f>
        <v>3.4031703988612882E-4</v>
      </c>
      <c r="AG113" s="30" t="e">
        <f t="shared" ref="AG113:AK113" si="123">bdRateExtend($D113:$D117,F113:F117,$P113:$P117,R113:R117)</f>
        <v>#VALUE!</v>
      </c>
      <c r="AH113" s="31" t="e">
        <f t="shared" si="123"/>
        <v>#VALUE!</v>
      </c>
      <c r="AI113" s="25" t="e">
        <f t="shared" si="123"/>
        <v>#VALUE!</v>
      </c>
      <c r="AJ113" s="30" t="e">
        <f t="shared" si="123"/>
        <v>#VALUE!</v>
      </c>
      <c r="AK113" s="30" t="e">
        <f t="shared" si="123"/>
        <v>#VALUE!</v>
      </c>
      <c r="AL113" s="26"/>
      <c r="AM113" s="21"/>
      <c r="AN113" s="36"/>
      <c r="AO113" s="21"/>
      <c r="AP113" s="21"/>
      <c r="AQ113" s="36"/>
      <c r="AR113" s="30">
        <f t="shared" ref="AR113:AW113" si="124">bdrate($D113:$D116,E113:E116,$P113:$P116,Q113:Q116)</f>
        <v>4.874313159592969E-4</v>
      </c>
      <c r="AS113" s="30" t="e">
        <f t="shared" si="124"/>
        <v>#VALUE!</v>
      </c>
      <c r="AT113" s="31" t="e">
        <f t="shared" si="124"/>
        <v>#VALUE!</v>
      </c>
      <c r="AU113" s="25" t="e">
        <f t="shared" si="124"/>
        <v>#VALUE!</v>
      </c>
      <c r="AV113" s="30" t="e">
        <f t="shared" si="124"/>
        <v>#VALUE!</v>
      </c>
      <c r="AW113" s="31" t="e">
        <f t="shared" si="124"/>
        <v>#VALUE!</v>
      </c>
      <c r="AX113" s="10"/>
      <c r="AY113" s="10"/>
      <c r="AZ113" s="10"/>
      <c r="BA113" s="10" t="e">
        <f>V113/J113</f>
        <v>#DIV/0!</v>
      </c>
      <c r="BB113" s="10" t="e">
        <f t="shared" ref="BB113:BB116" si="125">X113/L113</f>
        <v>#DIV/0!</v>
      </c>
      <c r="BC113" s="10" t="e">
        <f t="shared" ref="BC113:BC151" si="126">Z113/N113</f>
        <v>#DIV/0!</v>
      </c>
    </row>
    <row r="114" spans="1:55" ht="15" x14ac:dyDescent="0.2">
      <c r="A114" s="13"/>
      <c r="C114" s="43">
        <v>27</v>
      </c>
      <c r="D114" s="53">
        <v>7534.32</v>
      </c>
      <c r="E114" s="53">
        <v>41.993699999999997</v>
      </c>
      <c r="F114" s="53"/>
      <c r="G114" s="53"/>
      <c r="H114" s="53"/>
      <c r="I114" s="53"/>
      <c r="J114" s="53"/>
      <c r="K114" s="15">
        <v>0</v>
      </c>
      <c r="L114" s="15">
        <v>0</v>
      </c>
      <c r="M114" s="15">
        <v>0</v>
      </c>
      <c r="N114" s="16">
        <f t="shared" si="75"/>
        <v>0</v>
      </c>
      <c r="P114" s="54">
        <v>7529.28</v>
      </c>
      <c r="Q114" s="54">
        <v>41.986400000000003</v>
      </c>
      <c r="R114" s="54"/>
      <c r="S114" s="54"/>
      <c r="T114" s="54"/>
      <c r="U114" s="54"/>
      <c r="V114" s="54"/>
      <c r="W114" s="15">
        <v>0</v>
      </c>
      <c r="X114" s="15">
        <v>0</v>
      </c>
      <c r="Y114" s="15">
        <v>0</v>
      </c>
      <c r="Z114" s="16">
        <f t="shared" si="77"/>
        <v>0</v>
      </c>
      <c r="AA114" s="15" t="e">
        <f t="shared" si="76"/>
        <v>#DIV/0!</v>
      </c>
      <c r="AB114" s="15" t="e">
        <f t="shared" ref="AB114:AC132" si="127">X114/L114</f>
        <v>#DIV/0!</v>
      </c>
      <c r="AC114" s="15" t="e">
        <f t="shared" si="127"/>
        <v>#DIV/0!</v>
      </c>
      <c r="AD114" s="16">
        <f t="shared" si="78"/>
        <v>6.689389354314608E-4</v>
      </c>
      <c r="AE114" s="12"/>
      <c r="AF114" s="26"/>
      <c r="AG114" s="21"/>
      <c r="AH114" s="36"/>
      <c r="AI114" s="26"/>
      <c r="AJ114" s="21"/>
      <c r="AK114" s="21"/>
      <c r="AL114" s="26">
        <f>bdrate($D114:$D117,E114:E117,$P114:$P117,Q114:Q117)</f>
        <v>2.008469793954859E-4</v>
      </c>
      <c r="AM114" s="21" t="e">
        <f>bdrate($D114:$D117,F114:F117,$P114:$P117,R114:R117)</f>
        <v>#VALUE!</v>
      </c>
      <c r="AN114" s="36" t="e">
        <f t="shared" ref="AN114" si="128">bdrate($D114:$D117,G114:G117,$P114:$P117,S114:S117)</f>
        <v>#VALUE!</v>
      </c>
      <c r="AO114" s="26" t="e">
        <f>bdrate($D114:$D117,H114:H117,$P114:$P117,T114:T117)</f>
        <v>#VALUE!</v>
      </c>
      <c r="AP114" s="21" t="e">
        <f>bdrate($D114:$D117,I114:I117,$P114:$P117,U114:U117)</f>
        <v>#VALUE!</v>
      </c>
      <c r="AQ114" s="36" t="e">
        <f>bdrate($D114:$D117,J114:J117,$P114:$P117,V114:V117)</f>
        <v>#VALUE!</v>
      </c>
      <c r="AR114" s="21"/>
      <c r="AS114" s="21"/>
      <c r="AT114" s="36"/>
      <c r="AU114" s="26"/>
      <c r="AV114" s="21"/>
      <c r="AW114" s="36"/>
      <c r="AX114" s="15" t="e">
        <f>V114/J114</f>
        <v>#DIV/0!</v>
      </c>
      <c r="AY114" s="15" t="e">
        <f t="shared" ref="AY114:AY117" si="129">X114/L114</f>
        <v>#DIV/0!</v>
      </c>
      <c r="AZ114" s="15" t="e">
        <f t="shared" ref="AZ114:AZ152" si="130">Z114/N114</f>
        <v>#DIV/0!</v>
      </c>
      <c r="BA114" s="15" t="e">
        <f>V114/J114</f>
        <v>#DIV/0!</v>
      </c>
      <c r="BB114" s="15" t="e">
        <f t="shared" si="125"/>
        <v>#DIV/0!</v>
      </c>
      <c r="BC114" s="15" t="e">
        <f t="shared" si="126"/>
        <v>#DIV/0!</v>
      </c>
    </row>
    <row r="115" spans="1:55" ht="15" x14ac:dyDescent="0.2">
      <c r="A115" s="13"/>
      <c r="B115" s="13"/>
      <c r="C115" s="43">
        <v>32</v>
      </c>
      <c r="D115" s="53">
        <v>4293.3599999999997</v>
      </c>
      <c r="E115" s="53">
        <v>38.840699999999998</v>
      </c>
      <c r="F115" s="53"/>
      <c r="G115" s="53"/>
      <c r="H115" s="53"/>
      <c r="I115" s="53"/>
      <c r="J115" s="53"/>
      <c r="K115" s="15">
        <v>0</v>
      </c>
      <c r="L115" s="15">
        <v>0</v>
      </c>
      <c r="M115" s="15">
        <v>0</v>
      </c>
      <c r="N115" s="16">
        <f t="shared" si="75"/>
        <v>0</v>
      </c>
      <c r="P115" s="54">
        <v>4290.96</v>
      </c>
      <c r="Q115" s="54">
        <v>38.834600000000002</v>
      </c>
      <c r="R115" s="54"/>
      <c r="S115" s="54"/>
      <c r="T115" s="54"/>
      <c r="U115" s="54"/>
      <c r="V115" s="54"/>
      <c r="W115" s="15">
        <v>0</v>
      </c>
      <c r="X115" s="15">
        <v>0</v>
      </c>
      <c r="Y115" s="15">
        <v>0</v>
      </c>
      <c r="Z115" s="16">
        <f t="shared" si="77"/>
        <v>0</v>
      </c>
      <c r="AA115" s="15" t="e">
        <f t="shared" si="76"/>
        <v>#DIV/0!</v>
      </c>
      <c r="AB115" s="15" t="e">
        <f t="shared" si="127"/>
        <v>#DIV/0!</v>
      </c>
      <c r="AC115" s="15" t="e">
        <f t="shared" si="127"/>
        <v>#DIV/0!</v>
      </c>
      <c r="AD115" s="16">
        <f t="shared" si="78"/>
        <v>5.5900273911333701E-4</v>
      </c>
      <c r="AE115" s="12"/>
      <c r="AF115" s="26"/>
      <c r="AG115" s="21"/>
      <c r="AH115" s="36"/>
      <c r="AI115" s="26"/>
      <c r="AJ115" s="21"/>
      <c r="AK115" s="21"/>
      <c r="AL115" s="26"/>
      <c r="AM115" s="21"/>
      <c r="AN115" s="36"/>
      <c r="AO115" s="21"/>
      <c r="AP115" s="21"/>
      <c r="AQ115" s="36"/>
      <c r="AR115" s="21"/>
      <c r="AS115" s="21"/>
      <c r="AT115" s="36"/>
      <c r="AU115" s="26"/>
      <c r="AV115" s="21"/>
      <c r="AW115" s="36"/>
      <c r="AX115" s="15" t="e">
        <f>V115/J115</f>
        <v>#DIV/0!</v>
      </c>
      <c r="AY115" s="15" t="e">
        <f t="shared" si="129"/>
        <v>#DIV/0!</v>
      </c>
      <c r="AZ115" s="15" t="e">
        <f t="shared" si="130"/>
        <v>#DIV/0!</v>
      </c>
      <c r="BA115" s="15" t="e">
        <f>V115/J115</f>
        <v>#DIV/0!</v>
      </c>
      <c r="BB115" s="15" t="e">
        <f t="shared" si="125"/>
        <v>#DIV/0!</v>
      </c>
      <c r="BC115" s="15" t="e">
        <f t="shared" si="126"/>
        <v>#DIV/0!</v>
      </c>
    </row>
    <row r="116" spans="1:55" ht="15" x14ac:dyDescent="0.2">
      <c r="A116" s="13"/>
      <c r="B116" s="13"/>
      <c r="C116" s="43">
        <v>37</v>
      </c>
      <c r="D116" s="53">
        <v>2448.96</v>
      </c>
      <c r="E116" s="53">
        <v>36.020099999999999</v>
      </c>
      <c r="F116" s="53"/>
      <c r="G116" s="53"/>
      <c r="H116" s="53"/>
      <c r="I116" s="53"/>
      <c r="J116" s="53"/>
      <c r="K116" s="15">
        <v>0</v>
      </c>
      <c r="L116" s="15">
        <v>0</v>
      </c>
      <c r="M116" s="15">
        <v>0</v>
      </c>
      <c r="N116" s="16">
        <f t="shared" si="75"/>
        <v>0</v>
      </c>
      <c r="P116" s="54">
        <v>2454.66</v>
      </c>
      <c r="Q116" s="54">
        <v>36.035499999999999</v>
      </c>
      <c r="R116" s="54"/>
      <c r="S116" s="54"/>
      <c r="T116" s="54"/>
      <c r="U116" s="54"/>
      <c r="V116" s="54"/>
      <c r="W116" s="15">
        <v>0</v>
      </c>
      <c r="X116" s="15">
        <v>0</v>
      </c>
      <c r="Y116" s="15">
        <v>0</v>
      </c>
      <c r="Z116" s="16">
        <f t="shared" si="77"/>
        <v>0</v>
      </c>
      <c r="AA116" s="15" t="e">
        <f t="shared" si="76"/>
        <v>#DIV/0!</v>
      </c>
      <c r="AB116" s="15" t="e">
        <f t="shared" si="127"/>
        <v>#DIV/0!</v>
      </c>
      <c r="AC116" s="15" t="e">
        <f t="shared" si="127"/>
        <v>#DIV/0!</v>
      </c>
      <c r="AD116" s="16">
        <f t="shared" si="78"/>
        <v>2.3275186201488869E-3</v>
      </c>
      <c r="AE116" s="12"/>
      <c r="AF116" s="26"/>
      <c r="AG116" s="21"/>
      <c r="AH116" s="36"/>
      <c r="AI116" s="26"/>
      <c r="AJ116" s="21"/>
      <c r="AK116" s="21"/>
      <c r="AL116" s="26"/>
      <c r="AM116" s="21"/>
      <c r="AN116" s="36"/>
      <c r="AO116" s="21"/>
      <c r="AP116" s="21"/>
      <c r="AQ116" s="36"/>
      <c r="AR116" s="21"/>
      <c r="AS116" s="21"/>
      <c r="AT116" s="36"/>
      <c r="AU116" s="26"/>
      <c r="AV116" s="21"/>
      <c r="AW116" s="36"/>
      <c r="AX116" s="15" t="e">
        <f>V116/J116</f>
        <v>#DIV/0!</v>
      </c>
      <c r="AY116" s="15" t="e">
        <f t="shared" si="129"/>
        <v>#DIV/0!</v>
      </c>
      <c r="AZ116" s="15" t="e">
        <f t="shared" si="130"/>
        <v>#DIV/0!</v>
      </c>
      <c r="BA116" s="15" t="e">
        <f>V116/J116</f>
        <v>#DIV/0!</v>
      </c>
      <c r="BB116" s="15" t="e">
        <f t="shared" si="125"/>
        <v>#DIV/0!</v>
      </c>
      <c r="BC116" s="15" t="e">
        <f t="shared" si="126"/>
        <v>#DIV/0!</v>
      </c>
    </row>
    <row r="117" spans="1:55" ht="15.75" thickBot="1" x14ac:dyDescent="0.25">
      <c r="A117" s="13"/>
      <c r="B117" s="17"/>
      <c r="C117" s="44">
        <v>42</v>
      </c>
      <c r="D117" s="53">
        <v>1360.26</v>
      </c>
      <c r="E117" s="53">
        <v>33.252800000000001</v>
      </c>
      <c r="F117" s="53"/>
      <c r="G117" s="53"/>
      <c r="H117" s="53"/>
      <c r="I117" s="53"/>
      <c r="J117" s="53"/>
      <c r="K117" s="19">
        <v>0</v>
      </c>
      <c r="L117" s="19">
        <v>0</v>
      </c>
      <c r="M117" s="19">
        <v>0</v>
      </c>
      <c r="N117" s="20">
        <f t="shared" si="75"/>
        <v>0</v>
      </c>
      <c r="P117" s="54">
        <v>1362.78</v>
      </c>
      <c r="Q117" s="54">
        <v>33.253999999999998</v>
      </c>
      <c r="R117" s="54"/>
      <c r="S117" s="54"/>
      <c r="T117" s="54"/>
      <c r="U117" s="54"/>
      <c r="V117" s="54"/>
      <c r="W117" s="19">
        <v>0</v>
      </c>
      <c r="X117" s="19">
        <v>0</v>
      </c>
      <c r="Y117" s="19">
        <v>0</v>
      </c>
      <c r="Z117" s="20">
        <f t="shared" si="77"/>
        <v>0</v>
      </c>
      <c r="AA117" s="15" t="e">
        <f t="shared" si="76"/>
        <v>#DIV/0!</v>
      </c>
      <c r="AB117" s="15" t="e">
        <f t="shared" si="127"/>
        <v>#DIV/0!</v>
      </c>
      <c r="AC117" s="15" t="e">
        <f t="shared" si="127"/>
        <v>#DIV/0!</v>
      </c>
      <c r="AD117" s="20">
        <f t="shared" si="78"/>
        <v>1.85258700542542E-3</v>
      </c>
      <c r="AE117" s="12"/>
      <c r="AF117" s="27"/>
      <c r="AG117" s="37"/>
      <c r="AH117" s="38"/>
      <c r="AI117" s="27"/>
      <c r="AJ117" s="37"/>
      <c r="AK117" s="37"/>
      <c r="AL117" s="26"/>
      <c r="AM117" s="21"/>
      <c r="AN117" s="36"/>
      <c r="AO117" s="21"/>
      <c r="AP117" s="21"/>
      <c r="AQ117" s="36"/>
      <c r="AR117" s="37"/>
      <c r="AS117" s="37"/>
      <c r="AT117" s="38"/>
      <c r="AU117" s="27"/>
      <c r="AV117" s="37"/>
      <c r="AW117" s="38"/>
      <c r="AX117" s="15" t="e">
        <f>V117/J117</f>
        <v>#DIV/0!</v>
      </c>
      <c r="AY117" s="15" t="e">
        <f t="shared" si="129"/>
        <v>#DIV/0!</v>
      </c>
      <c r="AZ117" s="15" t="e">
        <f t="shared" si="130"/>
        <v>#DIV/0!</v>
      </c>
      <c r="BA117" s="15"/>
      <c r="BB117" s="15"/>
      <c r="BC117" s="15"/>
    </row>
    <row r="118" spans="1:55" ht="15" x14ac:dyDescent="0.2">
      <c r="A118" s="13"/>
      <c r="B118" s="8" t="s">
        <v>35</v>
      </c>
      <c r="C118" s="39">
        <v>22</v>
      </c>
      <c r="D118" s="53">
        <v>2025.35</v>
      </c>
      <c r="E118" s="53">
        <v>43.294400000000003</v>
      </c>
      <c r="F118" s="53"/>
      <c r="G118" s="53"/>
      <c r="H118" s="53"/>
      <c r="I118" s="53"/>
      <c r="J118" s="53"/>
      <c r="K118" s="10">
        <v>0</v>
      </c>
      <c r="L118" s="10">
        <v>0</v>
      </c>
      <c r="M118" s="10">
        <v>0</v>
      </c>
      <c r="N118" s="11">
        <f t="shared" si="75"/>
        <v>0</v>
      </c>
      <c r="P118" s="54">
        <v>2035.7</v>
      </c>
      <c r="Q118" s="54">
        <v>43.321800000000003</v>
      </c>
      <c r="R118" s="54"/>
      <c r="S118" s="54"/>
      <c r="T118" s="54"/>
      <c r="U118" s="54"/>
      <c r="V118" s="54"/>
      <c r="W118" s="10">
        <v>0</v>
      </c>
      <c r="X118" s="10">
        <v>0</v>
      </c>
      <c r="Y118" s="10">
        <v>0</v>
      </c>
      <c r="Z118" s="11">
        <f t="shared" si="77"/>
        <v>0</v>
      </c>
      <c r="AA118" s="15" t="e">
        <f t="shared" si="76"/>
        <v>#DIV/0!</v>
      </c>
      <c r="AB118" s="15" t="e">
        <f t="shared" si="127"/>
        <v>#DIV/0!</v>
      </c>
      <c r="AC118" s="15" t="e">
        <f t="shared" si="127"/>
        <v>#DIV/0!</v>
      </c>
      <c r="AD118" s="11">
        <f t="shared" si="78"/>
        <v>5.1102278618511054E-3</v>
      </c>
      <c r="AE118" s="12"/>
      <c r="AF118" s="25">
        <f t="shared" ref="AF118:AK118" si="131">bdRateExtend($D118:$D122,E118:E122,$P118:$P122,Q118:Q122)</f>
        <v>1.3225155918048515E-3</v>
      </c>
      <c r="AG118" s="30" t="e">
        <f t="shared" si="131"/>
        <v>#VALUE!</v>
      </c>
      <c r="AH118" s="31" t="e">
        <f t="shared" si="131"/>
        <v>#VALUE!</v>
      </c>
      <c r="AI118" s="25" t="e">
        <f t="shared" si="131"/>
        <v>#VALUE!</v>
      </c>
      <c r="AJ118" s="30" t="e">
        <f t="shared" si="131"/>
        <v>#VALUE!</v>
      </c>
      <c r="AK118" s="30" t="e">
        <f t="shared" si="131"/>
        <v>#VALUE!</v>
      </c>
      <c r="AL118" s="45"/>
      <c r="AM118" s="46"/>
      <c r="AN118" s="47"/>
      <c r="AO118" s="46"/>
      <c r="AP118" s="46"/>
      <c r="AQ118" s="47"/>
      <c r="AR118" s="30">
        <f t="shared" ref="AR118:AW118" si="132">bdrate($D118:$D121,E118:E121,$P118:$P121,Q118:Q121)</f>
        <v>1.8126417440302856E-3</v>
      </c>
      <c r="AS118" s="30" t="e">
        <f t="shared" si="132"/>
        <v>#VALUE!</v>
      </c>
      <c r="AT118" s="31" t="e">
        <f t="shared" si="132"/>
        <v>#VALUE!</v>
      </c>
      <c r="AU118" s="25" t="e">
        <f t="shared" si="132"/>
        <v>#VALUE!</v>
      </c>
      <c r="AV118" s="30" t="e">
        <f t="shared" si="132"/>
        <v>#VALUE!</v>
      </c>
      <c r="AW118" s="31" t="e">
        <f t="shared" si="132"/>
        <v>#VALUE!</v>
      </c>
      <c r="AX118" s="15"/>
      <c r="AY118" s="15"/>
      <c r="AZ118" s="15"/>
      <c r="BA118" s="15" t="e">
        <f>V118/J118</f>
        <v>#DIV/0!</v>
      </c>
      <c r="BB118" s="15" t="e">
        <f t="shared" ref="BB118:BB121" si="133">X118/L118</f>
        <v>#DIV/0!</v>
      </c>
      <c r="BC118" s="15" t="e">
        <f t="shared" si="126"/>
        <v>#DIV/0!</v>
      </c>
    </row>
    <row r="119" spans="1:55" ht="15" x14ac:dyDescent="0.2">
      <c r="A119" s="13"/>
      <c r="B119" s="13"/>
      <c r="C119" s="43">
        <v>27</v>
      </c>
      <c r="D119" s="53">
        <v>1106.8499999999999</v>
      </c>
      <c r="E119" s="53">
        <v>40.146999999999998</v>
      </c>
      <c r="F119" s="53"/>
      <c r="G119" s="53"/>
      <c r="H119" s="53"/>
      <c r="I119" s="53"/>
      <c r="J119" s="53"/>
      <c r="K119" s="15">
        <v>0</v>
      </c>
      <c r="L119" s="15">
        <v>0</v>
      </c>
      <c r="M119" s="15">
        <v>0</v>
      </c>
      <c r="N119" s="16">
        <f t="shared" si="75"/>
        <v>0</v>
      </c>
      <c r="P119" s="54">
        <v>1109.05</v>
      </c>
      <c r="Q119" s="54">
        <v>40.144500000000001</v>
      </c>
      <c r="R119" s="54"/>
      <c r="S119" s="54"/>
      <c r="T119" s="54"/>
      <c r="U119" s="54"/>
      <c r="V119" s="54"/>
      <c r="W119" s="15">
        <v>0</v>
      </c>
      <c r="X119" s="15">
        <v>0</v>
      </c>
      <c r="Y119" s="15">
        <v>0</v>
      </c>
      <c r="Z119" s="16">
        <f t="shared" si="77"/>
        <v>0</v>
      </c>
      <c r="AA119" s="15" t="e">
        <f t="shared" si="76"/>
        <v>#DIV/0!</v>
      </c>
      <c r="AB119" s="15" t="e">
        <f t="shared" si="127"/>
        <v>#DIV/0!</v>
      </c>
      <c r="AC119" s="15" t="e">
        <f t="shared" si="127"/>
        <v>#DIV/0!</v>
      </c>
      <c r="AD119" s="16">
        <f t="shared" si="78"/>
        <v>1.9876225324118404E-3</v>
      </c>
      <c r="AE119" s="12"/>
      <c r="AF119" s="26"/>
      <c r="AG119" s="21"/>
      <c r="AH119" s="36"/>
      <c r="AI119" s="26"/>
      <c r="AJ119" s="21"/>
      <c r="AK119" s="21"/>
      <c r="AL119" s="26">
        <f>bdrate($D119:$D122,E119:E122,$P119:$P122,Q119:Q122)</f>
        <v>1.1517572925074937E-3</v>
      </c>
      <c r="AM119" s="21" t="e">
        <f>bdrate($D119:$D122,F119:F122,$P119:$P122,R119:R122)</f>
        <v>#VALUE!</v>
      </c>
      <c r="AN119" s="36" t="e">
        <f t="shared" ref="AN119" si="134">bdrate($D119:$D122,G119:G122,$P119:$P122,S119:S122)</f>
        <v>#VALUE!</v>
      </c>
      <c r="AO119" s="26" t="e">
        <f>bdrate($D119:$D122,H119:H122,$P119:$P122,T119:T122)</f>
        <v>#VALUE!</v>
      </c>
      <c r="AP119" s="21" t="e">
        <f>bdrate($D119:$D122,I119:I122,$P119:$P122,U119:U122)</f>
        <v>#VALUE!</v>
      </c>
      <c r="AQ119" s="36" t="e">
        <f>bdrate($D119:$D122,J119:J122,$P119:$P122,V119:V122)</f>
        <v>#VALUE!</v>
      </c>
      <c r="AR119" s="21"/>
      <c r="AS119" s="21"/>
      <c r="AT119" s="36"/>
      <c r="AU119" s="26"/>
      <c r="AV119" s="21"/>
      <c r="AW119" s="36"/>
      <c r="AX119" s="15" t="e">
        <f>V119/J119</f>
        <v>#DIV/0!</v>
      </c>
      <c r="AY119" s="15" t="e">
        <f t="shared" ref="AY119:AY122" si="135">X119/L119</f>
        <v>#DIV/0!</v>
      </c>
      <c r="AZ119" s="15" t="e">
        <f t="shared" si="130"/>
        <v>#DIV/0!</v>
      </c>
      <c r="BA119" s="15" t="e">
        <f>V119/J119</f>
        <v>#DIV/0!</v>
      </c>
      <c r="BB119" s="15" t="e">
        <f t="shared" si="133"/>
        <v>#DIV/0!</v>
      </c>
      <c r="BC119" s="15" t="e">
        <f t="shared" si="126"/>
        <v>#DIV/0!</v>
      </c>
    </row>
    <row r="120" spans="1:55" ht="15" x14ac:dyDescent="0.2">
      <c r="A120" s="13"/>
      <c r="B120" s="13"/>
      <c r="C120" s="43">
        <v>32</v>
      </c>
      <c r="D120" s="53">
        <v>608.95000000000005</v>
      </c>
      <c r="E120" s="53">
        <v>37.295400000000001</v>
      </c>
      <c r="F120" s="53"/>
      <c r="G120" s="53"/>
      <c r="H120" s="53"/>
      <c r="I120" s="53"/>
      <c r="J120" s="53"/>
      <c r="K120" s="15">
        <v>0</v>
      </c>
      <c r="L120" s="15">
        <v>0</v>
      </c>
      <c r="M120" s="15">
        <v>0</v>
      </c>
      <c r="N120" s="16">
        <f t="shared" si="75"/>
        <v>0</v>
      </c>
      <c r="P120" s="54">
        <v>606.5</v>
      </c>
      <c r="Q120" s="54">
        <v>37.268999999999998</v>
      </c>
      <c r="R120" s="54"/>
      <c r="S120" s="54"/>
      <c r="T120" s="54"/>
      <c r="U120" s="54"/>
      <c r="V120" s="54"/>
      <c r="W120" s="15">
        <v>0</v>
      </c>
      <c r="X120" s="15">
        <v>0</v>
      </c>
      <c r="Y120" s="15">
        <v>0</v>
      </c>
      <c r="Z120" s="16">
        <f t="shared" si="77"/>
        <v>0</v>
      </c>
      <c r="AA120" s="15" t="e">
        <f t="shared" si="76"/>
        <v>#DIV/0!</v>
      </c>
      <c r="AB120" s="15" t="e">
        <f t="shared" si="127"/>
        <v>#DIV/0!</v>
      </c>
      <c r="AC120" s="15" t="e">
        <f t="shared" si="127"/>
        <v>#DIV/0!</v>
      </c>
      <c r="AD120" s="16">
        <f t="shared" si="78"/>
        <v>4.0233188274900163E-3</v>
      </c>
      <c r="AE120" s="12"/>
      <c r="AF120" s="26"/>
      <c r="AG120" s="21"/>
      <c r="AH120" s="36"/>
      <c r="AI120" s="26"/>
      <c r="AJ120" s="21"/>
      <c r="AK120" s="21"/>
      <c r="AL120" s="26"/>
      <c r="AM120" s="21"/>
      <c r="AN120" s="36"/>
      <c r="AO120" s="21"/>
      <c r="AP120" s="21"/>
      <c r="AQ120" s="36"/>
      <c r="AR120" s="21"/>
      <c r="AS120" s="21"/>
      <c r="AT120" s="36"/>
      <c r="AU120" s="26"/>
      <c r="AV120" s="21"/>
      <c r="AW120" s="36"/>
      <c r="AX120" s="15" t="e">
        <f>V120/J120</f>
        <v>#DIV/0!</v>
      </c>
      <c r="AY120" s="15" t="e">
        <f t="shared" si="135"/>
        <v>#DIV/0!</v>
      </c>
      <c r="AZ120" s="15" t="e">
        <f t="shared" si="130"/>
        <v>#DIV/0!</v>
      </c>
      <c r="BA120" s="15" t="e">
        <f>V120/J120</f>
        <v>#DIV/0!</v>
      </c>
      <c r="BB120" s="15" t="e">
        <f t="shared" si="133"/>
        <v>#DIV/0!</v>
      </c>
      <c r="BC120" s="15" t="e">
        <f t="shared" si="126"/>
        <v>#DIV/0!</v>
      </c>
    </row>
    <row r="121" spans="1:55" ht="15" x14ac:dyDescent="0.2">
      <c r="A121" s="13"/>
      <c r="B121" s="13"/>
      <c r="C121" s="43">
        <v>37</v>
      </c>
      <c r="D121" s="53">
        <v>352.45</v>
      </c>
      <c r="E121" s="53">
        <v>34.793700000000001</v>
      </c>
      <c r="F121" s="53"/>
      <c r="G121" s="53"/>
      <c r="H121" s="53"/>
      <c r="I121" s="53"/>
      <c r="J121" s="53"/>
      <c r="K121" s="15">
        <v>0</v>
      </c>
      <c r="L121" s="15">
        <v>0</v>
      </c>
      <c r="M121" s="15">
        <v>0</v>
      </c>
      <c r="N121" s="16">
        <f t="shared" si="75"/>
        <v>0</v>
      </c>
      <c r="P121" s="54">
        <v>351.25</v>
      </c>
      <c r="Q121" s="54">
        <v>34.769500000000001</v>
      </c>
      <c r="R121" s="54"/>
      <c r="S121" s="54"/>
      <c r="T121" s="54"/>
      <c r="U121" s="54"/>
      <c r="V121" s="54"/>
      <c r="W121" s="15">
        <v>0</v>
      </c>
      <c r="X121" s="15">
        <v>0</v>
      </c>
      <c r="Y121" s="15">
        <v>0</v>
      </c>
      <c r="Z121" s="16">
        <f t="shared" si="77"/>
        <v>0</v>
      </c>
      <c r="AA121" s="15" t="e">
        <f t="shared" si="76"/>
        <v>#DIV/0!</v>
      </c>
      <c r="AB121" s="15" t="e">
        <f t="shared" si="127"/>
        <v>#DIV/0!</v>
      </c>
      <c r="AC121" s="15" t="e">
        <f t="shared" si="127"/>
        <v>#DIV/0!</v>
      </c>
      <c r="AD121" s="16">
        <f t="shared" si="78"/>
        <v>3.404738260746173E-3</v>
      </c>
      <c r="AE121" s="12"/>
      <c r="AF121" s="26"/>
      <c r="AG121" s="21"/>
      <c r="AH121" s="36"/>
      <c r="AI121" s="26"/>
      <c r="AJ121" s="21"/>
      <c r="AK121" s="21"/>
      <c r="AL121" s="26"/>
      <c r="AM121" s="21"/>
      <c r="AN121" s="36"/>
      <c r="AO121" s="21"/>
      <c r="AP121" s="21"/>
      <c r="AQ121" s="36"/>
      <c r="AR121" s="21"/>
      <c r="AS121" s="21"/>
      <c r="AT121" s="36"/>
      <c r="AU121" s="26"/>
      <c r="AV121" s="21"/>
      <c r="AW121" s="36"/>
      <c r="AX121" s="15" t="e">
        <f>V121/J121</f>
        <v>#DIV/0!</v>
      </c>
      <c r="AY121" s="15" t="e">
        <f t="shared" si="135"/>
        <v>#DIV/0!</v>
      </c>
      <c r="AZ121" s="15" t="e">
        <f t="shared" si="130"/>
        <v>#DIV/0!</v>
      </c>
      <c r="BA121" s="15" t="e">
        <f>V121/J121</f>
        <v>#DIV/0!</v>
      </c>
      <c r="BB121" s="15" t="e">
        <f t="shared" si="133"/>
        <v>#DIV/0!</v>
      </c>
      <c r="BC121" s="15" t="e">
        <f t="shared" si="126"/>
        <v>#DIV/0!</v>
      </c>
    </row>
    <row r="122" spans="1:55" ht="15.75" thickBot="1" x14ac:dyDescent="0.25">
      <c r="A122" s="13"/>
      <c r="B122" s="17"/>
      <c r="C122" s="44">
        <v>42</v>
      </c>
      <c r="D122" s="53">
        <v>200</v>
      </c>
      <c r="E122" s="53">
        <v>32.0398</v>
      </c>
      <c r="F122" s="53"/>
      <c r="G122" s="53"/>
      <c r="H122" s="53"/>
      <c r="I122" s="53"/>
      <c r="J122" s="53"/>
      <c r="K122" s="19">
        <v>0</v>
      </c>
      <c r="L122" s="19">
        <v>0</v>
      </c>
      <c r="M122" s="19">
        <v>0</v>
      </c>
      <c r="N122" s="20">
        <f t="shared" si="75"/>
        <v>0</v>
      </c>
      <c r="P122" s="54">
        <v>200.15</v>
      </c>
      <c r="Q122" s="54">
        <v>32.060899999999997</v>
      </c>
      <c r="R122" s="54"/>
      <c r="S122" s="54"/>
      <c r="T122" s="54"/>
      <c r="U122" s="54"/>
      <c r="V122" s="54"/>
      <c r="W122" s="19">
        <v>0</v>
      </c>
      <c r="X122" s="19">
        <v>0</v>
      </c>
      <c r="Y122" s="19">
        <v>0</v>
      </c>
      <c r="Z122" s="20">
        <f t="shared" si="77"/>
        <v>0</v>
      </c>
      <c r="AA122" s="15" t="e">
        <f t="shared" si="76"/>
        <v>#DIV/0!</v>
      </c>
      <c r="AB122" s="15" t="e">
        <f t="shared" si="127"/>
        <v>#DIV/0!</v>
      </c>
      <c r="AC122" s="15" t="e">
        <f t="shared" si="127"/>
        <v>#DIV/0!</v>
      </c>
      <c r="AD122" s="20">
        <f t="shared" si="78"/>
        <v>7.5000000000002842E-4</v>
      </c>
      <c r="AE122" s="12"/>
      <c r="AF122" s="27"/>
      <c r="AG122" s="37"/>
      <c r="AH122" s="38"/>
      <c r="AI122" s="27"/>
      <c r="AJ122" s="37"/>
      <c r="AK122" s="37"/>
      <c r="AL122" s="27"/>
      <c r="AM122" s="37"/>
      <c r="AN122" s="38"/>
      <c r="AO122" s="37"/>
      <c r="AP122" s="37"/>
      <c r="AQ122" s="38"/>
      <c r="AR122" s="37"/>
      <c r="AS122" s="37"/>
      <c r="AT122" s="38"/>
      <c r="AU122" s="27"/>
      <c r="AV122" s="37"/>
      <c r="AW122" s="38"/>
      <c r="AX122" s="15" t="e">
        <f>V122/J122</f>
        <v>#DIV/0!</v>
      </c>
      <c r="AY122" s="15" t="e">
        <f t="shared" si="135"/>
        <v>#DIV/0!</v>
      </c>
      <c r="AZ122" s="15" t="e">
        <f t="shared" si="130"/>
        <v>#DIV/0!</v>
      </c>
      <c r="BA122" s="15"/>
      <c r="BB122" s="15"/>
      <c r="BC122" s="15"/>
    </row>
    <row r="123" spans="1:55" ht="15" x14ac:dyDescent="0.2">
      <c r="A123" s="13"/>
      <c r="B123" s="8" t="s">
        <v>36</v>
      </c>
      <c r="C123" s="39">
        <v>22</v>
      </c>
      <c r="D123" s="53">
        <v>3163.41</v>
      </c>
      <c r="E123" s="53">
        <v>47.649299999999997</v>
      </c>
      <c r="F123" s="53"/>
      <c r="G123" s="53"/>
      <c r="H123" s="53"/>
      <c r="I123" s="53"/>
      <c r="J123" s="53"/>
      <c r="K123" s="10">
        <v>0</v>
      </c>
      <c r="L123" s="10">
        <v>0</v>
      </c>
      <c r="M123" s="10">
        <v>0</v>
      </c>
      <c r="N123" s="11">
        <f t="shared" si="75"/>
        <v>0</v>
      </c>
      <c r="P123" s="54">
        <v>3152.16</v>
      </c>
      <c r="Q123" s="54">
        <v>47.659100000000002</v>
      </c>
      <c r="R123" s="54"/>
      <c r="S123" s="54"/>
      <c r="T123" s="54"/>
      <c r="U123" s="54"/>
      <c r="V123" s="54"/>
      <c r="W123" s="10">
        <v>0</v>
      </c>
      <c r="X123" s="10">
        <v>0</v>
      </c>
      <c r="Y123" s="10">
        <v>0</v>
      </c>
      <c r="Z123" s="11">
        <f t="shared" si="77"/>
        <v>0</v>
      </c>
      <c r="AA123" s="15" t="e">
        <f t="shared" si="76"/>
        <v>#DIV/0!</v>
      </c>
      <c r="AB123" s="15" t="e">
        <f t="shared" si="127"/>
        <v>#DIV/0!</v>
      </c>
      <c r="AC123" s="15" t="e">
        <f t="shared" si="127"/>
        <v>#DIV/0!</v>
      </c>
      <c r="AD123" s="11">
        <f t="shared" si="78"/>
        <v>3.5562889413639082E-3</v>
      </c>
      <c r="AE123" s="12"/>
      <c r="AF123" s="25">
        <f t="shared" ref="AF123:AK123" si="136">bdRateExtend($D123:$D127,E123:E127,$P123:$P127,Q123:Q127)</f>
        <v>-3.2206481814425203E-3</v>
      </c>
      <c r="AG123" s="30" t="e">
        <f t="shared" si="136"/>
        <v>#VALUE!</v>
      </c>
      <c r="AH123" s="31" t="e">
        <f t="shared" si="136"/>
        <v>#VALUE!</v>
      </c>
      <c r="AI123" s="25" t="e">
        <f t="shared" si="136"/>
        <v>#VALUE!</v>
      </c>
      <c r="AJ123" s="30" t="e">
        <f t="shared" si="136"/>
        <v>#VALUE!</v>
      </c>
      <c r="AK123" s="30" t="e">
        <f t="shared" si="136"/>
        <v>#VALUE!</v>
      </c>
      <c r="AL123" s="26"/>
      <c r="AM123" s="21"/>
      <c r="AN123" s="36"/>
      <c r="AO123" s="21"/>
      <c r="AP123" s="21"/>
      <c r="AQ123" s="36"/>
      <c r="AR123" s="30">
        <f t="shared" ref="AR123:AW123" si="137">bdrate($D123:$D126,E123:E126,$P123:$P126,Q123:Q126)</f>
        <v>-1.629826827027836E-3</v>
      </c>
      <c r="AS123" s="30" t="e">
        <f t="shared" si="137"/>
        <v>#VALUE!</v>
      </c>
      <c r="AT123" s="31" t="e">
        <f t="shared" si="137"/>
        <v>#VALUE!</v>
      </c>
      <c r="AU123" s="25" t="e">
        <f t="shared" si="137"/>
        <v>#VALUE!</v>
      </c>
      <c r="AV123" s="30" t="e">
        <f t="shared" si="137"/>
        <v>#VALUE!</v>
      </c>
      <c r="AW123" s="31" t="e">
        <f t="shared" si="137"/>
        <v>#VALUE!</v>
      </c>
      <c r="AX123" s="15"/>
      <c r="AY123" s="15"/>
      <c r="AZ123" s="15"/>
      <c r="BA123" s="15" t="e">
        <f>V123/J123</f>
        <v>#DIV/0!</v>
      </c>
      <c r="BB123" s="15" t="e">
        <f t="shared" ref="BB123:BB126" si="138">X123/L123</f>
        <v>#DIV/0!</v>
      </c>
      <c r="BC123" s="15" t="e">
        <f t="shared" si="126"/>
        <v>#DIV/0!</v>
      </c>
    </row>
    <row r="124" spans="1:55" ht="15" x14ac:dyDescent="0.2">
      <c r="A124" s="13"/>
      <c r="B124" s="13"/>
      <c r="C124" s="43">
        <v>27</v>
      </c>
      <c r="D124" s="53">
        <v>2318.61</v>
      </c>
      <c r="E124" s="53">
        <v>43.750599999999999</v>
      </c>
      <c r="F124" s="53"/>
      <c r="G124" s="53"/>
      <c r="H124" s="53"/>
      <c r="I124" s="53"/>
      <c r="J124" s="53"/>
      <c r="K124" s="15">
        <v>0</v>
      </c>
      <c r="L124" s="15">
        <v>0</v>
      </c>
      <c r="M124" s="15">
        <v>0</v>
      </c>
      <c r="N124" s="16">
        <f t="shared" si="75"/>
        <v>0</v>
      </c>
      <c r="P124" s="54">
        <v>2310.6</v>
      </c>
      <c r="Q124" s="54">
        <v>43.7819</v>
      </c>
      <c r="R124" s="54"/>
      <c r="S124" s="54"/>
      <c r="T124" s="54"/>
      <c r="U124" s="54"/>
      <c r="V124" s="54"/>
      <c r="W124" s="15">
        <v>0</v>
      </c>
      <c r="X124" s="15">
        <v>0</v>
      </c>
      <c r="Y124" s="15">
        <v>0</v>
      </c>
      <c r="Z124" s="16">
        <f t="shared" si="77"/>
        <v>0</v>
      </c>
      <c r="AA124" s="15" t="e">
        <f t="shared" si="76"/>
        <v>#DIV/0!</v>
      </c>
      <c r="AB124" s="15" t="e">
        <f t="shared" si="127"/>
        <v>#DIV/0!</v>
      </c>
      <c r="AC124" s="15" t="e">
        <f t="shared" si="127"/>
        <v>#DIV/0!</v>
      </c>
      <c r="AD124" s="16">
        <f t="shared" si="78"/>
        <v>3.4546560223583174E-3</v>
      </c>
      <c r="AE124" s="12"/>
      <c r="AF124" s="26"/>
      <c r="AG124" s="21"/>
      <c r="AH124" s="36"/>
      <c r="AI124" s="26"/>
      <c r="AJ124" s="21"/>
      <c r="AK124" s="21"/>
      <c r="AL124" s="26">
        <f>bdrate($D124:$D127,E124:E127,$P124:$P127,Q124:Q127)</f>
        <v>-1.9076511734809065E-3</v>
      </c>
      <c r="AM124" s="21" t="e">
        <f>bdrate($D124:$D127,F124:F127,$P124:$P127,R124:R127)</f>
        <v>#VALUE!</v>
      </c>
      <c r="AN124" s="36" t="e">
        <f t="shared" ref="AN124" si="139">bdrate($D124:$D127,G124:G127,$P124:$P127,S124:S127)</f>
        <v>#VALUE!</v>
      </c>
      <c r="AO124" s="26" t="e">
        <f>bdrate($D124:$D127,H124:H127,$P124:$P127,T124:T127)</f>
        <v>#VALUE!</v>
      </c>
      <c r="AP124" s="21" t="e">
        <f>bdrate($D124:$D127,I124:I127,$P124:$P127,U124:U127)</f>
        <v>#VALUE!</v>
      </c>
      <c r="AQ124" s="36" t="e">
        <f>bdrate($D124:$D127,J124:J127,$P124:$P127,V124:V127)</f>
        <v>#VALUE!</v>
      </c>
      <c r="AR124" s="21"/>
      <c r="AS124" s="21"/>
      <c r="AT124" s="36"/>
      <c r="AU124" s="26"/>
      <c r="AV124" s="21"/>
      <c r="AW124" s="36"/>
      <c r="AX124" s="15" t="e">
        <f>V124/J124</f>
        <v>#DIV/0!</v>
      </c>
      <c r="AY124" s="15" t="e">
        <f t="shared" ref="AY124:AY127" si="140">X124/L124</f>
        <v>#DIV/0!</v>
      </c>
      <c r="AZ124" s="15" t="e">
        <f t="shared" si="130"/>
        <v>#DIV/0!</v>
      </c>
      <c r="BA124" s="15" t="e">
        <f>V124/J124</f>
        <v>#DIV/0!</v>
      </c>
      <c r="BB124" s="15" t="e">
        <f t="shared" si="138"/>
        <v>#DIV/0!</v>
      </c>
      <c r="BC124" s="15" t="e">
        <f t="shared" si="126"/>
        <v>#DIV/0!</v>
      </c>
    </row>
    <row r="125" spans="1:55" ht="15" x14ac:dyDescent="0.2">
      <c r="A125" s="13"/>
      <c r="B125" s="13"/>
      <c r="C125" s="43">
        <v>32</v>
      </c>
      <c r="D125" s="53">
        <v>1738.71</v>
      </c>
      <c r="E125" s="53">
        <v>40.601100000000002</v>
      </c>
      <c r="F125" s="53"/>
      <c r="G125" s="53"/>
      <c r="H125" s="53"/>
      <c r="I125" s="53"/>
      <c r="J125" s="53"/>
      <c r="K125" s="15">
        <v>0</v>
      </c>
      <c r="L125" s="15">
        <v>0</v>
      </c>
      <c r="M125" s="15">
        <v>0</v>
      </c>
      <c r="N125" s="16">
        <f t="shared" si="75"/>
        <v>0</v>
      </c>
      <c r="P125" s="54">
        <v>1739.01</v>
      </c>
      <c r="Q125" s="54">
        <v>40.549199999999999</v>
      </c>
      <c r="R125" s="54"/>
      <c r="S125" s="54"/>
      <c r="T125" s="54"/>
      <c r="U125" s="54"/>
      <c r="V125" s="54"/>
      <c r="W125" s="15">
        <v>0</v>
      </c>
      <c r="X125" s="15">
        <v>0</v>
      </c>
      <c r="Y125" s="15">
        <v>0</v>
      </c>
      <c r="Z125" s="16">
        <f t="shared" si="77"/>
        <v>0</v>
      </c>
      <c r="AA125" s="15" t="e">
        <f t="shared" si="76"/>
        <v>#DIV/0!</v>
      </c>
      <c r="AB125" s="15" t="e">
        <f t="shared" si="127"/>
        <v>#DIV/0!</v>
      </c>
      <c r="AC125" s="15" t="e">
        <f t="shared" si="127"/>
        <v>#DIV/0!</v>
      </c>
      <c r="AD125" s="16">
        <f t="shared" si="78"/>
        <v>1.7254171195883991E-4</v>
      </c>
      <c r="AE125" s="12"/>
      <c r="AF125" s="26"/>
      <c r="AG125" s="21"/>
      <c r="AH125" s="36"/>
      <c r="AI125" s="26"/>
      <c r="AJ125" s="21"/>
      <c r="AK125" s="21"/>
      <c r="AL125" s="26"/>
      <c r="AM125" s="21"/>
      <c r="AN125" s="36"/>
      <c r="AO125" s="21"/>
      <c r="AP125" s="21"/>
      <c r="AQ125" s="36"/>
      <c r="AR125" s="21"/>
      <c r="AS125" s="21"/>
      <c r="AT125" s="36"/>
      <c r="AU125" s="26"/>
      <c r="AV125" s="21"/>
      <c r="AW125" s="36"/>
      <c r="AX125" s="15" t="e">
        <f>V125/J125</f>
        <v>#DIV/0!</v>
      </c>
      <c r="AY125" s="15" t="e">
        <f t="shared" si="140"/>
        <v>#DIV/0!</v>
      </c>
      <c r="AZ125" s="15" t="e">
        <f t="shared" si="130"/>
        <v>#DIV/0!</v>
      </c>
      <c r="BA125" s="15" t="e">
        <f>V125/J125</f>
        <v>#DIV/0!</v>
      </c>
      <c r="BB125" s="15" t="e">
        <f t="shared" si="138"/>
        <v>#DIV/0!</v>
      </c>
      <c r="BC125" s="15" t="e">
        <f t="shared" si="126"/>
        <v>#DIV/0!</v>
      </c>
    </row>
    <row r="126" spans="1:55" ht="15" x14ac:dyDescent="0.2">
      <c r="A126" s="13"/>
      <c r="B126" s="13"/>
      <c r="C126" s="43">
        <v>37</v>
      </c>
      <c r="D126" s="53">
        <v>1309.1400000000001</v>
      </c>
      <c r="E126" s="53">
        <v>36.205800000000004</v>
      </c>
      <c r="F126" s="53"/>
      <c r="G126" s="53"/>
      <c r="H126" s="53"/>
      <c r="I126" s="53"/>
      <c r="J126" s="53"/>
      <c r="K126" s="15">
        <v>0</v>
      </c>
      <c r="L126" s="15">
        <v>0</v>
      </c>
      <c r="M126" s="15">
        <v>0</v>
      </c>
      <c r="N126" s="16">
        <f t="shared" si="75"/>
        <v>0</v>
      </c>
      <c r="P126" s="54">
        <v>1307.22</v>
      </c>
      <c r="Q126" s="54">
        <v>36.253</v>
      </c>
      <c r="R126" s="54"/>
      <c r="S126" s="54"/>
      <c r="T126" s="54"/>
      <c r="U126" s="54"/>
      <c r="V126" s="54"/>
      <c r="W126" s="15">
        <v>0</v>
      </c>
      <c r="X126" s="15">
        <v>0</v>
      </c>
      <c r="Y126" s="15">
        <v>0</v>
      </c>
      <c r="Z126" s="16">
        <f t="shared" si="77"/>
        <v>0</v>
      </c>
      <c r="AA126" s="15" t="e">
        <f t="shared" si="76"/>
        <v>#DIV/0!</v>
      </c>
      <c r="AB126" s="15" t="e">
        <f t="shared" si="127"/>
        <v>#DIV/0!</v>
      </c>
      <c r="AC126" s="15" t="e">
        <f t="shared" si="127"/>
        <v>#DIV/0!</v>
      </c>
      <c r="AD126" s="16">
        <f t="shared" si="78"/>
        <v>1.4666116687291448E-3</v>
      </c>
      <c r="AE126" s="12"/>
      <c r="AF126" s="26"/>
      <c r="AG126" s="21"/>
      <c r="AH126" s="36"/>
      <c r="AI126" s="26"/>
      <c r="AJ126" s="21"/>
      <c r="AK126" s="21"/>
      <c r="AL126" s="26"/>
      <c r="AM126" s="21"/>
      <c r="AN126" s="36"/>
      <c r="AO126" s="21"/>
      <c r="AP126" s="21"/>
      <c r="AQ126" s="36"/>
      <c r="AR126" s="21"/>
      <c r="AS126" s="21"/>
      <c r="AT126" s="36"/>
      <c r="AU126" s="26"/>
      <c r="AV126" s="21"/>
      <c r="AW126" s="36"/>
      <c r="AX126" s="15" t="e">
        <f>V126/J126</f>
        <v>#DIV/0!</v>
      </c>
      <c r="AY126" s="15" t="e">
        <f t="shared" si="140"/>
        <v>#DIV/0!</v>
      </c>
      <c r="AZ126" s="15" t="e">
        <f t="shared" si="130"/>
        <v>#DIV/0!</v>
      </c>
      <c r="BA126" s="15" t="e">
        <f>V126/J126</f>
        <v>#DIV/0!</v>
      </c>
      <c r="BB126" s="15" t="e">
        <f t="shared" si="138"/>
        <v>#DIV/0!</v>
      </c>
      <c r="BC126" s="15" t="e">
        <f t="shared" si="126"/>
        <v>#DIV/0!</v>
      </c>
    </row>
    <row r="127" spans="1:55" ht="15.75" thickBot="1" x14ac:dyDescent="0.25">
      <c r="A127" s="13"/>
      <c r="B127" s="17"/>
      <c r="C127" s="44">
        <v>42</v>
      </c>
      <c r="D127" s="53">
        <v>952.92</v>
      </c>
      <c r="E127" s="53">
        <v>31.9192</v>
      </c>
      <c r="F127" s="53"/>
      <c r="G127" s="53"/>
      <c r="H127" s="53"/>
      <c r="I127" s="53"/>
      <c r="J127" s="53"/>
      <c r="K127" s="19">
        <v>0</v>
      </c>
      <c r="L127" s="19">
        <v>0</v>
      </c>
      <c r="M127" s="19">
        <v>0</v>
      </c>
      <c r="N127" s="20">
        <f t="shared" si="75"/>
        <v>0</v>
      </c>
      <c r="P127" s="54">
        <v>951</v>
      </c>
      <c r="Q127" s="54">
        <v>31.958500000000001</v>
      </c>
      <c r="R127" s="54"/>
      <c r="S127" s="54"/>
      <c r="T127" s="54"/>
      <c r="U127" s="54"/>
      <c r="V127" s="54"/>
      <c r="W127" s="19">
        <v>0</v>
      </c>
      <c r="X127" s="19">
        <v>0</v>
      </c>
      <c r="Y127" s="19">
        <v>0</v>
      </c>
      <c r="Z127" s="20">
        <f t="shared" si="77"/>
        <v>0</v>
      </c>
      <c r="AA127" s="15" t="e">
        <f t="shared" si="76"/>
        <v>#DIV/0!</v>
      </c>
      <c r="AB127" s="15" t="e">
        <f t="shared" si="127"/>
        <v>#DIV/0!</v>
      </c>
      <c r="AC127" s="15" t="e">
        <f t="shared" si="127"/>
        <v>#DIV/0!</v>
      </c>
      <c r="AD127" s="20">
        <f t="shared" si="78"/>
        <v>2.0148595894723159E-3</v>
      </c>
      <c r="AE127" s="12"/>
      <c r="AF127" s="27"/>
      <c r="AG127" s="37"/>
      <c r="AH127" s="38"/>
      <c r="AI127" s="27"/>
      <c r="AJ127" s="37"/>
      <c r="AK127" s="37"/>
      <c r="AL127" s="26"/>
      <c r="AM127" s="21"/>
      <c r="AN127" s="36"/>
      <c r="AO127" s="21"/>
      <c r="AP127" s="21"/>
      <c r="AQ127" s="36"/>
      <c r="AR127" s="37"/>
      <c r="AS127" s="37"/>
      <c r="AT127" s="38"/>
      <c r="AU127" s="27"/>
      <c r="AV127" s="37"/>
      <c r="AW127" s="38"/>
      <c r="AX127" s="15" t="e">
        <f>V127/J127</f>
        <v>#DIV/0!</v>
      </c>
      <c r="AY127" s="15" t="e">
        <f t="shared" si="140"/>
        <v>#DIV/0!</v>
      </c>
      <c r="AZ127" s="15" t="e">
        <f t="shared" si="130"/>
        <v>#DIV/0!</v>
      </c>
      <c r="BA127" s="15"/>
      <c r="BB127" s="15"/>
      <c r="BC127" s="15"/>
    </row>
    <row r="128" spans="1:55" ht="15" x14ac:dyDescent="0.2">
      <c r="A128" s="13"/>
      <c r="B128" s="8" t="s">
        <v>37</v>
      </c>
      <c r="C128" s="39">
        <v>22</v>
      </c>
      <c r="D128" s="53">
        <v>830.86</v>
      </c>
      <c r="E128" s="53">
        <v>49.002800000000001</v>
      </c>
      <c r="F128" s="53"/>
      <c r="G128" s="53"/>
      <c r="H128" s="53"/>
      <c r="I128" s="53"/>
      <c r="J128" s="53"/>
      <c r="K128" s="10">
        <v>0</v>
      </c>
      <c r="L128" s="10">
        <v>0</v>
      </c>
      <c r="M128" s="10">
        <v>0</v>
      </c>
      <c r="N128" s="11">
        <f t="shared" si="75"/>
        <v>0</v>
      </c>
      <c r="P128" s="54">
        <v>830.42</v>
      </c>
      <c r="Q128" s="54">
        <v>49.055399999999999</v>
      </c>
      <c r="R128" s="54"/>
      <c r="S128" s="54"/>
      <c r="T128" s="54"/>
      <c r="U128" s="54"/>
      <c r="V128" s="54"/>
      <c r="W128" s="10">
        <v>0</v>
      </c>
      <c r="X128" s="10">
        <v>0</v>
      </c>
      <c r="Y128" s="10">
        <v>0</v>
      </c>
      <c r="Z128" s="11">
        <f t="shared" si="77"/>
        <v>0</v>
      </c>
      <c r="AA128" s="15" t="e">
        <f t="shared" si="76"/>
        <v>#DIV/0!</v>
      </c>
      <c r="AB128" s="15" t="e">
        <f t="shared" si="127"/>
        <v>#DIV/0!</v>
      </c>
      <c r="AC128" s="15" t="e">
        <f t="shared" si="127"/>
        <v>#DIV/0!</v>
      </c>
      <c r="AD128" s="11">
        <f t="shared" si="78"/>
        <v>5.2957176901048859E-4</v>
      </c>
      <c r="AE128" s="12"/>
      <c r="AF128" s="25">
        <f t="shared" ref="AF128:AK128" si="141">bdRateExtend($D128:$D132,E128:E132,$P128:$P132,Q128:Q132)</f>
        <v>-2.8191768861888233E-3</v>
      </c>
      <c r="AG128" s="30" t="e">
        <f t="shared" si="141"/>
        <v>#VALUE!</v>
      </c>
      <c r="AH128" s="31" t="e">
        <f t="shared" si="141"/>
        <v>#VALUE!</v>
      </c>
      <c r="AI128" s="25" t="e">
        <f t="shared" si="141"/>
        <v>#VALUE!</v>
      </c>
      <c r="AJ128" s="30" t="e">
        <f t="shared" si="141"/>
        <v>#VALUE!</v>
      </c>
      <c r="AK128" s="30" t="e">
        <f t="shared" si="141"/>
        <v>#VALUE!</v>
      </c>
      <c r="AL128" s="45"/>
      <c r="AM128" s="46"/>
      <c r="AN128" s="47"/>
      <c r="AO128" s="46"/>
      <c r="AP128" s="46"/>
      <c r="AQ128" s="47"/>
      <c r="AR128" s="30">
        <f t="shared" ref="AR128:AW128" si="142">bdrate($D128:$D131,E128:E131,$P128:$P131,Q128:Q131)</f>
        <v>-1.7106550587802083E-3</v>
      </c>
      <c r="AS128" s="30" t="e">
        <f t="shared" si="142"/>
        <v>#VALUE!</v>
      </c>
      <c r="AT128" s="31" t="e">
        <f t="shared" si="142"/>
        <v>#VALUE!</v>
      </c>
      <c r="AU128" s="25" t="e">
        <f t="shared" si="142"/>
        <v>#VALUE!</v>
      </c>
      <c r="AV128" s="30" t="e">
        <f t="shared" si="142"/>
        <v>#VALUE!</v>
      </c>
      <c r="AW128" s="31" t="e">
        <f t="shared" si="142"/>
        <v>#VALUE!</v>
      </c>
      <c r="AX128" s="15"/>
      <c r="AY128" s="15"/>
      <c r="AZ128" s="15"/>
      <c r="BA128" s="15" t="e">
        <f>V128/J128</f>
        <v>#DIV/0!</v>
      </c>
      <c r="BB128" s="15" t="e">
        <f t="shared" ref="BB128:BB131" si="143">X128/L128</f>
        <v>#DIV/0!</v>
      </c>
      <c r="BC128" s="15" t="e">
        <f t="shared" si="126"/>
        <v>#DIV/0!</v>
      </c>
    </row>
    <row r="129" spans="1:55" ht="15" x14ac:dyDescent="0.2">
      <c r="A129" s="13"/>
      <c r="B129" s="13"/>
      <c r="C129" s="43">
        <v>27</v>
      </c>
      <c r="D129" s="53">
        <v>588.34</v>
      </c>
      <c r="E129" s="53">
        <v>45.736600000000003</v>
      </c>
      <c r="F129" s="53"/>
      <c r="G129" s="53"/>
      <c r="H129" s="53"/>
      <c r="I129" s="53"/>
      <c r="J129" s="53"/>
      <c r="K129" s="15">
        <v>0</v>
      </c>
      <c r="L129" s="15">
        <v>0</v>
      </c>
      <c r="M129" s="15">
        <v>0</v>
      </c>
      <c r="N129" s="16">
        <f t="shared" si="75"/>
        <v>0</v>
      </c>
      <c r="P129" s="54">
        <v>587.20000000000005</v>
      </c>
      <c r="Q129" s="54">
        <v>45.735799999999998</v>
      </c>
      <c r="R129" s="54"/>
      <c r="S129" s="54"/>
      <c r="T129" s="54"/>
      <c r="U129" s="54"/>
      <c r="V129" s="54"/>
      <c r="W129" s="15">
        <v>0</v>
      </c>
      <c r="X129" s="15">
        <v>0</v>
      </c>
      <c r="Y129" s="15">
        <v>0</v>
      </c>
      <c r="Z129" s="16">
        <f t="shared" si="77"/>
        <v>0</v>
      </c>
      <c r="AA129" s="15" t="e">
        <f t="shared" si="76"/>
        <v>#DIV/0!</v>
      </c>
      <c r="AB129" s="15" t="e">
        <f t="shared" si="127"/>
        <v>#DIV/0!</v>
      </c>
      <c r="AC129" s="15" t="e">
        <f t="shared" si="127"/>
        <v>#DIV/0!</v>
      </c>
      <c r="AD129" s="16">
        <f t="shared" si="78"/>
        <v>1.9376550973926408E-3</v>
      </c>
      <c r="AE129" s="12"/>
      <c r="AF129" s="26"/>
      <c r="AG129" s="21"/>
      <c r="AH129" s="36"/>
      <c r="AI129" s="26"/>
      <c r="AJ129" s="21"/>
      <c r="AK129" s="21"/>
      <c r="AL129" s="26">
        <f>bdrate($D129:$D132,E129:E132,$P129:$P132,Q129:Q132)</f>
        <v>-2.3784637565180677E-3</v>
      </c>
      <c r="AM129" s="21" t="e">
        <f>bdrate($D129:$D132,F129:F132,$P129:$P132,R129:R132)</f>
        <v>#VALUE!</v>
      </c>
      <c r="AN129" s="36" t="e">
        <f t="shared" ref="AN129" si="144">bdrate($D129:$D132,G129:G132,$P129:$P132,S129:S132)</f>
        <v>#VALUE!</v>
      </c>
      <c r="AO129" s="26" t="e">
        <f>bdrate($D129:$D132,H129:H132,$P129:$P132,T129:T132)</f>
        <v>#VALUE!</v>
      </c>
      <c r="AP129" s="21" t="e">
        <f>bdrate($D129:$D132,I129:I132,$P129:$P132,U129:U132)</f>
        <v>#VALUE!</v>
      </c>
      <c r="AQ129" s="36" t="e">
        <f>bdrate($D129:$D132,J129:J132,$P129:$P132,V129:V132)</f>
        <v>#VALUE!</v>
      </c>
      <c r="AR129" s="21"/>
      <c r="AS129" s="21"/>
      <c r="AT129" s="36"/>
      <c r="AU129" s="26"/>
      <c r="AV129" s="21"/>
      <c r="AW129" s="36"/>
      <c r="AX129" s="15" t="e">
        <f>V129/J129</f>
        <v>#DIV/0!</v>
      </c>
      <c r="AY129" s="15" t="e">
        <f t="shared" ref="AY129:AY132" si="145">X129/L129</f>
        <v>#DIV/0!</v>
      </c>
      <c r="AZ129" s="15" t="e">
        <f t="shared" si="130"/>
        <v>#DIV/0!</v>
      </c>
      <c r="BA129" s="15" t="e">
        <f>V129/J129</f>
        <v>#DIV/0!</v>
      </c>
      <c r="BB129" s="15" t="e">
        <f t="shared" si="143"/>
        <v>#DIV/0!</v>
      </c>
      <c r="BC129" s="15" t="e">
        <f t="shared" si="126"/>
        <v>#DIV/0!</v>
      </c>
    </row>
    <row r="130" spans="1:55" ht="15" x14ac:dyDescent="0.2">
      <c r="A130" s="13"/>
      <c r="B130" s="13"/>
      <c r="C130" s="43">
        <v>32</v>
      </c>
      <c r="D130" s="53">
        <v>432.76</v>
      </c>
      <c r="E130" s="53">
        <v>42.479399999999998</v>
      </c>
      <c r="F130" s="53"/>
      <c r="G130" s="53"/>
      <c r="H130" s="53"/>
      <c r="I130" s="53"/>
      <c r="J130" s="53"/>
      <c r="K130" s="15">
        <v>0</v>
      </c>
      <c r="L130" s="15">
        <v>0</v>
      </c>
      <c r="M130" s="15">
        <v>0</v>
      </c>
      <c r="N130" s="16">
        <f t="shared" si="75"/>
        <v>0</v>
      </c>
      <c r="P130" s="54">
        <v>431.96</v>
      </c>
      <c r="Q130" s="54">
        <v>42.445099999999996</v>
      </c>
      <c r="R130" s="54"/>
      <c r="S130" s="54"/>
      <c r="T130" s="54"/>
      <c r="U130" s="54"/>
      <c r="V130" s="54"/>
      <c r="W130" s="15">
        <v>0</v>
      </c>
      <c r="X130" s="15">
        <v>0</v>
      </c>
      <c r="Y130" s="15">
        <v>0</v>
      </c>
      <c r="Z130" s="16">
        <f t="shared" si="77"/>
        <v>0</v>
      </c>
      <c r="AA130" s="15" t="e">
        <f t="shared" si="76"/>
        <v>#DIV/0!</v>
      </c>
      <c r="AB130" s="15" t="e">
        <f t="shared" si="127"/>
        <v>#DIV/0!</v>
      </c>
      <c r="AC130" s="15" t="e">
        <f t="shared" si="127"/>
        <v>#DIV/0!</v>
      </c>
      <c r="AD130" s="16">
        <f t="shared" si="78"/>
        <v>1.8485996857380796E-3</v>
      </c>
      <c r="AE130" s="12"/>
      <c r="AF130" s="26"/>
      <c r="AG130" s="21"/>
      <c r="AH130" s="36"/>
      <c r="AI130" s="26"/>
      <c r="AJ130" s="21"/>
      <c r="AK130" s="21"/>
      <c r="AL130" s="26"/>
      <c r="AM130" s="21"/>
      <c r="AN130" s="36"/>
      <c r="AO130" s="21"/>
      <c r="AP130" s="21"/>
      <c r="AQ130" s="36"/>
      <c r="AR130" s="21"/>
      <c r="AS130" s="21"/>
      <c r="AT130" s="36"/>
      <c r="AU130" s="26"/>
      <c r="AV130" s="21"/>
      <c r="AW130" s="36"/>
      <c r="AX130" s="15" t="e">
        <f>V130/J130</f>
        <v>#DIV/0!</v>
      </c>
      <c r="AY130" s="15" t="e">
        <f t="shared" si="145"/>
        <v>#DIV/0!</v>
      </c>
      <c r="AZ130" s="15" t="e">
        <f t="shared" si="130"/>
        <v>#DIV/0!</v>
      </c>
      <c r="BA130" s="15" t="e">
        <f>V130/J130</f>
        <v>#DIV/0!</v>
      </c>
      <c r="BB130" s="15" t="e">
        <f t="shared" si="143"/>
        <v>#DIV/0!</v>
      </c>
      <c r="BC130" s="15" t="e">
        <f t="shared" si="126"/>
        <v>#DIV/0!</v>
      </c>
    </row>
    <row r="131" spans="1:55" ht="15" x14ac:dyDescent="0.2">
      <c r="A131" s="13"/>
      <c r="B131" s="13"/>
      <c r="C131" s="43">
        <v>37</v>
      </c>
      <c r="D131" s="53">
        <v>318.45999999999998</v>
      </c>
      <c r="E131" s="53">
        <v>38.731299999999997</v>
      </c>
      <c r="F131" s="53"/>
      <c r="G131" s="53"/>
      <c r="H131" s="53"/>
      <c r="I131" s="53"/>
      <c r="J131" s="53"/>
      <c r="K131" s="15">
        <v>0</v>
      </c>
      <c r="L131" s="15">
        <v>0</v>
      </c>
      <c r="M131" s="15">
        <v>0</v>
      </c>
      <c r="N131" s="16">
        <f t="shared" ref="N131:N152" si="146">K131/3600</f>
        <v>0</v>
      </c>
      <c r="P131" s="54">
        <v>317.77999999999997</v>
      </c>
      <c r="Q131" s="54">
        <v>38.776200000000003</v>
      </c>
      <c r="R131" s="54"/>
      <c r="S131" s="54"/>
      <c r="T131" s="54"/>
      <c r="U131" s="54"/>
      <c r="V131" s="54"/>
      <c r="W131" s="15">
        <v>0</v>
      </c>
      <c r="X131" s="15">
        <v>0</v>
      </c>
      <c r="Y131" s="15">
        <v>0</v>
      </c>
      <c r="Z131" s="16">
        <f t="shared" si="77"/>
        <v>0</v>
      </c>
      <c r="AA131" s="15" t="e">
        <f t="shared" ref="AA131:AA152" si="147">V131/J131</f>
        <v>#DIV/0!</v>
      </c>
      <c r="AB131" s="15" t="e">
        <f t="shared" si="127"/>
        <v>#DIV/0!</v>
      </c>
      <c r="AC131" s="15" t="e">
        <f t="shared" si="127"/>
        <v>#DIV/0!</v>
      </c>
      <c r="AD131" s="16">
        <f t="shared" si="78"/>
        <v>2.1352760158261852E-3</v>
      </c>
      <c r="AE131" s="12"/>
      <c r="AF131" s="26"/>
      <c r="AG131" s="21"/>
      <c r="AH131" s="36"/>
      <c r="AI131" s="26"/>
      <c r="AJ131" s="21"/>
      <c r="AK131" s="21"/>
      <c r="AL131" s="26"/>
      <c r="AM131" s="21"/>
      <c r="AN131" s="36"/>
      <c r="AO131" s="21"/>
      <c r="AP131" s="21"/>
      <c r="AQ131" s="36"/>
      <c r="AR131" s="21"/>
      <c r="AS131" s="21"/>
      <c r="AT131" s="36"/>
      <c r="AU131" s="26"/>
      <c r="AV131" s="21"/>
      <c r="AW131" s="36"/>
      <c r="AX131" s="15" t="e">
        <f>V131/J131</f>
        <v>#DIV/0!</v>
      </c>
      <c r="AY131" s="15" t="e">
        <f t="shared" si="145"/>
        <v>#DIV/0!</v>
      </c>
      <c r="AZ131" s="15" t="e">
        <f t="shared" si="130"/>
        <v>#DIV/0!</v>
      </c>
      <c r="BA131" s="15" t="e">
        <f>V131/J131</f>
        <v>#DIV/0!</v>
      </c>
      <c r="BB131" s="15" t="e">
        <f t="shared" si="143"/>
        <v>#DIV/0!</v>
      </c>
      <c r="BC131" s="15" t="e">
        <f t="shared" si="126"/>
        <v>#DIV/0!</v>
      </c>
    </row>
    <row r="132" spans="1:55" ht="15.75" thickBot="1" x14ac:dyDescent="0.25">
      <c r="A132" s="17"/>
      <c r="B132" s="17"/>
      <c r="C132" s="44">
        <v>42</v>
      </c>
      <c r="D132" s="53">
        <v>228.22</v>
      </c>
      <c r="E132" s="53">
        <v>35.075600000000001</v>
      </c>
      <c r="F132" s="53"/>
      <c r="G132" s="53"/>
      <c r="H132" s="53"/>
      <c r="I132" s="53"/>
      <c r="J132" s="53"/>
      <c r="K132" s="19">
        <v>0</v>
      </c>
      <c r="L132" s="19">
        <v>0</v>
      </c>
      <c r="M132" s="19">
        <v>0</v>
      </c>
      <c r="N132" s="20">
        <f t="shared" si="146"/>
        <v>0</v>
      </c>
      <c r="P132" s="54">
        <v>226.72</v>
      </c>
      <c r="Q132" s="54">
        <v>35.022599999999997</v>
      </c>
      <c r="R132" s="54"/>
      <c r="S132" s="54"/>
      <c r="T132" s="54"/>
      <c r="U132" s="54"/>
      <c r="V132" s="54"/>
      <c r="W132" s="19">
        <v>0</v>
      </c>
      <c r="X132" s="19">
        <v>0</v>
      </c>
      <c r="Y132" s="19">
        <v>0</v>
      </c>
      <c r="Z132" s="20">
        <f t="shared" ref="Z132:Z152" si="148">W132/3600</f>
        <v>0</v>
      </c>
      <c r="AA132" s="19" t="e">
        <f t="shared" si="147"/>
        <v>#DIV/0!</v>
      </c>
      <c r="AB132" s="19" t="e">
        <f t="shared" si="127"/>
        <v>#DIV/0!</v>
      </c>
      <c r="AC132" s="19" t="e">
        <f t="shared" si="127"/>
        <v>#DIV/0!</v>
      </c>
      <c r="AD132" s="20">
        <f t="shared" ref="AD132:AD152" si="149">ABS(P132-D132)/D132</f>
        <v>6.5726053807729388E-3</v>
      </c>
      <c r="AE132" s="41"/>
      <c r="AF132" s="27"/>
      <c r="AG132" s="37"/>
      <c r="AH132" s="38"/>
      <c r="AI132" s="27"/>
      <c r="AJ132" s="37"/>
      <c r="AK132" s="37"/>
      <c r="AL132" s="27"/>
      <c r="AM132" s="37"/>
      <c r="AN132" s="38"/>
      <c r="AO132" s="37"/>
      <c r="AP132" s="37"/>
      <c r="AQ132" s="38"/>
      <c r="AR132" s="37"/>
      <c r="AS132" s="37"/>
      <c r="AT132" s="38"/>
      <c r="AU132" s="27"/>
      <c r="AV132" s="37"/>
      <c r="AW132" s="38"/>
      <c r="AX132" s="19" t="e">
        <f>V132/J132</f>
        <v>#DIV/0!</v>
      </c>
      <c r="AY132" s="19" t="e">
        <f t="shared" si="145"/>
        <v>#DIV/0!</v>
      </c>
      <c r="AZ132" s="19" t="e">
        <f t="shared" si="130"/>
        <v>#DIV/0!</v>
      </c>
      <c r="BA132" s="19"/>
      <c r="BB132" s="19"/>
      <c r="BC132" s="19"/>
    </row>
    <row r="133" spans="1:55" ht="12.75" hidden="1" thickBot="1" x14ac:dyDescent="0.25">
      <c r="A133" s="8" t="s">
        <v>64</v>
      </c>
      <c r="B133" s="8" t="s">
        <v>65</v>
      </c>
      <c r="C133" s="39">
        <v>22</v>
      </c>
      <c r="D133" s="9">
        <v>0</v>
      </c>
      <c r="E133" s="10">
        <v>0</v>
      </c>
      <c r="F133" s="10">
        <v>0</v>
      </c>
      <c r="G133" s="10">
        <v>0</v>
      </c>
      <c r="H133" s="10">
        <v>0</v>
      </c>
      <c r="I133" s="10">
        <v>0</v>
      </c>
      <c r="J133" s="10">
        <v>0</v>
      </c>
      <c r="K133" s="10">
        <v>0</v>
      </c>
      <c r="L133" s="10">
        <v>0</v>
      </c>
      <c r="M133" s="10">
        <v>0</v>
      </c>
      <c r="N133" s="11">
        <f t="shared" si="146"/>
        <v>0</v>
      </c>
      <c r="P133" s="9">
        <v>0</v>
      </c>
      <c r="Q133" s="10">
        <v>0</v>
      </c>
      <c r="R133" s="10">
        <v>0</v>
      </c>
      <c r="S133" s="10">
        <v>0</v>
      </c>
      <c r="T133" s="10">
        <v>0</v>
      </c>
      <c r="U133" s="50">
        <v>0</v>
      </c>
      <c r="V133" s="10">
        <v>0</v>
      </c>
      <c r="W133" s="10">
        <v>0</v>
      </c>
      <c r="X133" s="10">
        <v>0</v>
      </c>
      <c r="Y133" s="10">
        <v>0</v>
      </c>
      <c r="Z133" s="11">
        <f t="shared" si="148"/>
        <v>0</v>
      </c>
      <c r="AA133" s="10" t="e">
        <f t="shared" si="147"/>
        <v>#DIV/0!</v>
      </c>
      <c r="AB133" s="10" t="e">
        <f>X133/L133</f>
        <v>#DIV/0!</v>
      </c>
      <c r="AC133" s="10" t="e">
        <f>Y133/M133</f>
        <v>#DIV/0!</v>
      </c>
      <c r="AD133" s="11" t="e">
        <f t="shared" si="149"/>
        <v>#DIV/0!</v>
      </c>
      <c r="AE133" s="40"/>
      <c r="AF133" s="25" t="e">
        <f t="shared" ref="AF133:AH133" si="150">bdRateExtend($D133:$D137,E133:E137,$P133:$P137,Q133:Q137)</f>
        <v>#VALUE!</v>
      </c>
      <c r="AG133" s="30" t="e">
        <f t="shared" si="150"/>
        <v>#VALUE!</v>
      </c>
      <c r="AH133" s="31" t="e">
        <f t="shared" si="150"/>
        <v>#VALUE!</v>
      </c>
      <c r="AI133" s="25" t="e">
        <f>bdRateExtend($D133:$D137,#REF!,$P133:$P137,#REF!)</f>
        <v>#VALUE!</v>
      </c>
      <c r="AJ133" s="30" t="e">
        <f>bdRateExtend($D133:$D137,H133:H137,$P133:$P137,T133:T137)</f>
        <v>#VALUE!</v>
      </c>
      <c r="AK133" s="30" t="e">
        <f>bdRateExtend($D133:$D137,I133:I137,$P133:$P137,U133:U137)</f>
        <v>#VALUE!</v>
      </c>
      <c r="AL133" s="26"/>
      <c r="AM133" s="21"/>
      <c r="AN133" s="36"/>
      <c r="AO133" s="21"/>
      <c r="AP133" s="21"/>
      <c r="AQ133" s="36"/>
      <c r="AR133" s="30" t="e">
        <f>bdrate($D133:$D136,E133:E136,$P133:$P136,Q133:Q136)</f>
        <v>#VALUE!</v>
      </c>
      <c r="AS133" s="30" t="e">
        <f t="shared" ref="AS133:AT133" si="151">bdrate($D133:$D136,F133:F136,$P133:$P136,R133:R136)</f>
        <v>#VALUE!</v>
      </c>
      <c r="AT133" s="31" t="e">
        <f t="shared" si="151"/>
        <v>#VALUE!</v>
      </c>
      <c r="AU133" s="25" t="e">
        <f>bdrate($D133:$D136,#REF!,$P133:$P136,#REF!)</f>
        <v>#VALUE!</v>
      </c>
      <c r="AV133" s="30" t="e">
        <f>bdrate($D133:$D136,H133:H136,$P133:$P136,T133:T136)</f>
        <v>#VALUE!</v>
      </c>
      <c r="AW133" s="31" t="e">
        <f>bdrate($D133:$D136,I133:I136,$P133:$P136,U133:U136)</f>
        <v>#VALUE!</v>
      </c>
      <c r="AX133" s="10"/>
      <c r="AY133" s="10"/>
      <c r="AZ133" s="10"/>
      <c r="BA133" s="10" t="e">
        <f>V133/J133</f>
        <v>#DIV/0!</v>
      </c>
      <c r="BB133" s="10" t="e">
        <f t="shared" ref="BB133:BB136" si="152">X133/L133</f>
        <v>#DIV/0!</v>
      </c>
      <c r="BC133" s="10" t="e">
        <f t="shared" si="126"/>
        <v>#DIV/0!</v>
      </c>
    </row>
    <row r="134" spans="1:55" ht="12.75" hidden="1" thickBot="1" x14ac:dyDescent="0.25">
      <c r="A134" s="13"/>
      <c r="B134" s="13"/>
      <c r="C134" s="43">
        <v>27</v>
      </c>
      <c r="D134" s="14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6">
        <f t="shared" si="146"/>
        <v>0</v>
      </c>
      <c r="P134" s="14">
        <v>0</v>
      </c>
      <c r="Q134" s="15">
        <v>0</v>
      </c>
      <c r="R134" s="15">
        <v>0</v>
      </c>
      <c r="S134" s="15">
        <v>0</v>
      </c>
      <c r="T134" s="15">
        <v>0</v>
      </c>
      <c r="U134" s="51">
        <v>0</v>
      </c>
      <c r="V134" s="15">
        <v>0</v>
      </c>
      <c r="W134" s="15">
        <v>0</v>
      </c>
      <c r="X134" s="15">
        <v>0</v>
      </c>
      <c r="Y134" s="15">
        <v>0</v>
      </c>
      <c r="Z134" s="16">
        <f t="shared" si="148"/>
        <v>0</v>
      </c>
      <c r="AA134" s="15" t="e">
        <f t="shared" si="147"/>
        <v>#DIV/0!</v>
      </c>
      <c r="AB134" s="15" t="e">
        <f t="shared" ref="AB134:AC152" si="153">X134/L134</f>
        <v>#DIV/0!</v>
      </c>
      <c r="AC134" s="15" t="e">
        <f t="shared" si="153"/>
        <v>#DIV/0!</v>
      </c>
      <c r="AD134" s="16" t="e">
        <f t="shared" si="149"/>
        <v>#DIV/0!</v>
      </c>
      <c r="AE134" s="12"/>
      <c r="AF134" s="26"/>
      <c r="AG134" s="21"/>
      <c r="AH134" s="36"/>
      <c r="AI134" s="26"/>
      <c r="AJ134" s="21"/>
      <c r="AK134" s="21"/>
      <c r="AL134" s="26" t="e">
        <f t="shared" ref="AL134:AN134" si="154">bdrate($D134:$D137,E134:E137,$P134:$P137,Q134:Q137)</f>
        <v>#VALUE!</v>
      </c>
      <c r="AM134" s="21" t="e">
        <f t="shared" si="154"/>
        <v>#VALUE!</v>
      </c>
      <c r="AN134" s="36" t="e">
        <f t="shared" si="154"/>
        <v>#VALUE!</v>
      </c>
      <c r="AO134" s="26" t="e">
        <f>bdrate($D134:$D137,#REF!,$P134:$P137,#REF!)</f>
        <v>#VALUE!</v>
      </c>
      <c r="AP134" s="21" t="e">
        <f>bdrate($D134:$D137,H134:H137,$P134:$P137,T134:T137)</f>
        <v>#VALUE!</v>
      </c>
      <c r="AQ134" s="36" t="e">
        <f>bdrate($D134:$D137,I134:I137,$P134:$P137,U134:U137)</f>
        <v>#VALUE!</v>
      </c>
      <c r="AR134" s="21"/>
      <c r="AS134" s="21"/>
      <c r="AT134" s="36"/>
      <c r="AU134" s="26"/>
      <c r="AV134" s="21"/>
      <c r="AW134" s="36"/>
      <c r="AX134" s="15" t="e">
        <f>V134/J134</f>
        <v>#DIV/0!</v>
      </c>
      <c r="AY134" s="15" t="e">
        <f t="shared" ref="AY134:AY137" si="155">X134/L134</f>
        <v>#DIV/0!</v>
      </c>
      <c r="AZ134" s="15" t="e">
        <f t="shared" si="130"/>
        <v>#DIV/0!</v>
      </c>
      <c r="BA134" s="15" t="e">
        <f>V134/J134</f>
        <v>#DIV/0!</v>
      </c>
      <c r="BB134" s="15" t="e">
        <f t="shared" si="152"/>
        <v>#DIV/0!</v>
      </c>
      <c r="BC134" s="15" t="e">
        <f t="shared" si="126"/>
        <v>#DIV/0!</v>
      </c>
    </row>
    <row r="135" spans="1:55" ht="12.75" hidden="1" thickBot="1" x14ac:dyDescent="0.25">
      <c r="A135" s="13"/>
      <c r="B135" s="13"/>
      <c r="C135" s="43">
        <v>32</v>
      </c>
      <c r="D135" s="14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6">
        <f t="shared" si="146"/>
        <v>0</v>
      </c>
      <c r="P135" s="14">
        <v>0</v>
      </c>
      <c r="Q135" s="15">
        <v>0</v>
      </c>
      <c r="R135" s="15">
        <v>0</v>
      </c>
      <c r="S135" s="15">
        <v>0</v>
      </c>
      <c r="T135" s="15">
        <v>0</v>
      </c>
      <c r="U135" s="51">
        <v>0</v>
      </c>
      <c r="V135" s="15">
        <v>0</v>
      </c>
      <c r="W135" s="15">
        <v>0</v>
      </c>
      <c r="X135" s="15">
        <v>0</v>
      </c>
      <c r="Y135" s="15">
        <v>0</v>
      </c>
      <c r="Z135" s="16">
        <f t="shared" si="148"/>
        <v>0</v>
      </c>
      <c r="AA135" s="15" t="e">
        <f t="shared" si="147"/>
        <v>#DIV/0!</v>
      </c>
      <c r="AB135" s="15" t="e">
        <f t="shared" si="153"/>
        <v>#DIV/0!</v>
      </c>
      <c r="AC135" s="15" t="e">
        <f t="shared" si="153"/>
        <v>#DIV/0!</v>
      </c>
      <c r="AD135" s="16" t="e">
        <f t="shared" si="149"/>
        <v>#DIV/0!</v>
      </c>
      <c r="AE135" s="12"/>
      <c r="AF135" s="26"/>
      <c r="AG135" s="21"/>
      <c r="AH135" s="36"/>
      <c r="AI135" s="26"/>
      <c r="AJ135" s="21"/>
      <c r="AK135" s="21"/>
      <c r="AL135" s="26"/>
      <c r="AM135" s="21"/>
      <c r="AN135" s="36"/>
      <c r="AO135" s="21"/>
      <c r="AP135" s="21"/>
      <c r="AQ135" s="36"/>
      <c r="AR135" s="21"/>
      <c r="AS135" s="21"/>
      <c r="AT135" s="36"/>
      <c r="AU135" s="26"/>
      <c r="AV135" s="21"/>
      <c r="AW135" s="36"/>
      <c r="AX135" s="15" t="e">
        <f>V135/J135</f>
        <v>#DIV/0!</v>
      </c>
      <c r="AY135" s="15" t="e">
        <f t="shared" si="155"/>
        <v>#DIV/0!</v>
      </c>
      <c r="AZ135" s="15" t="e">
        <f t="shared" si="130"/>
        <v>#DIV/0!</v>
      </c>
      <c r="BA135" s="15" t="e">
        <f>V135/J135</f>
        <v>#DIV/0!</v>
      </c>
      <c r="BB135" s="15" t="e">
        <f t="shared" si="152"/>
        <v>#DIV/0!</v>
      </c>
      <c r="BC135" s="15" t="e">
        <f t="shared" si="126"/>
        <v>#DIV/0!</v>
      </c>
    </row>
    <row r="136" spans="1:55" ht="12.75" hidden="1" thickBot="1" x14ac:dyDescent="0.25">
      <c r="A136" s="13"/>
      <c r="B136" s="13"/>
      <c r="C136" s="43">
        <v>37</v>
      </c>
      <c r="D136" s="14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6">
        <f t="shared" si="146"/>
        <v>0</v>
      </c>
      <c r="P136" s="14">
        <v>0</v>
      </c>
      <c r="Q136" s="15">
        <v>0</v>
      </c>
      <c r="R136" s="15">
        <v>0</v>
      </c>
      <c r="S136" s="15">
        <v>0</v>
      </c>
      <c r="T136" s="15">
        <v>0</v>
      </c>
      <c r="U136" s="51">
        <v>0</v>
      </c>
      <c r="V136" s="15">
        <v>0</v>
      </c>
      <c r="W136" s="15">
        <v>0</v>
      </c>
      <c r="X136" s="15">
        <v>0</v>
      </c>
      <c r="Y136" s="15">
        <v>0</v>
      </c>
      <c r="Z136" s="16">
        <f t="shared" si="148"/>
        <v>0</v>
      </c>
      <c r="AA136" s="15" t="e">
        <f t="shared" si="147"/>
        <v>#DIV/0!</v>
      </c>
      <c r="AB136" s="15" t="e">
        <f t="shared" si="153"/>
        <v>#DIV/0!</v>
      </c>
      <c r="AC136" s="15" t="e">
        <f t="shared" si="153"/>
        <v>#DIV/0!</v>
      </c>
      <c r="AD136" s="16" t="e">
        <f t="shared" si="149"/>
        <v>#DIV/0!</v>
      </c>
      <c r="AE136" s="12"/>
      <c r="AF136" s="26"/>
      <c r="AG136" s="21"/>
      <c r="AH136" s="36"/>
      <c r="AI136" s="26"/>
      <c r="AJ136" s="21"/>
      <c r="AK136" s="21"/>
      <c r="AL136" s="26"/>
      <c r="AM136" s="21"/>
      <c r="AN136" s="36"/>
      <c r="AO136" s="21"/>
      <c r="AP136" s="21"/>
      <c r="AQ136" s="36"/>
      <c r="AR136" s="21"/>
      <c r="AS136" s="21"/>
      <c r="AT136" s="36"/>
      <c r="AU136" s="26"/>
      <c r="AV136" s="21"/>
      <c r="AW136" s="36"/>
      <c r="AX136" s="15" t="e">
        <f>V136/J136</f>
        <v>#DIV/0!</v>
      </c>
      <c r="AY136" s="15" t="e">
        <f t="shared" si="155"/>
        <v>#DIV/0!</v>
      </c>
      <c r="AZ136" s="15" t="e">
        <f t="shared" si="130"/>
        <v>#DIV/0!</v>
      </c>
      <c r="BA136" s="15" t="e">
        <f>V136/J136</f>
        <v>#DIV/0!</v>
      </c>
      <c r="BB136" s="15" t="e">
        <f t="shared" si="152"/>
        <v>#DIV/0!</v>
      </c>
      <c r="BC136" s="15" t="e">
        <f t="shared" si="126"/>
        <v>#DIV/0!</v>
      </c>
    </row>
    <row r="137" spans="1:55" ht="12.75" hidden="1" thickBot="1" x14ac:dyDescent="0.25">
      <c r="A137" s="13"/>
      <c r="B137" s="17"/>
      <c r="C137" s="44">
        <v>42</v>
      </c>
      <c r="D137" s="18">
        <v>0</v>
      </c>
      <c r="E137" s="19">
        <v>0</v>
      </c>
      <c r="F137" s="19">
        <v>0</v>
      </c>
      <c r="G137" s="19">
        <v>0</v>
      </c>
      <c r="H137" s="19">
        <v>0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20">
        <f t="shared" si="146"/>
        <v>0</v>
      </c>
      <c r="P137" s="18">
        <v>0</v>
      </c>
      <c r="Q137" s="19">
        <v>0</v>
      </c>
      <c r="R137" s="19">
        <v>0</v>
      </c>
      <c r="S137" s="19">
        <v>0</v>
      </c>
      <c r="T137" s="19">
        <v>0</v>
      </c>
      <c r="U137" s="52">
        <v>0</v>
      </c>
      <c r="V137" s="19">
        <v>0</v>
      </c>
      <c r="W137" s="19">
        <v>0</v>
      </c>
      <c r="X137" s="19">
        <v>0</v>
      </c>
      <c r="Y137" s="19">
        <v>0</v>
      </c>
      <c r="Z137" s="20">
        <f t="shared" si="148"/>
        <v>0</v>
      </c>
      <c r="AA137" s="15" t="e">
        <f t="shared" si="147"/>
        <v>#DIV/0!</v>
      </c>
      <c r="AB137" s="15" t="e">
        <f t="shared" si="153"/>
        <v>#DIV/0!</v>
      </c>
      <c r="AC137" s="15" t="e">
        <f t="shared" si="153"/>
        <v>#DIV/0!</v>
      </c>
      <c r="AD137" s="20" t="e">
        <f t="shared" si="149"/>
        <v>#DIV/0!</v>
      </c>
      <c r="AE137" s="12"/>
      <c r="AF137" s="27"/>
      <c r="AG137" s="37"/>
      <c r="AH137" s="38"/>
      <c r="AI137" s="27"/>
      <c r="AJ137" s="37"/>
      <c r="AK137" s="37"/>
      <c r="AL137" s="26"/>
      <c r="AM137" s="21"/>
      <c r="AN137" s="36"/>
      <c r="AO137" s="21"/>
      <c r="AP137" s="21"/>
      <c r="AQ137" s="36"/>
      <c r="AR137" s="37"/>
      <c r="AS137" s="37"/>
      <c r="AT137" s="38"/>
      <c r="AU137" s="27"/>
      <c r="AV137" s="37"/>
      <c r="AW137" s="38"/>
      <c r="AX137" s="15" t="e">
        <f>V137/J137</f>
        <v>#DIV/0!</v>
      </c>
      <c r="AY137" s="15" t="e">
        <f t="shared" si="155"/>
        <v>#DIV/0!</v>
      </c>
      <c r="AZ137" s="15" t="e">
        <f t="shared" si="130"/>
        <v>#DIV/0!</v>
      </c>
      <c r="BA137" s="15"/>
      <c r="BB137" s="15"/>
      <c r="BC137" s="15"/>
    </row>
    <row r="138" spans="1:55" ht="12.75" hidden="1" thickBot="1" x14ac:dyDescent="0.25">
      <c r="A138" s="13"/>
      <c r="B138" s="8" t="s">
        <v>66</v>
      </c>
      <c r="C138" s="39">
        <v>22</v>
      </c>
      <c r="D138" s="9">
        <v>0</v>
      </c>
      <c r="E138" s="10">
        <v>0</v>
      </c>
      <c r="F138" s="10">
        <v>0</v>
      </c>
      <c r="G138" s="10">
        <v>0</v>
      </c>
      <c r="H138" s="10">
        <v>0</v>
      </c>
      <c r="I138" s="10">
        <v>0</v>
      </c>
      <c r="J138" s="10">
        <v>0</v>
      </c>
      <c r="K138" s="10">
        <v>0</v>
      </c>
      <c r="L138" s="10">
        <v>0</v>
      </c>
      <c r="M138" s="10">
        <v>0</v>
      </c>
      <c r="N138" s="11">
        <f t="shared" si="146"/>
        <v>0</v>
      </c>
      <c r="P138" s="9">
        <v>0</v>
      </c>
      <c r="Q138" s="10">
        <v>0</v>
      </c>
      <c r="R138" s="10">
        <v>0</v>
      </c>
      <c r="S138" s="10">
        <v>0</v>
      </c>
      <c r="T138" s="10">
        <v>0</v>
      </c>
      <c r="U138" s="50">
        <v>0</v>
      </c>
      <c r="V138" s="10">
        <v>0</v>
      </c>
      <c r="W138" s="10">
        <v>0</v>
      </c>
      <c r="X138" s="10">
        <v>0</v>
      </c>
      <c r="Y138" s="10">
        <v>0</v>
      </c>
      <c r="Z138" s="11">
        <f t="shared" si="148"/>
        <v>0</v>
      </c>
      <c r="AA138" s="15" t="e">
        <f t="shared" si="147"/>
        <v>#DIV/0!</v>
      </c>
      <c r="AB138" s="15" t="e">
        <f t="shared" si="153"/>
        <v>#DIV/0!</v>
      </c>
      <c r="AC138" s="15" t="e">
        <f t="shared" si="153"/>
        <v>#DIV/0!</v>
      </c>
      <c r="AD138" s="11" t="e">
        <f t="shared" si="149"/>
        <v>#DIV/0!</v>
      </c>
      <c r="AE138" s="12"/>
      <c r="AF138" s="25" t="e">
        <f t="shared" ref="AF138:AH138" si="156">bdRateExtend($D138:$D142,E138:E142,$P138:$P142,Q138:Q142)</f>
        <v>#VALUE!</v>
      </c>
      <c r="AG138" s="30" t="e">
        <f t="shared" si="156"/>
        <v>#VALUE!</v>
      </c>
      <c r="AH138" s="31" t="e">
        <f t="shared" si="156"/>
        <v>#VALUE!</v>
      </c>
      <c r="AI138" s="25" t="e">
        <f>bdRateExtend($D138:$D142,#REF!,$P138:$P142,#REF!)</f>
        <v>#VALUE!</v>
      </c>
      <c r="AJ138" s="30" t="e">
        <f>bdRateExtend($D138:$D142,H138:H142,$P138:$P142,T138:T142)</f>
        <v>#VALUE!</v>
      </c>
      <c r="AK138" s="30" t="e">
        <f>bdRateExtend($D138:$D142,I138:I142,$P138:$P142,U138:U142)</f>
        <v>#VALUE!</v>
      </c>
      <c r="AL138" s="45"/>
      <c r="AM138" s="46"/>
      <c r="AN138" s="47"/>
      <c r="AO138" s="46"/>
      <c r="AP138" s="46"/>
      <c r="AQ138" s="47"/>
      <c r="AR138" s="30" t="e">
        <f t="shared" ref="AR138:AT138" si="157">bdrate($D138:$D141,E138:E141,$P138:$P141,Q138:Q141)</f>
        <v>#VALUE!</v>
      </c>
      <c r="AS138" s="30" t="e">
        <f t="shared" si="157"/>
        <v>#VALUE!</v>
      </c>
      <c r="AT138" s="31" t="e">
        <f t="shared" si="157"/>
        <v>#VALUE!</v>
      </c>
      <c r="AU138" s="25" t="e">
        <f>bdrate($D138:$D141,#REF!,$P138:$P141,#REF!)</f>
        <v>#VALUE!</v>
      </c>
      <c r="AV138" s="30" t="e">
        <f>bdrate($D138:$D141,H138:H141,$P138:$P141,T138:T141)</f>
        <v>#VALUE!</v>
      </c>
      <c r="AW138" s="31" t="e">
        <f>bdrate($D138:$D141,I138:I141,$P138:$P141,U138:U141)</f>
        <v>#VALUE!</v>
      </c>
      <c r="AX138" s="15"/>
      <c r="AY138" s="15"/>
      <c r="AZ138" s="15"/>
      <c r="BA138" s="15" t="e">
        <f>V138/J138</f>
        <v>#DIV/0!</v>
      </c>
      <c r="BB138" s="15" t="e">
        <f t="shared" ref="BB138:BB141" si="158">X138/L138</f>
        <v>#DIV/0!</v>
      </c>
      <c r="BC138" s="15" t="e">
        <f t="shared" si="126"/>
        <v>#DIV/0!</v>
      </c>
    </row>
    <row r="139" spans="1:55" ht="12.75" hidden="1" thickBot="1" x14ac:dyDescent="0.25">
      <c r="A139" s="13"/>
      <c r="B139" s="13"/>
      <c r="C139" s="43">
        <v>27</v>
      </c>
      <c r="D139" s="14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6">
        <f t="shared" si="146"/>
        <v>0</v>
      </c>
      <c r="P139" s="14">
        <v>0</v>
      </c>
      <c r="Q139" s="15">
        <v>0</v>
      </c>
      <c r="R139" s="15">
        <v>0</v>
      </c>
      <c r="S139" s="15">
        <v>0</v>
      </c>
      <c r="T139" s="15">
        <v>0</v>
      </c>
      <c r="U139" s="51">
        <v>0</v>
      </c>
      <c r="V139" s="15">
        <v>0</v>
      </c>
      <c r="W139" s="15">
        <v>0</v>
      </c>
      <c r="X139" s="15">
        <v>0</v>
      </c>
      <c r="Y139" s="15">
        <v>0</v>
      </c>
      <c r="Z139" s="16">
        <f t="shared" si="148"/>
        <v>0</v>
      </c>
      <c r="AA139" s="15" t="e">
        <f t="shared" si="147"/>
        <v>#DIV/0!</v>
      </c>
      <c r="AB139" s="15" t="e">
        <f t="shared" si="153"/>
        <v>#DIV/0!</v>
      </c>
      <c r="AC139" s="15" t="e">
        <f t="shared" si="153"/>
        <v>#DIV/0!</v>
      </c>
      <c r="AD139" s="16" t="e">
        <f t="shared" si="149"/>
        <v>#DIV/0!</v>
      </c>
      <c r="AE139" s="12"/>
      <c r="AF139" s="26"/>
      <c r="AG139" s="21"/>
      <c r="AH139" s="36"/>
      <c r="AI139" s="26"/>
      <c r="AJ139" s="21"/>
      <c r="AK139" s="21"/>
      <c r="AL139" s="26" t="e">
        <f t="shared" ref="AL139:AN139" si="159">bdrate($D139:$D142,E139:E142,$P139:$P142,Q139:Q142)</f>
        <v>#VALUE!</v>
      </c>
      <c r="AM139" s="21" t="e">
        <f t="shared" si="159"/>
        <v>#VALUE!</v>
      </c>
      <c r="AN139" s="36" t="e">
        <f t="shared" si="159"/>
        <v>#VALUE!</v>
      </c>
      <c r="AO139" s="26" t="e">
        <f>bdrate($D139:$D142,#REF!,$P139:$P142,#REF!)</f>
        <v>#VALUE!</v>
      </c>
      <c r="AP139" s="21" t="e">
        <f>bdrate($D139:$D142,H139:H142,$P139:$P142,T139:T142)</f>
        <v>#VALUE!</v>
      </c>
      <c r="AQ139" s="36" t="e">
        <f>bdrate($D139:$D142,I139:I142,$P139:$P142,U139:U142)</f>
        <v>#VALUE!</v>
      </c>
      <c r="AR139" s="21"/>
      <c r="AS139" s="21"/>
      <c r="AT139" s="36"/>
      <c r="AU139" s="26"/>
      <c r="AV139" s="21"/>
      <c r="AW139" s="36"/>
      <c r="AX139" s="15" t="e">
        <f>V139/J139</f>
        <v>#DIV/0!</v>
      </c>
      <c r="AY139" s="15" t="e">
        <f t="shared" ref="AY139:AY142" si="160">X139/L139</f>
        <v>#DIV/0!</v>
      </c>
      <c r="AZ139" s="15" t="e">
        <f t="shared" si="130"/>
        <v>#DIV/0!</v>
      </c>
      <c r="BA139" s="15" t="e">
        <f>V139/J139</f>
        <v>#DIV/0!</v>
      </c>
      <c r="BB139" s="15" t="e">
        <f t="shared" si="158"/>
        <v>#DIV/0!</v>
      </c>
      <c r="BC139" s="15" t="e">
        <f t="shared" si="126"/>
        <v>#DIV/0!</v>
      </c>
    </row>
    <row r="140" spans="1:55" ht="12.75" hidden="1" thickBot="1" x14ac:dyDescent="0.25">
      <c r="A140" s="13"/>
      <c r="B140" s="13"/>
      <c r="C140" s="43">
        <v>32</v>
      </c>
      <c r="D140" s="14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6">
        <f t="shared" si="146"/>
        <v>0</v>
      </c>
      <c r="P140" s="14">
        <v>0</v>
      </c>
      <c r="Q140" s="15">
        <v>0</v>
      </c>
      <c r="R140" s="15">
        <v>0</v>
      </c>
      <c r="S140" s="15">
        <v>0</v>
      </c>
      <c r="T140" s="15">
        <v>0</v>
      </c>
      <c r="U140" s="51">
        <v>0</v>
      </c>
      <c r="V140" s="15">
        <v>0</v>
      </c>
      <c r="W140" s="15">
        <v>0</v>
      </c>
      <c r="X140" s="15">
        <v>0</v>
      </c>
      <c r="Y140" s="15">
        <v>0</v>
      </c>
      <c r="Z140" s="16">
        <f t="shared" si="148"/>
        <v>0</v>
      </c>
      <c r="AA140" s="15" t="e">
        <f t="shared" si="147"/>
        <v>#DIV/0!</v>
      </c>
      <c r="AB140" s="15" t="e">
        <f t="shared" si="153"/>
        <v>#DIV/0!</v>
      </c>
      <c r="AC140" s="15" t="e">
        <f t="shared" si="153"/>
        <v>#DIV/0!</v>
      </c>
      <c r="AD140" s="16" t="e">
        <f t="shared" si="149"/>
        <v>#DIV/0!</v>
      </c>
      <c r="AE140" s="12"/>
      <c r="AF140" s="26"/>
      <c r="AG140" s="21"/>
      <c r="AH140" s="36"/>
      <c r="AI140" s="26"/>
      <c r="AJ140" s="21"/>
      <c r="AK140" s="21"/>
      <c r="AL140" s="26"/>
      <c r="AM140" s="21"/>
      <c r="AN140" s="36"/>
      <c r="AO140" s="21"/>
      <c r="AP140" s="21"/>
      <c r="AQ140" s="36"/>
      <c r="AR140" s="21"/>
      <c r="AS140" s="21"/>
      <c r="AT140" s="36"/>
      <c r="AU140" s="26"/>
      <c r="AV140" s="21"/>
      <c r="AW140" s="36"/>
      <c r="AX140" s="15" t="e">
        <f>V140/J140</f>
        <v>#DIV/0!</v>
      </c>
      <c r="AY140" s="15" t="e">
        <f t="shared" si="160"/>
        <v>#DIV/0!</v>
      </c>
      <c r="AZ140" s="15" t="e">
        <f t="shared" si="130"/>
        <v>#DIV/0!</v>
      </c>
      <c r="BA140" s="15" t="e">
        <f>V140/J140</f>
        <v>#DIV/0!</v>
      </c>
      <c r="BB140" s="15" t="e">
        <f t="shared" si="158"/>
        <v>#DIV/0!</v>
      </c>
      <c r="BC140" s="15" t="e">
        <f t="shared" si="126"/>
        <v>#DIV/0!</v>
      </c>
    </row>
    <row r="141" spans="1:55" ht="12.75" hidden="1" thickBot="1" x14ac:dyDescent="0.25">
      <c r="A141" s="13"/>
      <c r="B141" s="13"/>
      <c r="C141" s="43">
        <v>37</v>
      </c>
      <c r="D141" s="14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6">
        <f t="shared" si="146"/>
        <v>0</v>
      </c>
      <c r="P141" s="14">
        <v>0</v>
      </c>
      <c r="Q141" s="15">
        <v>0</v>
      </c>
      <c r="R141" s="15">
        <v>0</v>
      </c>
      <c r="S141" s="15">
        <v>0</v>
      </c>
      <c r="T141" s="15">
        <v>0</v>
      </c>
      <c r="U141" s="51">
        <v>0</v>
      </c>
      <c r="V141" s="15">
        <v>0</v>
      </c>
      <c r="W141" s="15">
        <v>0</v>
      </c>
      <c r="X141" s="15">
        <v>0</v>
      </c>
      <c r="Y141" s="15">
        <v>0</v>
      </c>
      <c r="Z141" s="16">
        <f t="shared" si="148"/>
        <v>0</v>
      </c>
      <c r="AA141" s="15" t="e">
        <f t="shared" si="147"/>
        <v>#DIV/0!</v>
      </c>
      <c r="AB141" s="15" t="e">
        <f t="shared" si="153"/>
        <v>#DIV/0!</v>
      </c>
      <c r="AC141" s="15" t="e">
        <f t="shared" si="153"/>
        <v>#DIV/0!</v>
      </c>
      <c r="AD141" s="16" t="e">
        <f t="shared" si="149"/>
        <v>#DIV/0!</v>
      </c>
      <c r="AE141" s="12"/>
      <c r="AF141" s="26"/>
      <c r="AG141" s="21"/>
      <c r="AH141" s="36"/>
      <c r="AI141" s="26"/>
      <c r="AJ141" s="21"/>
      <c r="AK141" s="21"/>
      <c r="AL141" s="26"/>
      <c r="AM141" s="21"/>
      <c r="AN141" s="36"/>
      <c r="AO141" s="21"/>
      <c r="AP141" s="21"/>
      <c r="AQ141" s="36"/>
      <c r="AR141" s="21"/>
      <c r="AS141" s="21"/>
      <c r="AT141" s="36"/>
      <c r="AU141" s="26"/>
      <c r="AV141" s="21"/>
      <c r="AW141" s="36"/>
      <c r="AX141" s="15" t="e">
        <f>V141/J141</f>
        <v>#DIV/0!</v>
      </c>
      <c r="AY141" s="15" t="e">
        <f t="shared" si="160"/>
        <v>#DIV/0!</v>
      </c>
      <c r="AZ141" s="15" t="e">
        <f t="shared" si="130"/>
        <v>#DIV/0!</v>
      </c>
      <c r="BA141" s="15" t="e">
        <f>V141/J141</f>
        <v>#DIV/0!</v>
      </c>
      <c r="BB141" s="15" t="e">
        <f t="shared" si="158"/>
        <v>#DIV/0!</v>
      </c>
      <c r="BC141" s="15" t="e">
        <f t="shared" si="126"/>
        <v>#DIV/0!</v>
      </c>
    </row>
    <row r="142" spans="1:55" ht="12.75" hidden="1" thickBot="1" x14ac:dyDescent="0.25">
      <c r="A142" s="13"/>
      <c r="B142" s="17"/>
      <c r="C142" s="44">
        <v>42</v>
      </c>
      <c r="D142" s="18">
        <v>0</v>
      </c>
      <c r="E142" s="19">
        <v>0</v>
      </c>
      <c r="F142" s="19">
        <v>0</v>
      </c>
      <c r="G142" s="19">
        <v>0</v>
      </c>
      <c r="H142" s="19">
        <v>0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20">
        <f t="shared" si="146"/>
        <v>0</v>
      </c>
      <c r="P142" s="18">
        <v>0</v>
      </c>
      <c r="Q142" s="19">
        <v>0</v>
      </c>
      <c r="R142" s="19">
        <v>0</v>
      </c>
      <c r="S142" s="19">
        <v>0</v>
      </c>
      <c r="T142" s="19">
        <v>0</v>
      </c>
      <c r="U142" s="52">
        <v>0</v>
      </c>
      <c r="V142" s="19">
        <v>0</v>
      </c>
      <c r="W142" s="19">
        <v>0</v>
      </c>
      <c r="X142" s="19">
        <v>0</v>
      </c>
      <c r="Y142" s="19">
        <v>0</v>
      </c>
      <c r="Z142" s="20">
        <f t="shared" si="148"/>
        <v>0</v>
      </c>
      <c r="AA142" s="15" t="e">
        <f t="shared" si="147"/>
        <v>#DIV/0!</v>
      </c>
      <c r="AB142" s="15" t="e">
        <f t="shared" si="153"/>
        <v>#DIV/0!</v>
      </c>
      <c r="AC142" s="15" t="e">
        <f t="shared" si="153"/>
        <v>#DIV/0!</v>
      </c>
      <c r="AD142" s="20" t="e">
        <f t="shared" si="149"/>
        <v>#DIV/0!</v>
      </c>
      <c r="AE142" s="12"/>
      <c r="AF142" s="27"/>
      <c r="AG142" s="37"/>
      <c r="AH142" s="38"/>
      <c r="AI142" s="27"/>
      <c r="AJ142" s="37"/>
      <c r="AK142" s="37"/>
      <c r="AL142" s="27"/>
      <c r="AM142" s="37"/>
      <c r="AN142" s="38"/>
      <c r="AO142" s="37"/>
      <c r="AP142" s="37"/>
      <c r="AQ142" s="38"/>
      <c r="AR142" s="37"/>
      <c r="AS142" s="37"/>
      <c r="AT142" s="38"/>
      <c r="AU142" s="27"/>
      <c r="AV142" s="37"/>
      <c r="AW142" s="38"/>
      <c r="AX142" s="15" t="e">
        <f>V142/J142</f>
        <v>#DIV/0!</v>
      </c>
      <c r="AY142" s="15" t="e">
        <f t="shared" si="160"/>
        <v>#DIV/0!</v>
      </c>
      <c r="AZ142" s="15" t="e">
        <f t="shared" si="130"/>
        <v>#DIV/0!</v>
      </c>
      <c r="BA142" s="15"/>
      <c r="BB142" s="15"/>
      <c r="BC142" s="15"/>
    </row>
    <row r="143" spans="1:55" ht="12.75" hidden="1" thickBot="1" x14ac:dyDescent="0.25">
      <c r="A143" s="13"/>
      <c r="B143" s="8" t="s">
        <v>67</v>
      </c>
      <c r="C143" s="39">
        <v>22</v>
      </c>
      <c r="D143" s="9">
        <v>0</v>
      </c>
      <c r="E143" s="10">
        <v>0</v>
      </c>
      <c r="F143" s="10">
        <v>0</v>
      </c>
      <c r="G143" s="10">
        <v>0</v>
      </c>
      <c r="H143" s="10">
        <v>0</v>
      </c>
      <c r="I143" s="10">
        <v>0</v>
      </c>
      <c r="J143" s="10">
        <v>0</v>
      </c>
      <c r="K143" s="10">
        <v>0</v>
      </c>
      <c r="L143" s="10">
        <v>0</v>
      </c>
      <c r="M143" s="10">
        <v>0</v>
      </c>
      <c r="N143" s="11">
        <f t="shared" si="146"/>
        <v>0</v>
      </c>
      <c r="P143" s="9">
        <v>0</v>
      </c>
      <c r="Q143" s="10">
        <v>0</v>
      </c>
      <c r="R143" s="10">
        <v>0</v>
      </c>
      <c r="S143" s="10">
        <v>0</v>
      </c>
      <c r="T143" s="10">
        <v>0</v>
      </c>
      <c r="U143" s="50">
        <v>0</v>
      </c>
      <c r="V143" s="10">
        <v>0</v>
      </c>
      <c r="W143" s="10">
        <v>0</v>
      </c>
      <c r="X143" s="10">
        <v>0</v>
      </c>
      <c r="Y143" s="10">
        <v>0</v>
      </c>
      <c r="Z143" s="11">
        <f t="shared" si="148"/>
        <v>0</v>
      </c>
      <c r="AA143" s="15" t="e">
        <f t="shared" si="147"/>
        <v>#DIV/0!</v>
      </c>
      <c r="AB143" s="15" t="e">
        <f t="shared" si="153"/>
        <v>#DIV/0!</v>
      </c>
      <c r="AC143" s="15" t="e">
        <f t="shared" si="153"/>
        <v>#DIV/0!</v>
      </c>
      <c r="AD143" s="11" t="e">
        <f t="shared" si="149"/>
        <v>#DIV/0!</v>
      </c>
      <c r="AE143" s="12"/>
      <c r="AF143" s="25" t="e">
        <f t="shared" ref="AF143:AH143" si="161">bdRateExtend($D143:$D147,E143:E147,$P143:$P147,Q143:Q147)</f>
        <v>#VALUE!</v>
      </c>
      <c r="AG143" s="30" t="e">
        <f t="shared" si="161"/>
        <v>#VALUE!</v>
      </c>
      <c r="AH143" s="31" t="e">
        <f t="shared" si="161"/>
        <v>#VALUE!</v>
      </c>
      <c r="AI143" s="25" t="e">
        <f>bdRateExtend($D143:$D147,#REF!,$P143:$P147,#REF!)</f>
        <v>#VALUE!</v>
      </c>
      <c r="AJ143" s="30" t="e">
        <f>bdRateExtend($D143:$D147,H143:H147,$P143:$P147,T143:T147)</f>
        <v>#VALUE!</v>
      </c>
      <c r="AK143" s="30" t="e">
        <f>bdRateExtend($D143:$D147,I143:I147,$P143:$P147,U143:U147)</f>
        <v>#VALUE!</v>
      </c>
      <c r="AL143" s="26"/>
      <c r="AM143" s="21"/>
      <c r="AN143" s="36"/>
      <c r="AO143" s="21"/>
      <c r="AP143" s="21"/>
      <c r="AQ143" s="36"/>
      <c r="AR143" s="30" t="e">
        <f t="shared" ref="AR143:AT143" si="162">bdrate($D143:$D146,E143:E146,$P143:$P146,Q143:Q146)</f>
        <v>#VALUE!</v>
      </c>
      <c r="AS143" s="30" t="e">
        <f t="shared" si="162"/>
        <v>#VALUE!</v>
      </c>
      <c r="AT143" s="31" t="e">
        <f t="shared" si="162"/>
        <v>#VALUE!</v>
      </c>
      <c r="AU143" s="25" t="e">
        <f>bdrate($D143:$D146,#REF!,$P143:$P146,#REF!)</f>
        <v>#VALUE!</v>
      </c>
      <c r="AV143" s="30" t="e">
        <f>bdrate($D143:$D146,H143:H146,$P143:$P146,T143:T146)</f>
        <v>#VALUE!</v>
      </c>
      <c r="AW143" s="31" t="e">
        <f>bdrate($D143:$D146,I143:I146,$P143:$P146,U143:U146)</f>
        <v>#VALUE!</v>
      </c>
      <c r="AX143" s="15"/>
      <c r="AY143" s="15"/>
      <c r="AZ143" s="15"/>
      <c r="BA143" s="15" t="e">
        <f>V143/J143</f>
        <v>#DIV/0!</v>
      </c>
      <c r="BB143" s="15" t="e">
        <f t="shared" ref="BB143:BB146" si="163">X143/L143</f>
        <v>#DIV/0!</v>
      </c>
      <c r="BC143" s="15" t="e">
        <f t="shared" si="126"/>
        <v>#DIV/0!</v>
      </c>
    </row>
    <row r="144" spans="1:55" ht="12.75" hidden="1" thickBot="1" x14ac:dyDescent="0.25">
      <c r="A144" s="13"/>
      <c r="B144" s="13"/>
      <c r="C144" s="43">
        <v>27</v>
      </c>
      <c r="D144" s="14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6">
        <f t="shared" si="146"/>
        <v>0</v>
      </c>
      <c r="P144" s="14">
        <v>0</v>
      </c>
      <c r="Q144" s="15">
        <v>0</v>
      </c>
      <c r="R144" s="15">
        <v>0</v>
      </c>
      <c r="S144" s="15">
        <v>0</v>
      </c>
      <c r="T144" s="15">
        <v>0</v>
      </c>
      <c r="U144" s="51">
        <v>0</v>
      </c>
      <c r="V144" s="15">
        <v>0</v>
      </c>
      <c r="W144" s="15">
        <v>0</v>
      </c>
      <c r="X144" s="15">
        <v>0</v>
      </c>
      <c r="Y144" s="15">
        <v>0</v>
      </c>
      <c r="Z144" s="16">
        <f t="shared" si="148"/>
        <v>0</v>
      </c>
      <c r="AA144" s="15" t="e">
        <f t="shared" si="147"/>
        <v>#DIV/0!</v>
      </c>
      <c r="AB144" s="15" t="e">
        <f t="shared" si="153"/>
        <v>#DIV/0!</v>
      </c>
      <c r="AC144" s="15" t="e">
        <f t="shared" si="153"/>
        <v>#DIV/0!</v>
      </c>
      <c r="AD144" s="16" t="e">
        <f t="shared" si="149"/>
        <v>#DIV/0!</v>
      </c>
      <c r="AE144" s="12"/>
      <c r="AF144" s="26"/>
      <c r="AG144" s="21"/>
      <c r="AH144" s="36"/>
      <c r="AI144" s="26"/>
      <c r="AJ144" s="21"/>
      <c r="AK144" s="21"/>
      <c r="AL144" s="26" t="e">
        <f t="shared" ref="AL144:AN144" si="164">bdrate($D144:$D147,E144:E147,$P144:$P147,Q144:Q147)</f>
        <v>#VALUE!</v>
      </c>
      <c r="AM144" s="21" t="e">
        <f t="shared" si="164"/>
        <v>#VALUE!</v>
      </c>
      <c r="AN144" s="36" t="e">
        <f t="shared" si="164"/>
        <v>#VALUE!</v>
      </c>
      <c r="AO144" s="26" t="e">
        <f>bdrate($D144:$D147,#REF!,$P144:$P147,#REF!)</f>
        <v>#VALUE!</v>
      </c>
      <c r="AP144" s="21" t="e">
        <f>bdrate($D144:$D147,H144:H147,$P144:$P147,T144:T147)</f>
        <v>#VALUE!</v>
      </c>
      <c r="AQ144" s="36" t="e">
        <f>bdrate($D144:$D147,I144:I147,$P144:$P147,U144:U147)</f>
        <v>#VALUE!</v>
      </c>
      <c r="AR144" s="21"/>
      <c r="AS144" s="21"/>
      <c r="AT144" s="36"/>
      <c r="AU144" s="26"/>
      <c r="AV144" s="21"/>
      <c r="AW144" s="36"/>
      <c r="AX144" s="15" t="e">
        <f>V144/J144</f>
        <v>#DIV/0!</v>
      </c>
      <c r="AY144" s="15" t="e">
        <f t="shared" ref="AY144:AY147" si="165">X144/L144</f>
        <v>#DIV/0!</v>
      </c>
      <c r="AZ144" s="15" t="e">
        <f t="shared" si="130"/>
        <v>#DIV/0!</v>
      </c>
      <c r="BA144" s="15" t="e">
        <f>V144/J144</f>
        <v>#DIV/0!</v>
      </c>
      <c r="BB144" s="15" t="e">
        <f t="shared" si="163"/>
        <v>#DIV/0!</v>
      </c>
      <c r="BC144" s="15" t="e">
        <f t="shared" si="126"/>
        <v>#DIV/0!</v>
      </c>
    </row>
    <row r="145" spans="1:55" ht="12.75" hidden="1" thickBot="1" x14ac:dyDescent="0.25">
      <c r="A145" s="13"/>
      <c r="B145" s="13"/>
      <c r="C145" s="43">
        <v>32</v>
      </c>
      <c r="D145" s="14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6">
        <f t="shared" si="146"/>
        <v>0</v>
      </c>
      <c r="P145" s="14">
        <v>0</v>
      </c>
      <c r="Q145" s="15">
        <v>0</v>
      </c>
      <c r="R145" s="15">
        <v>0</v>
      </c>
      <c r="S145" s="15">
        <v>0</v>
      </c>
      <c r="T145" s="15">
        <v>0</v>
      </c>
      <c r="U145" s="51">
        <v>0</v>
      </c>
      <c r="V145" s="15">
        <v>0</v>
      </c>
      <c r="W145" s="15">
        <v>0</v>
      </c>
      <c r="X145" s="15">
        <v>0</v>
      </c>
      <c r="Y145" s="15">
        <v>0</v>
      </c>
      <c r="Z145" s="16">
        <f t="shared" si="148"/>
        <v>0</v>
      </c>
      <c r="AA145" s="15" t="e">
        <f t="shared" si="147"/>
        <v>#DIV/0!</v>
      </c>
      <c r="AB145" s="15" t="e">
        <f t="shared" si="153"/>
        <v>#DIV/0!</v>
      </c>
      <c r="AC145" s="15" t="e">
        <f t="shared" si="153"/>
        <v>#DIV/0!</v>
      </c>
      <c r="AD145" s="16" t="e">
        <f t="shared" si="149"/>
        <v>#DIV/0!</v>
      </c>
      <c r="AE145" s="12"/>
      <c r="AF145" s="26"/>
      <c r="AG145" s="21"/>
      <c r="AH145" s="36"/>
      <c r="AI145" s="26"/>
      <c r="AJ145" s="21"/>
      <c r="AK145" s="21"/>
      <c r="AL145" s="26"/>
      <c r="AM145" s="21"/>
      <c r="AN145" s="36"/>
      <c r="AO145" s="21"/>
      <c r="AP145" s="21"/>
      <c r="AQ145" s="36"/>
      <c r="AR145" s="21"/>
      <c r="AS145" s="21"/>
      <c r="AT145" s="36"/>
      <c r="AU145" s="26"/>
      <c r="AV145" s="21"/>
      <c r="AW145" s="36"/>
      <c r="AX145" s="15" t="e">
        <f>V145/J145</f>
        <v>#DIV/0!</v>
      </c>
      <c r="AY145" s="15" t="e">
        <f t="shared" si="165"/>
        <v>#DIV/0!</v>
      </c>
      <c r="AZ145" s="15" t="e">
        <f t="shared" si="130"/>
        <v>#DIV/0!</v>
      </c>
      <c r="BA145" s="15" t="e">
        <f>V145/J145</f>
        <v>#DIV/0!</v>
      </c>
      <c r="BB145" s="15" t="e">
        <f t="shared" si="163"/>
        <v>#DIV/0!</v>
      </c>
      <c r="BC145" s="15" t="e">
        <f t="shared" si="126"/>
        <v>#DIV/0!</v>
      </c>
    </row>
    <row r="146" spans="1:55" ht="12.75" hidden="1" thickBot="1" x14ac:dyDescent="0.25">
      <c r="A146" s="13"/>
      <c r="B146" s="13"/>
      <c r="C146" s="43">
        <v>37</v>
      </c>
      <c r="D146" s="14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6">
        <f t="shared" si="146"/>
        <v>0</v>
      </c>
      <c r="P146" s="14">
        <v>0</v>
      </c>
      <c r="Q146" s="15">
        <v>0</v>
      </c>
      <c r="R146" s="15">
        <v>0</v>
      </c>
      <c r="S146" s="15">
        <v>0</v>
      </c>
      <c r="T146" s="15">
        <v>0</v>
      </c>
      <c r="U146" s="51">
        <v>0</v>
      </c>
      <c r="V146" s="15">
        <v>0</v>
      </c>
      <c r="W146" s="15">
        <v>0</v>
      </c>
      <c r="X146" s="15">
        <v>0</v>
      </c>
      <c r="Y146" s="15">
        <v>0</v>
      </c>
      <c r="Z146" s="16">
        <f t="shared" si="148"/>
        <v>0</v>
      </c>
      <c r="AA146" s="15" t="e">
        <f t="shared" si="147"/>
        <v>#DIV/0!</v>
      </c>
      <c r="AB146" s="15" t="e">
        <f t="shared" si="153"/>
        <v>#DIV/0!</v>
      </c>
      <c r="AC146" s="15" t="e">
        <f t="shared" si="153"/>
        <v>#DIV/0!</v>
      </c>
      <c r="AD146" s="16" t="e">
        <f t="shared" si="149"/>
        <v>#DIV/0!</v>
      </c>
      <c r="AE146" s="12"/>
      <c r="AF146" s="26"/>
      <c r="AG146" s="21"/>
      <c r="AH146" s="36"/>
      <c r="AI146" s="26"/>
      <c r="AJ146" s="21"/>
      <c r="AK146" s="21"/>
      <c r="AL146" s="26"/>
      <c r="AM146" s="21"/>
      <c r="AN146" s="36"/>
      <c r="AO146" s="21"/>
      <c r="AP146" s="21"/>
      <c r="AQ146" s="36"/>
      <c r="AR146" s="21"/>
      <c r="AS146" s="21"/>
      <c r="AT146" s="36"/>
      <c r="AU146" s="26"/>
      <c r="AV146" s="21"/>
      <c r="AW146" s="36"/>
      <c r="AX146" s="15" t="e">
        <f>V146/J146</f>
        <v>#DIV/0!</v>
      </c>
      <c r="AY146" s="15" t="e">
        <f t="shared" si="165"/>
        <v>#DIV/0!</v>
      </c>
      <c r="AZ146" s="15" t="e">
        <f t="shared" si="130"/>
        <v>#DIV/0!</v>
      </c>
      <c r="BA146" s="15" t="e">
        <f>V146/J146</f>
        <v>#DIV/0!</v>
      </c>
      <c r="BB146" s="15" t="e">
        <f t="shared" si="163"/>
        <v>#DIV/0!</v>
      </c>
      <c r="BC146" s="15" t="e">
        <f t="shared" si="126"/>
        <v>#DIV/0!</v>
      </c>
    </row>
    <row r="147" spans="1:55" ht="12.75" hidden="1" thickBot="1" x14ac:dyDescent="0.25">
      <c r="A147" s="13"/>
      <c r="B147" s="17"/>
      <c r="C147" s="44">
        <v>42</v>
      </c>
      <c r="D147" s="18">
        <v>0</v>
      </c>
      <c r="E147" s="19">
        <v>0</v>
      </c>
      <c r="F147" s="19">
        <v>0</v>
      </c>
      <c r="G147" s="19">
        <v>0</v>
      </c>
      <c r="H147" s="19">
        <v>0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20">
        <f t="shared" si="146"/>
        <v>0</v>
      </c>
      <c r="P147" s="18">
        <v>0</v>
      </c>
      <c r="Q147" s="19">
        <v>0</v>
      </c>
      <c r="R147" s="19">
        <v>0</v>
      </c>
      <c r="S147" s="19">
        <v>0</v>
      </c>
      <c r="T147" s="19">
        <v>0</v>
      </c>
      <c r="U147" s="52">
        <v>0</v>
      </c>
      <c r="V147" s="19">
        <v>0</v>
      </c>
      <c r="W147" s="19">
        <v>0</v>
      </c>
      <c r="X147" s="19">
        <v>0</v>
      </c>
      <c r="Y147" s="19">
        <v>0</v>
      </c>
      <c r="Z147" s="20">
        <f t="shared" si="148"/>
        <v>0</v>
      </c>
      <c r="AA147" s="15" t="e">
        <f t="shared" si="147"/>
        <v>#DIV/0!</v>
      </c>
      <c r="AB147" s="15" t="e">
        <f t="shared" si="153"/>
        <v>#DIV/0!</v>
      </c>
      <c r="AC147" s="15" t="e">
        <f t="shared" si="153"/>
        <v>#DIV/0!</v>
      </c>
      <c r="AD147" s="20" t="e">
        <f t="shared" si="149"/>
        <v>#DIV/0!</v>
      </c>
      <c r="AE147" s="12"/>
      <c r="AF147" s="27"/>
      <c r="AG147" s="37"/>
      <c r="AH147" s="38"/>
      <c r="AI147" s="27"/>
      <c r="AJ147" s="37"/>
      <c r="AK147" s="37"/>
      <c r="AL147" s="26"/>
      <c r="AM147" s="21"/>
      <c r="AN147" s="36"/>
      <c r="AO147" s="21"/>
      <c r="AP147" s="21"/>
      <c r="AQ147" s="36"/>
      <c r="AR147" s="37"/>
      <c r="AS147" s="37"/>
      <c r="AT147" s="38"/>
      <c r="AU147" s="27"/>
      <c r="AV147" s="37"/>
      <c r="AW147" s="38"/>
      <c r="AX147" s="15" t="e">
        <f>V147/J147</f>
        <v>#DIV/0!</v>
      </c>
      <c r="AY147" s="15" t="e">
        <f t="shared" si="165"/>
        <v>#DIV/0!</v>
      </c>
      <c r="AZ147" s="15" t="e">
        <f t="shared" si="130"/>
        <v>#DIV/0!</v>
      </c>
      <c r="BA147" s="15"/>
      <c r="BB147" s="15"/>
      <c r="BC147" s="15"/>
    </row>
    <row r="148" spans="1:55" ht="12.75" hidden="1" thickBot="1" x14ac:dyDescent="0.25">
      <c r="A148" s="13"/>
      <c r="B148" s="8" t="s">
        <v>68</v>
      </c>
      <c r="C148" s="39">
        <v>22</v>
      </c>
      <c r="D148" s="9">
        <v>0</v>
      </c>
      <c r="E148" s="10">
        <v>0</v>
      </c>
      <c r="F148" s="10">
        <v>0</v>
      </c>
      <c r="G148" s="10">
        <v>0</v>
      </c>
      <c r="H148" s="10">
        <v>0</v>
      </c>
      <c r="I148" s="10">
        <v>0</v>
      </c>
      <c r="J148" s="10">
        <v>0</v>
      </c>
      <c r="K148" s="10">
        <v>0</v>
      </c>
      <c r="L148" s="10">
        <v>0</v>
      </c>
      <c r="M148" s="10">
        <v>0</v>
      </c>
      <c r="N148" s="11">
        <f t="shared" si="146"/>
        <v>0</v>
      </c>
      <c r="P148" s="9">
        <v>0</v>
      </c>
      <c r="Q148" s="10">
        <v>0</v>
      </c>
      <c r="R148" s="10">
        <v>0</v>
      </c>
      <c r="S148" s="10">
        <v>0</v>
      </c>
      <c r="T148" s="10">
        <v>0</v>
      </c>
      <c r="U148" s="50">
        <v>0</v>
      </c>
      <c r="V148" s="10">
        <v>0</v>
      </c>
      <c r="W148" s="10">
        <v>0</v>
      </c>
      <c r="X148" s="10">
        <v>0</v>
      </c>
      <c r="Y148" s="10">
        <v>0</v>
      </c>
      <c r="Z148" s="11">
        <f t="shared" si="148"/>
        <v>0</v>
      </c>
      <c r="AA148" s="15" t="e">
        <f t="shared" si="147"/>
        <v>#DIV/0!</v>
      </c>
      <c r="AB148" s="15" t="e">
        <f t="shared" si="153"/>
        <v>#DIV/0!</v>
      </c>
      <c r="AC148" s="15" t="e">
        <f t="shared" si="153"/>
        <v>#DIV/0!</v>
      </c>
      <c r="AD148" s="11" t="e">
        <f t="shared" si="149"/>
        <v>#DIV/0!</v>
      </c>
      <c r="AE148" s="12"/>
      <c r="AF148" s="25" t="e">
        <f t="shared" ref="AF148:AH148" si="166">bdRateExtend($D148:$D152,E148:E152,$P148:$P152,Q148:Q152)</f>
        <v>#VALUE!</v>
      </c>
      <c r="AG148" s="30" t="e">
        <f t="shared" si="166"/>
        <v>#VALUE!</v>
      </c>
      <c r="AH148" s="31" t="e">
        <f t="shared" si="166"/>
        <v>#VALUE!</v>
      </c>
      <c r="AI148" s="25" t="e">
        <f>bdRateExtend($D148:$D152,#REF!,$P148:$P152,#REF!)</f>
        <v>#VALUE!</v>
      </c>
      <c r="AJ148" s="30" t="e">
        <f>bdRateExtend($D148:$D152,H148:H152,$P148:$P152,T148:T152)</f>
        <v>#VALUE!</v>
      </c>
      <c r="AK148" s="30" t="e">
        <f>bdRateExtend($D148:$D152,I148:I152,$P148:$P152,U148:U152)</f>
        <v>#VALUE!</v>
      </c>
      <c r="AL148" s="45"/>
      <c r="AM148" s="46"/>
      <c r="AN148" s="47"/>
      <c r="AO148" s="46"/>
      <c r="AP148" s="46"/>
      <c r="AQ148" s="47"/>
      <c r="AR148" s="30" t="e">
        <f t="shared" ref="AR148:AT148" si="167">bdrate($D148:$D151,E148:E151,$P148:$P151,Q148:Q151)</f>
        <v>#VALUE!</v>
      </c>
      <c r="AS148" s="30" t="e">
        <f t="shared" si="167"/>
        <v>#VALUE!</v>
      </c>
      <c r="AT148" s="31" t="e">
        <f t="shared" si="167"/>
        <v>#VALUE!</v>
      </c>
      <c r="AU148" s="25" t="e">
        <f>bdrate($D148:$D151,#REF!,$P148:$P151,#REF!)</f>
        <v>#VALUE!</v>
      </c>
      <c r="AV148" s="30" t="e">
        <f>bdrate($D148:$D151,H148:H151,$P148:$P151,T148:T151)</f>
        <v>#VALUE!</v>
      </c>
      <c r="AW148" s="31" t="e">
        <f>bdrate($D148:$D151,I148:I151,$P148:$P151,U148:U151)</f>
        <v>#VALUE!</v>
      </c>
      <c r="AX148" s="15"/>
      <c r="AY148" s="15"/>
      <c r="AZ148" s="15"/>
      <c r="BA148" s="15" t="e">
        <f>V148/J148</f>
        <v>#DIV/0!</v>
      </c>
      <c r="BB148" s="15" t="e">
        <f t="shared" ref="BB148:BB151" si="168">X148/L148</f>
        <v>#DIV/0!</v>
      </c>
      <c r="BC148" s="15" t="e">
        <f t="shared" si="126"/>
        <v>#DIV/0!</v>
      </c>
    </row>
    <row r="149" spans="1:55" ht="12.75" hidden="1" thickBot="1" x14ac:dyDescent="0.25">
      <c r="A149" s="13"/>
      <c r="B149" s="13"/>
      <c r="C149" s="43">
        <v>27</v>
      </c>
      <c r="D149" s="14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6">
        <f t="shared" si="146"/>
        <v>0</v>
      </c>
      <c r="P149" s="14">
        <v>0</v>
      </c>
      <c r="Q149" s="15">
        <v>0</v>
      </c>
      <c r="R149" s="15">
        <v>0</v>
      </c>
      <c r="S149" s="15">
        <v>0</v>
      </c>
      <c r="T149" s="15">
        <v>0</v>
      </c>
      <c r="U149" s="51">
        <v>0</v>
      </c>
      <c r="V149" s="15">
        <v>0</v>
      </c>
      <c r="W149" s="15">
        <v>0</v>
      </c>
      <c r="X149" s="15">
        <v>0</v>
      </c>
      <c r="Y149" s="15">
        <v>0</v>
      </c>
      <c r="Z149" s="16">
        <f t="shared" si="148"/>
        <v>0</v>
      </c>
      <c r="AA149" s="15" t="e">
        <f t="shared" si="147"/>
        <v>#DIV/0!</v>
      </c>
      <c r="AB149" s="15" t="e">
        <f t="shared" si="153"/>
        <v>#DIV/0!</v>
      </c>
      <c r="AC149" s="15" t="e">
        <f t="shared" si="153"/>
        <v>#DIV/0!</v>
      </c>
      <c r="AD149" s="16" t="e">
        <f t="shared" si="149"/>
        <v>#DIV/0!</v>
      </c>
      <c r="AE149" s="12"/>
      <c r="AF149" s="26"/>
      <c r="AG149" s="21"/>
      <c r="AH149" s="36"/>
      <c r="AI149" s="26"/>
      <c r="AJ149" s="21"/>
      <c r="AK149" s="21"/>
      <c r="AL149" s="26" t="e">
        <f t="shared" ref="AL149:AN149" si="169">bdrate($D149:$D152,E149:E152,$P149:$P152,Q149:Q152)</f>
        <v>#VALUE!</v>
      </c>
      <c r="AM149" s="21" t="e">
        <f t="shared" si="169"/>
        <v>#VALUE!</v>
      </c>
      <c r="AN149" s="36" t="e">
        <f t="shared" si="169"/>
        <v>#VALUE!</v>
      </c>
      <c r="AO149" s="26" t="e">
        <f>bdrate($D149:$D152,#REF!,$P149:$P152,#REF!)</f>
        <v>#VALUE!</v>
      </c>
      <c r="AP149" s="21" t="e">
        <f>bdrate($D149:$D152,H149:H152,$P149:$P152,T149:T152)</f>
        <v>#VALUE!</v>
      </c>
      <c r="AQ149" s="36" t="e">
        <f>bdrate($D149:$D152,I149:I152,$P149:$P152,U149:U152)</f>
        <v>#VALUE!</v>
      </c>
      <c r="AR149" s="21"/>
      <c r="AS149" s="21"/>
      <c r="AT149" s="36"/>
      <c r="AU149" s="26"/>
      <c r="AV149" s="21"/>
      <c r="AW149" s="36"/>
      <c r="AX149" s="15" t="e">
        <f>V149/J149</f>
        <v>#DIV/0!</v>
      </c>
      <c r="AY149" s="15" t="e">
        <f t="shared" ref="AY149:AY152" si="170">X149/L149</f>
        <v>#DIV/0!</v>
      </c>
      <c r="AZ149" s="15" t="e">
        <f t="shared" si="130"/>
        <v>#DIV/0!</v>
      </c>
      <c r="BA149" s="15" t="e">
        <f>V149/J149</f>
        <v>#DIV/0!</v>
      </c>
      <c r="BB149" s="15" t="e">
        <f t="shared" si="168"/>
        <v>#DIV/0!</v>
      </c>
      <c r="BC149" s="15" t="e">
        <f t="shared" si="126"/>
        <v>#DIV/0!</v>
      </c>
    </row>
    <row r="150" spans="1:55" ht="12.75" hidden="1" thickBot="1" x14ac:dyDescent="0.25">
      <c r="A150" s="13"/>
      <c r="B150" s="13"/>
      <c r="C150" s="43">
        <v>32</v>
      </c>
      <c r="D150" s="14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6">
        <f t="shared" si="146"/>
        <v>0</v>
      </c>
      <c r="P150" s="14">
        <v>0</v>
      </c>
      <c r="Q150" s="15">
        <v>0</v>
      </c>
      <c r="R150" s="15">
        <v>0</v>
      </c>
      <c r="S150" s="15">
        <v>0</v>
      </c>
      <c r="T150" s="15">
        <v>0</v>
      </c>
      <c r="U150" s="51">
        <v>0</v>
      </c>
      <c r="V150" s="15">
        <v>0</v>
      </c>
      <c r="W150" s="15">
        <v>0</v>
      </c>
      <c r="X150" s="15">
        <v>0</v>
      </c>
      <c r="Y150" s="15">
        <v>0</v>
      </c>
      <c r="Z150" s="16">
        <f t="shared" si="148"/>
        <v>0</v>
      </c>
      <c r="AA150" s="15" t="e">
        <f t="shared" si="147"/>
        <v>#DIV/0!</v>
      </c>
      <c r="AB150" s="15" t="e">
        <f t="shared" si="153"/>
        <v>#DIV/0!</v>
      </c>
      <c r="AC150" s="15" t="e">
        <f t="shared" si="153"/>
        <v>#DIV/0!</v>
      </c>
      <c r="AD150" s="16" t="e">
        <f t="shared" si="149"/>
        <v>#DIV/0!</v>
      </c>
      <c r="AE150" s="12"/>
      <c r="AF150" s="26"/>
      <c r="AG150" s="21"/>
      <c r="AH150" s="36"/>
      <c r="AI150" s="26"/>
      <c r="AJ150" s="21"/>
      <c r="AK150" s="21"/>
      <c r="AL150" s="26"/>
      <c r="AM150" s="21"/>
      <c r="AN150" s="36"/>
      <c r="AO150" s="21"/>
      <c r="AP150" s="21"/>
      <c r="AQ150" s="36"/>
      <c r="AR150" s="21"/>
      <c r="AS150" s="21"/>
      <c r="AT150" s="36"/>
      <c r="AU150" s="26"/>
      <c r="AV150" s="21"/>
      <c r="AW150" s="36"/>
      <c r="AX150" s="15" t="e">
        <f>V150/J150</f>
        <v>#DIV/0!</v>
      </c>
      <c r="AY150" s="15" t="e">
        <f t="shared" si="170"/>
        <v>#DIV/0!</v>
      </c>
      <c r="AZ150" s="15" t="e">
        <f t="shared" si="130"/>
        <v>#DIV/0!</v>
      </c>
      <c r="BA150" s="15" t="e">
        <f>V150/J150</f>
        <v>#DIV/0!</v>
      </c>
      <c r="BB150" s="15" t="e">
        <f t="shared" si="168"/>
        <v>#DIV/0!</v>
      </c>
      <c r="BC150" s="15" t="e">
        <f t="shared" si="126"/>
        <v>#DIV/0!</v>
      </c>
    </row>
    <row r="151" spans="1:55" ht="12.75" hidden="1" thickBot="1" x14ac:dyDescent="0.25">
      <c r="A151" s="13"/>
      <c r="B151" s="13"/>
      <c r="C151" s="43">
        <v>37</v>
      </c>
      <c r="D151" s="14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6">
        <f t="shared" si="146"/>
        <v>0</v>
      </c>
      <c r="P151" s="14">
        <v>0</v>
      </c>
      <c r="Q151" s="15">
        <v>0</v>
      </c>
      <c r="R151" s="15">
        <v>0</v>
      </c>
      <c r="S151" s="15">
        <v>0</v>
      </c>
      <c r="T151" s="15">
        <v>0</v>
      </c>
      <c r="U151" s="51">
        <v>0</v>
      </c>
      <c r="V151" s="15">
        <v>0</v>
      </c>
      <c r="W151" s="15">
        <v>0</v>
      </c>
      <c r="X151" s="15">
        <v>0</v>
      </c>
      <c r="Y151" s="15">
        <v>0</v>
      </c>
      <c r="Z151" s="16">
        <f t="shared" si="148"/>
        <v>0</v>
      </c>
      <c r="AA151" s="15" t="e">
        <f t="shared" si="147"/>
        <v>#DIV/0!</v>
      </c>
      <c r="AB151" s="15" t="e">
        <f t="shared" si="153"/>
        <v>#DIV/0!</v>
      </c>
      <c r="AC151" s="15" t="e">
        <f t="shared" si="153"/>
        <v>#DIV/0!</v>
      </c>
      <c r="AD151" s="16" t="e">
        <f t="shared" si="149"/>
        <v>#DIV/0!</v>
      </c>
      <c r="AE151" s="12"/>
      <c r="AF151" s="26"/>
      <c r="AG151" s="21"/>
      <c r="AH151" s="36"/>
      <c r="AI151" s="26"/>
      <c r="AJ151" s="21"/>
      <c r="AK151" s="21"/>
      <c r="AL151" s="26"/>
      <c r="AM151" s="21"/>
      <c r="AN151" s="36"/>
      <c r="AO151" s="21"/>
      <c r="AP151" s="21"/>
      <c r="AQ151" s="36"/>
      <c r="AR151" s="21"/>
      <c r="AS151" s="21"/>
      <c r="AT151" s="36"/>
      <c r="AU151" s="26"/>
      <c r="AV151" s="21"/>
      <c r="AW151" s="36"/>
      <c r="AX151" s="15" t="e">
        <f>V151/J151</f>
        <v>#DIV/0!</v>
      </c>
      <c r="AY151" s="15" t="e">
        <f t="shared" si="170"/>
        <v>#DIV/0!</v>
      </c>
      <c r="AZ151" s="15" t="e">
        <f t="shared" si="130"/>
        <v>#DIV/0!</v>
      </c>
      <c r="BA151" s="15" t="e">
        <f>V151/J151</f>
        <v>#DIV/0!</v>
      </c>
      <c r="BB151" s="15" t="e">
        <f t="shared" si="168"/>
        <v>#DIV/0!</v>
      </c>
      <c r="BC151" s="15" t="e">
        <f t="shared" si="126"/>
        <v>#DIV/0!</v>
      </c>
    </row>
    <row r="152" spans="1:55" ht="12.75" hidden="1" thickBot="1" x14ac:dyDescent="0.25">
      <c r="A152" s="17"/>
      <c r="B152" s="17"/>
      <c r="C152" s="44">
        <v>42</v>
      </c>
      <c r="D152" s="18">
        <v>0</v>
      </c>
      <c r="E152" s="19">
        <v>0</v>
      </c>
      <c r="F152" s="19">
        <v>0</v>
      </c>
      <c r="G152" s="19">
        <v>0</v>
      </c>
      <c r="H152" s="19">
        <v>0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20">
        <f t="shared" si="146"/>
        <v>0</v>
      </c>
      <c r="P152" s="18">
        <v>0</v>
      </c>
      <c r="Q152" s="19">
        <v>0</v>
      </c>
      <c r="R152" s="19">
        <v>0</v>
      </c>
      <c r="S152" s="19">
        <v>0</v>
      </c>
      <c r="T152" s="19">
        <v>0</v>
      </c>
      <c r="U152" s="52">
        <v>0</v>
      </c>
      <c r="V152" s="19">
        <v>0</v>
      </c>
      <c r="W152" s="19">
        <v>0</v>
      </c>
      <c r="X152" s="19">
        <v>0</v>
      </c>
      <c r="Y152" s="19">
        <v>0</v>
      </c>
      <c r="Z152" s="20">
        <f t="shared" si="148"/>
        <v>0</v>
      </c>
      <c r="AA152" s="19" t="e">
        <f t="shared" si="147"/>
        <v>#DIV/0!</v>
      </c>
      <c r="AB152" s="19" t="e">
        <f t="shared" si="153"/>
        <v>#DIV/0!</v>
      </c>
      <c r="AC152" s="19" t="e">
        <f t="shared" si="153"/>
        <v>#DIV/0!</v>
      </c>
      <c r="AD152" s="20" t="e">
        <f t="shared" si="149"/>
        <v>#DIV/0!</v>
      </c>
      <c r="AE152" s="41"/>
      <c r="AF152" s="27"/>
      <c r="AG152" s="37"/>
      <c r="AH152" s="38"/>
      <c r="AI152" s="27"/>
      <c r="AJ152" s="37"/>
      <c r="AK152" s="37"/>
      <c r="AL152" s="27"/>
      <c r="AM152" s="37"/>
      <c r="AN152" s="38"/>
      <c r="AO152" s="37"/>
      <c r="AP152" s="37"/>
      <c r="AQ152" s="38"/>
      <c r="AR152" s="37"/>
      <c r="AS152" s="37"/>
      <c r="AT152" s="38"/>
      <c r="AU152" s="27"/>
      <c r="AV152" s="37"/>
      <c r="AW152" s="38"/>
      <c r="AX152" s="19" t="e">
        <f>V152/J152</f>
        <v>#DIV/0!</v>
      </c>
      <c r="AY152" s="19" t="e">
        <f t="shared" si="170"/>
        <v>#DIV/0!</v>
      </c>
      <c r="AZ152" s="19" t="e">
        <f t="shared" si="130"/>
        <v>#DIV/0!</v>
      </c>
      <c r="BA152" s="19"/>
      <c r="BB152" s="19"/>
      <c r="BC152" s="19"/>
    </row>
    <row r="153" spans="1:55" x14ac:dyDescent="0.2">
      <c r="B153" s="1" t="s">
        <v>40</v>
      </c>
      <c r="L153" s="12" t="e">
        <f>GEOMEAN(L3:L17)</f>
        <v>#NUM!</v>
      </c>
      <c r="M153" s="12" t="e">
        <f>GEOMEAN(M3:M17)</f>
        <v>#NUM!</v>
      </c>
      <c r="N153" s="12" t="e">
        <f>GEOMEAN(N3:N17)</f>
        <v>#NUM!</v>
      </c>
      <c r="X153" s="12" t="e">
        <f t="shared" ref="X153:AC153" si="171">GEOMEAN(X3:X17)</f>
        <v>#NUM!</v>
      </c>
      <c r="Y153" s="12" t="e">
        <f t="shared" si="171"/>
        <v>#NUM!</v>
      </c>
      <c r="Z153" s="12" t="e">
        <f t="shared" si="171"/>
        <v>#NUM!</v>
      </c>
      <c r="AA153" s="12" t="e">
        <f t="shared" si="171"/>
        <v>#DIV/0!</v>
      </c>
      <c r="AB153" s="12" t="e">
        <f t="shared" si="171"/>
        <v>#DIV/0!</v>
      </c>
      <c r="AC153" s="12" t="e">
        <f t="shared" si="171"/>
        <v>#DIV/0!</v>
      </c>
      <c r="AD153" s="12">
        <f t="shared" ref="AD153" si="172">AVERAGE(AD3:AD17)</f>
        <v>2.233674403496378E-3</v>
      </c>
      <c r="AF153" s="25">
        <f t="shared" ref="AF153:AW153" si="173">AVERAGE(AF3:AF17)</f>
        <v>1.4033133971783258E-3</v>
      </c>
      <c r="AG153" s="30" t="e">
        <f t="shared" si="173"/>
        <v>#VALUE!</v>
      </c>
      <c r="AH153" s="30" t="e">
        <f t="shared" si="173"/>
        <v>#VALUE!</v>
      </c>
      <c r="AI153" s="25" t="e">
        <f t="shared" si="173"/>
        <v>#VALUE!</v>
      </c>
      <c r="AJ153" s="30" t="e">
        <f t="shared" si="173"/>
        <v>#VALUE!</v>
      </c>
      <c r="AK153" s="30" t="e">
        <f t="shared" si="173"/>
        <v>#VALUE!</v>
      </c>
      <c r="AL153" s="25">
        <f t="shared" ref="AL153:AQ153" si="174">AVERAGE(AL4:AL18)</f>
        <v>2.1795752264716453E-3</v>
      </c>
      <c r="AM153" s="30" t="e">
        <f t="shared" si="174"/>
        <v>#VALUE!</v>
      </c>
      <c r="AN153" s="30" t="e">
        <f t="shared" si="174"/>
        <v>#VALUE!</v>
      </c>
      <c r="AO153" s="25" t="e">
        <f t="shared" si="174"/>
        <v>#VALUE!</v>
      </c>
      <c r="AP153" s="30" t="e">
        <f t="shared" si="174"/>
        <v>#VALUE!</v>
      </c>
      <c r="AQ153" s="30" t="e">
        <f t="shared" si="174"/>
        <v>#VALUE!</v>
      </c>
      <c r="AR153" s="25">
        <f t="shared" ref="AR153:AT153" si="175">AVERAGE(AR3:AR17)</f>
        <v>3.7066260711771104E-4</v>
      </c>
      <c r="AS153" s="30" t="e">
        <f t="shared" si="175"/>
        <v>#VALUE!</v>
      </c>
      <c r="AT153" s="31" t="e">
        <f t="shared" si="175"/>
        <v>#VALUE!</v>
      </c>
      <c r="AU153" s="25" t="e">
        <f t="shared" si="173"/>
        <v>#VALUE!</v>
      </c>
      <c r="AV153" s="30" t="e">
        <f t="shared" si="173"/>
        <v>#VALUE!</v>
      </c>
      <c r="AW153" s="31" t="e">
        <f t="shared" si="173"/>
        <v>#VALUE!</v>
      </c>
      <c r="AX153" s="12" t="e">
        <f t="shared" ref="AX153:BC153" si="176">GEOMEAN(AX3:AX17)</f>
        <v>#DIV/0!</v>
      </c>
      <c r="AY153" s="12" t="e">
        <f t="shared" si="176"/>
        <v>#DIV/0!</v>
      </c>
      <c r="AZ153" s="12" t="e">
        <f t="shared" si="176"/>
        <v>#DIV/0!</v>
      </c>
      <c r="BA153" s="12" t="e">
        <f t="shared" si="176"/>
        <v>#DIV/0!</v>
      </c>
      <c r="BB153" s="12" t="e">
        <f t="shared" si="176"/>
        <v>#DIV/0!</v>
      </c>
      <c r="BC153" s="12" t="e">
        <f t="shared" si="176"/>
        <v>#DIV/0!</v>
      </c>
    </row>
    <row r="154" spans="1:55" x14ac:dyDescent="0.2">
      <c r="B154" s="1" t="s">
        <v>41</v>
      </c>
      <c r="L154" s="12" t="e">
        <f>GEOMEAN(L18:L32)</f>
        <v>#NUM!</v>
      </c>
      <c r="M154" s="12" t="e">
        <f>GEOMEAN(M18:M32)</f>
        <v>#NUM!</v>
      </c>
      <c r="N154" s="12" t="e">
        <f>GEOMEAN(N18:N32)</f>
        <v>#NUM!</v>
      </c>
      <c r="X154" s="12" t="e">
        <f t="shared" ref="X154:AC154" si="177">GEOMEAN(X18:X32)</f>
        <v>#NUM!</v>
      </c>
      <c r="Y154" s="12" t="e">
        <f t="shared" si="177"/>
        <v>#NUM!</v>
      </c>
      <c r="Z154" s="12" t="e">
        <f t="shared" si="177"/>
        <v>#NUM!</v>
      </c>
      <c r="AA154" s="12" t="e">
        <f t="shared" si="177"/>
        <v>#DIV/0!</v>
      </c>
      <c r="AB154" s="12" t="e">
        <f t="shared" si="177"/>
        <v>#DIV/0!</v>
      </c>
      <c r="AC154" s="12" t="e">
        <f t="shared" si="177"/>
        <v>#DIV/0!</v>
      </c>
      <c r="AD154" s="12">
        <f t="shared" ref="AD154" si="178">AVERAGE(AD18:AD32)</f>
        <v>9.0303197524882104E-4</v>
      </c>
      <c r="AF154" s="28">
        <f t="shared" ref="AF154:AK154" si="179">AVERAGE(AF18:AF32)</f>
        <v>-4.1006459433501341E-5</v>
      </c>
      <c r="AG154" s="32" t="e">
        <f t="shared" si="179"/>
        <v>#VALUE!</v>
      </c>
      <c r="AH154" s="32" t="e">
        <f t="shared" si="179"/>
        <v>#VALUE!</v>
      </c>
      <c r="AI154" s="28" t="e">
        <f t="shared" si="179"/>
        <v>#VALUE!</v>
      </c>
      <c r="AJ154" s="32" t="e">
        <f t="shared" si="179"/>
        <v>#VALUE!</v>
      </c>
      <c r="AK154" s="32" t="e">
        <f t="shared" si="179"/>
        <v>#VALUE!</v>
      </c>
      <c r="AL154" s="28">
        <f t="shared" ref="AL154:AQ154" si="180">AVERAGE(AL19:AL33)</f>
        <v>-2.3464455646101298E-4</v>
      </c>
      <c r="AM154" s="32" t="e">
        <f t="shared" si="180"/>
        <v>#VALUE!</v>
      </c>
      <c r="AN154" s="32" t="e">
        <f t="shared" si="180"/>
        <v>#VALUE!</v>
      </c>
      <c r="AO154" s="28" t="e">
        <f t="shared" si="180"/>
        <v>#VALUE!</v>
      </c>
      <c r="AP154" s="32" t="e">
        <f t="shared" si="180"/>
        <v>#VALUE!</v>
      </c>
      <c r="AQ154" s="32" t="e">
        <f t="shared" si="180"/>
        <v>#VALUE!</v>
      </c>
      <c r="AR154" s="28">
        <f t="shared" ref="AR154:AW154" si="181">AVERAGE(AR18:AR32)</f>
        <v>-1.077147858600247E-4</v>
      </c>
      <c r="AS154" s="32" t="e">
        <f t="shared" si="181"/>
        <v>#VALUE!</v>
      </c>
      <c r="AT154" s="33" t="e">
        <f t="shared" si="181"/>
        <v>#VALUE!</v>
      </c>
      <c r="AU154" s="28" t="e">
        <f t="shared" si="181"/>
        <v>#VALUE!</v>
      </c>
      <c r="AV154" s="32" t="e">
        <f t="shared" si="181"/>
        <v>#VALUE!</v>
      </c>
      <c r="AW154" s="33" t="e">
        <f t="shared" si="181"/>
        <v>#VALUE!</v>
      </c>
      <c r="AX154" s="12" t="e">
        <f t="shared" ref="AX154:BC154" si="182">GEOMEAN(AX18:AX32)</f>
        <v>#DIV/0!</v>
      </c>
      <c r="AY154" s="12" t="e">
        <f t="shared" si="182"/>
        <v>#DIV/0!</v>
      </c>
      <c r="AZ154" s="12" t="e">
        <f t="shared" si="182"/>
        <v>#DIV/0!</v>
      </c>
      <c r="BA154" s="12" t="e">
        <f t="shared" si="182"/>
        <v>#DIV/0!</v>
      </c>
      <c r="BB154" s="12" t="e">
        <f t="shared" si="182"/>
        <v>#DIV/0!</v>
      </c>
      <c r="BC154" s="12" t="e">
        <f t="shared" si="182"/>
        <v>#DIV/0!</v>
      </c>
    </row>
    <row r="155" spans="1:55" x14ac:dyDescent="0.2">
      <c r="B155" s="1" t="s">
        <v>1</v>
      </c>
      <c r="L155" s="12" t="e">
        <f>GEOMEAN(L33:L57)</f>
        <v>#NUM!</v>
      </c>
      <c r="M155" s="12" t="e">
        <f>GEOMEAN(M33:M57)</f>
        <v>#NUM!</v>
      </c>
      <c r="N155" s="12" t="e">
        <f>GEOMEAN(N33:N57)</f>
        <v>#NUM!</v>
      </c>
      <c r="X155" s="12" t="e">
        <f>GEOMEAN(X33:X57)</f>
        <v>#NUM!</v>
      </c>
      <c r="Y155" s="12" t="e">
        <f>GEOMEAN(Y33:Y57)</f>
        <v>#NUM!</v>
      </c>
      <c r="Z155" s="12" t="e">
        <f>GEOMEAN(Z33:Z57)</f>
        <v>#NUM!</v>
      </c>
      <c r="AA155" s="12" t="e">
        <f t="shared" ref="AA155:AC155" si="183">GEOMEAN(AA33:AA57)</f>
        <v>#DIV/0!</v>
      </c>
      <c r="AB155" s="12" t="e">
        <f t="shared" si="183"/>
        <v>#DIV/0!</v>
      </c>
      <c r="AC155" s="12" t="e">
        <f t="shared" si="183"/>
        <v>#DIV/0!</v>
      </c>
      <c r="AD155" s="12">
        <f>AVERAGE(AD33:AD57)</f>
        <v>2.3147241733310034E-3</v>
      </c>
      <c r="AF155" s="28">
        <f>AVERAGE(AF33:AF57)</f>
        <v>1.2364527023926097E-3</v>
      </c>
      <c r="AG155" s="32" t="e">
        <f t="shared" ref="AG155:AH155" si="184">AVERAGE(AG33:AG57)</f>
        <v>#VALUE!</v>
      </c>
      <c r="AH155" s="32" t="e">
        <f t="shared" si="184"/>
        <v>#VALUE!</v>
      </c>
      <c r="AI155" s="28" t="e">
        <f>AVERAGE(AI33:AI57)</f>
        <v>#VALUE!</v>
      </c>
      <c r="AJ155" s="32" t="e">
        <f t="shared" ref="AJ155:AK155" si="185">AVERAGE(AJ33:AJ57)</f>
        <v>#VALUE!</v>
      </c>
      <c r="AK155" s="32" t="e">
        <f t="shared" si="185"/>
        <v>#VALUE!</v>
      </c>
      <c r="AL155" s="28">
        <f t="shared" ref="AL155:AQ155" si="186">AVERAGE(AL34:AL58)</f>
        <v>1.6088761265908636E-3</v>
      </c>
      <c r="AM155" s="32" t="e">
        <f t="shared" si="186"/>
        <v>#VALUE!</v>
      </c>
      <c r="AN155" s="32" t="e">
        <f t="shared" si="186"/>
        <v>#VALUE!</v>
      </c>
      <c r="AO155" s="28" t="e">
        <f t="shared" si="186"/>
        <v>#VALUE!</v>
      </c>
      <c r="AP155" s="32" t="e">
        <f t="shared" si="186"/>
        <v>#VALUE!</v>
      </c>
      <c r="AQ155" s="32" t="e">
        <f t="shared" si="186"/>
        <v>#VALUE!</v>
      </c>
      <c r="AR155" s="28">
        <f t="shared" ref="AR155:AW155" si="187">AVERAGE(AR33:AR57)</f>
        <v>9.4627080043307998E-4</v>
      </c>
      <c r="AS155" s="32" t="e">
        <f t="shared" si="187"/>
        <v>#VALUE!</v>
      </c>
      <c r="AT155" s="33" t="e">
        <f t="shared" si="187"/>
        <v>#VALUE!</v>
      </c>
      <c r="AU155" s="28" t="e">
        <f t="shared" si="187"/>
        <v>#VALUE!</v>
      </c>
      <c r="AV155" s="32" t="e">
        <f t="shared" si="187"/>
        <v>#VALUE!</v>
      </c>
      <c r="AW155" s="33" t="e">
        <f t="shared" si="187"/>
        <v>#VALUE!</v>
      </c>
      <c r="AX155" s="12" t="e">
        <f t="shared" ref="AX155:BC155" si="188">GEOMEAN(AX33:AX57)</f>
        <v>#DIV/0!</v>
      </c>
      <c r="AY155" s="12" t="e">
        <f t="shared" si="188"/>
        <v>#DIV/0!</v>
      </c>
      <c r="AZ155" s="12" t="e">
        <f t="shared" si="188"/>
        <v>#DIV/0!</v>
      </c>
      <c r="BA155" s="12" t="e">
        <f t="shared" si="188"/>
        <v>#DIV/0!</v>
      </c>
      <c r="BB155" s="12" t="e">
        <f t="shared" si="188"/>
        <v>#DIV/0!</v>
      </c>
      <c r="BC155" s="12" t="e">
        <f t="shared" si="188"/>
        <v>#DIV/0!</v>
      </c>
    </row>
    <row r="156" spans="1:55" x14ac:dyDescent="0.2">
      <c r="B156" s="1" t="s">
        <v>5</v>
      </c>
      <c r="L156" s="12" t="e">
        <f>GEOMEAN(L58:L77)</f>
        <v>#NUM!</v>
      </c>
      <c r="M156" s="12" t="e">
        <f>GEOMEAN(M58:M77)</f>
        <v>#NUM!</v>
      </c>
      <c r="N156" s="12" t="e">
        <f>GEOMEAN(N58:N77)</f>
        <v>#NUM!</v>
      </c>
      <c r="X156" s="12" t="e">
        <f>GEOMEAN(X58:X77)</f>
        <v>#NUM!</v>
      </c>
      <c r="Y156" s="12" t="e">
        <f>GEOMEAN(Y58:Y77)</f>
        <v>#NUM!</v>
      </c>
      <c r="Z156" s="12" t="e">
        <f>GEOMEAN(Z58:Z77)</f>
        <v>#NUM!</v>
      </c>
      <c r="AA156" s="12" t="e">
        <f t="shared" ref="AA156:AC156" si="189">GEOMEAN(AA58:AA77)</f>
        <v>#DIV/0!</v>
      </c>
      <c r="AB156" s="12" t="e">
        <f t="shared" si="189"/>
        <v>#DIV/0!</v>
      </c>
      <c r="AC156" s="12" t="e">
        <f t="shared" si="189"/>
        <v>#DIV/0!</v>
      </c>
      <c r="AD156" s="12">
        <f>AVERAGE(AD58:AD77)</f>
        <v>4.1725574712924898E-3</v>
      </c>
      <c r="AF156" s="28">
        <f>AVERAGE(AF58:AF77)</f>
        <v>3.6785084687085412E-4</v>
      </c>
      <c r="AG156" s="32" t="e">
        <f t="shared" ref="AG156:AH156" si="190">AVERAGE(AG58:AG77)</f>
        <v>#VALUE!</v>
      </c>
      <c r="AH156" s="32" t="e">
        <f t="shared" si="190"/>
        <v>#VALUE!</v>
      </c>
      <c r="AI156" s="28" t="e">
        <f>AVERAGE(AI58:AI77)</f>
        <v>#VALUE!</v>
      </c>
      <c r="AJ156" s="32" t="e">
        <f t="shared" ref="AJ156:AK156" si="191">AVERAGE(AJ58:AJ77)</f>
        <v>#VALUE!</v>
      </c>
      <c r="AK156" s="32" t="e">
        <f t="shared" si="191"/>
        <v>#VALUE!</v>
      </c>
      <c r="AL156" s="28">
        <f t="shared" ref="AL156:AQ156" si="192">AVERAGE(AL59:AL78)</f>
        <v>7.738188876092178E-4</v>
      </c>
      <c r="AM156" s="32" t="e">
        <f t="shared" si="192"/>
        <v>#VALUE!</v>
      </c>
      <c r="AN156" s="32" t="e">
        <f t="shared" si="192"/>
        <v>#VALUE!</v>
      </c>
      <c r="AO156" s="28" t="e">
        <f t="shared" si="192"/>
        <v>#VALUE!</v>
      </c>
      <c r="AP156" s="32" t="e">
        <f t="shared" si="192"/>
        <v>#VALUE!</v>
      </c>
      <c r="AQ156" s="32" t="e">
        <f t="shared" si="192"/>
        <v>#VALUE!</v>
      </c>
      <c r="AR156" s="28">
        <f t="shared" ref="AR156:AW156" si="193">AVERAGE(AR58:AR77)</f>
        <v>-8.5466274818229993E-5</v>
      </c>
      <c r="AS156" s="32" t="e">
        <f t="shared" si="193"/>
        <v>#VALUE!</v>
      </c>
      <c r="AT156" s="33" t="e">
        <f t="shared" si="193"/>
        <v>#VALUE!</v>
      </c>
      <c r="AU156" s="28" t="e">
        <f t="shared" si="193"/>
        <v>#VALUE!</v>
      </c>
      <c r="AV156" s="32" t="e">
        <f t="shared" si="193"/>
        <v>#VALUE!</v>
      </c>
      <c r="AW156" s="33" t="e">
        <f t="shared" si="193"/>
        <v>#VALUE!</v>
      </c>
      <c r="AX156" s="12" t="e">
        <f t="shared" ref="AX156:BC156" si="194">GEOMEAN(AX58:AX77)</f>
        <v>#DIV/0!</v>
      </c>
      <c r="AY156" s="12" t="e">
        <f t="shared" si="194"/>
        <v>#DIV/0!</v>
      </c>
      <c r="AZ156" s="12" t="e">
        <f t="shared" si="194"/>
        <v>#DIV/0!</v>
      </c>
      <c r="BA156" s="12" t="e">
        <f t="shared" si="194"/>
        <v>#DIV/0!</v>
      </c>
      <c r="BB156" s="12" t="e">
        <f t="shared" si="194"/>
        <v>#DIV/0!</v>
      </c>
      <c r="BC156" s="12" t="e">
        <f t="shared" si="194"/>
        <v>#DIV/0!</v>
      </c>
    </row>
    <row r="157" spans="1:55" x14ac:dyDescent="0.2">
      <c r="B157" s="1" t="s">
        <v>6</v>
      </c>
      <c r="L157" s="12" t="e">
        <f>GEOMEAN(L78:L97)</f>
        <v>#NUM!</v>
      </c>
      <c r="M157" s="12" t="e">
        <f>GEOMEAN(M78:M97)</f>
        <v>#NUM!</v>
      </c>
      <c r="N157" s="12" t="e">
        <f>GEOMEAN(N78:N97)</f>
        <v>#NUM!</v>
      </c>
      <c r="X157" s="12" t="e">
        <f>GEOMEAN(X78:X97)</f>
        <v>#NUM!</v>
      </c>
      <c r="Y157" s="12" t="e">
        <f>GEOMEAN(Y78:Y97)</f>
        <v>#NUM!</v>
      </c>
      <c r="Z157" s="12" t="e">
        <f>GEOMEAN(Z78:Z97)</f>
        <v>#NUM!</v>
      </c>
      <c r="AA157" s="12" t="e">
        <f t="shared" ref="AA157:AC157" si="195">GEOMEAN(AA78:AA97)</f>
        <v>#DIV/0!</v>
      </c>
      <c r="AB157" s="12" t="e">
        <f t="shared" si="195"/>
        <v>#DIV/0!</v>
      </c>
      <c r="AC157" s="12" t="e">
        <f t="shared" si="195"/>
        <v>#DIV/0!</v>
      </c>
      <c r="AD157" s="12" t="e">
        <f>AVERAGE(AD78:AD97)</f>
        <v>#REF!</v>
      </c>
      <c r="AF157" s="28">
        <f>AVERAGE(AF78:AF97)</f>
        <v>-1.4319413785340851E-3</v>
      </c>
      <c r="AG157" s="32" t="e">
        <f t="shared" ref="AG157:AH157" si="196">AVERAGE(AG78:AG97)</f>
        <v>#VALUE!</v>
      </c>
      <c r="AH157" s="32" t="e">
        <f t="shared" si="196"/>
        <v>#VALUE!</v>
      </c>
      <c r="AI157" s="28" t="e">
        <f>AVERAGE(AI78:AI97)</f>
        <v>#VALUE!</v>
      </c>
      <c r="AJ157" s="32" t="e">
        <f t="shared" ref="AJ157:AK157" si="197">AVERAGE(AJ78:AJ97)</f>
        <v>#VALUE!</v>
      </c>
      <c r="AK157" s="32" t="e">
        <f t="shared" si="197"/>
        <v>#VALUE!</v>
      </c>
      <c r="AL157" s="28">
        <f t="shared" ref="AL157:AQ157" si="198">AVERAGE(AL79:AL98)</f>
        <v>-1.9254864287513995E-3</v>
      </c>
      <c r="AM157" s="32" t="e">
        <f t="shared" si="198"/>
        <v>#VALUE!</v>
      </c>
      <c r="AN157" s="32" t="e">
        <f t="shared" si="198"/>
        <v>#VALUE!</v>
      </c>
      <c r="AO157" s="28" t="e">
        <f t="shared" si="198"/>
        <v>#VALUE!</v>
      </c>
      <c r="AP157" s="32" t="e">
        <f t="shared" si="198"/>
        <v>#VALUE!</v>
      </c>
      <c r="AQ157" s="32" t="e">
        <f t="shared" si="198"/>
        <v>#VALUE!</v>
      </c>
      <c r="AR157" s="28">
        <f t="shared" ref="AR157:AW157" si="199">AVERAGE(AR78:AR97)</f>
        <v>-2.1592674688082902E-3</v>
      </c>
      <c r="AS157" s="32" t="e">
        <f t="shared" si="199"/>
        <v>#VALUE!</v>
      </c>
      <c r="AT157" s="33" t="e">
        <f t="shared" si="199"/>
        <v>#VALUE!</v>
      </c>
      <c r="AU157" s="28" t="e">
        <f t="shared" si="199"/>
        <v>#VALUE!</v>
      </c>
      <c r="AV157" s="32" t="e">
        <f t="shared" si="199"/>
        <v>#VALUE!</v>
      </c>
      <c r="AW157" s="33" t="e">
        <f t="shared" si="199"/>
        <v>#VALUE!</v>
      </c>
      <c r="AX157" s="12" t="e">
        <f t="shared" ref="AX157:BC157" si="200">GEOMEAN(AX78:AX97)</f>
        <v>#DIV/0!</v>
      </c>
      <c r="AY157" s="12" t="e">
        <f t="shared" si="200"/>
        <v>#DIV/0!</v>
      </c>
      <c r="AZ157" s="12" t="e">
        <f t="shared" si="200"/>
        <v>#DIV/0!</v>
      </c>
      <c r="BA157" s="12" t="e">
        <f t="shared" si="200"/>
        <v>#DIV/0!</v>
      </c>
      <c r="BB157" s="12" t="e">
        <f t="shared" si="200"/>
        <v>#DIV/0!</v>
      </c>
      <c r="BC157" s="12" t="e">
        <f t="shared" si="200"/>
        <v>#DIV/0!</v>
      </c>
    </row>
    <row r="158" spans="1:55" x14ac:dyDescent="0.2">
      <c r="B158" s="1" t="s">
        <v>7</v>
      </c>
      <c r="L158" s="12" t="e">
        <f>GEOMEAN(L98:L112)</f>
        <v>#NUM!</v>
      </c>
      <c r="M158" s="12" t="e">
        <f>GEOMEAN(M98:M112)</f>
        <v>#NUM!</v>
      </c>
      <c r="N158" s="12" t="e">
        <f>GEOMEAN(N98:N112)</f>
        <v>#NUM!</v>
      </c>
      <c r="X158" s="12" t="e">
        <f>GEOMEAN(X98:X112)</f>
        <v>#NUM!</v>
      </c>
      <c r="Y158" s="12" t="e">
        <f>GEOMEAN(Y98:Y112)</f>
        <v>#NUM!</v>
      </c>
      <c r="Z158" s="12" t="e">
        <f>GEOMEAN(Z98:Z112)</f>
        <v>#NUM!</v>
      </c>
      <c r="AA158" s="12" t="e">
        <f t="shared" ref="AA158:AC158" si="201">GEOMEAN(AA98:AA112)</f>
        <v>#DIV/0!</v>
      </c>
      <c r="AB158" s="12" t="e">
        <f t="shared" si="201"/>
        <v>#DIV/0!</v>
      </c>
      <c r="AC158" s="12" t="e">
        <f t="shared" si="201"/>
        <v>#DIV/0!</v>
      </c>
      <c r="AD158" s="12">
        <f>AVERAGE(AD98:AD109)</f>
        <v>5.4243119458385848E-3</v>
      </c>
      <c r="AF158" s="28">
        <f>AVERAGE(AF98:AF109)</f>
        <v>-9.4207972196473178E-4</v>
      </c>
      <c r="AG158" s="32" t="e">
        <f t="shared" ref="AG158:AH158" si="202">AVERAGE(AG98:AG109)</f>
        <v>#VALUE!</v>
      </c>
      <c r="AH158" s="32" t="e">
        <f t="shared" si="202"/>
        <v>#VALUE!</v>
      </c>
      <c r="AI158" s="28" t="e">
        <f>AVERAGE(AI98:AI109)</f>
        <v>#VALUE!</v>
      </c>
      <c r="AJ158" s="32" t="e">
        <f t="shared" ref="AJ158:AK158" si="203">AVERAGE(AJ98:AJ109)</f>
        <v>#VALUE!</v>
      </c>
      <c r="AK158" s="32" t="e">
        <f t="shared" si="203"/>
        <v>#VALUE!</v>
      </c>
      <c r="AL158" s="28">
        <f t="shared" ref="AL158:AQ158" si="204">AVERAGE(AL99:AL110)</f>
        <v>-1.1130115780481804E-3</v>
      </c>
      <c r="AM158" s="32" t="e">
        <f t="shared" si="204"/>
        <v>#VALUE!</v>
      </c>
      <c r="AN158" s="32" t="e">
        <f t="shared" si="204"/>
        <v>#VALUE!</v>
      </c>
      <c r="AO158" s="28" t="e">
        <f t="shared" si="204"/>
        <v>#VALUE!</v>
      </c>
      <c r="AP158" s="32" t="e">
        <f t="shared" si="204"/>
        <v>#VALUE!</v>
      </c>
      <c r="AQ158" s="32" t="e">
        <f t="shared" si="204"/>
        <v>#VALUE!</v>
      </c>
      <c r="AR158" s="28">
        <f t="shared" ref="AR158:AW158" si="205">AVERAGE(AR98:AR109)</f>
        <v>-1.1240517832997732E-3</v>
      </c>
      <c r="AS158" s="32" t="e">
        <f t="shared" si="205"/>
        <v>#VALUE!</v>
      </c>
      <c r="AT158" s="33" t="e">
        <f t="shared" si="205"/>
        <v>#VALUE!</v>
      </c>
      <c r="AU158" s="28" t="e">
        <f t="shared" si="205"/>
        <v>#VALUE!</v>
      </c>
      <c r="AV158" s="32" t="e">
        <f t="shared" si="205"/>
        <v>#VALUE!</v>
      </c>
      <c r="AW158" s="33" t="e">
        <f t="shared" si="205"/>
        <v>#VALUE!</v>
      </c>
      <c r="AX158" s="12" t="e">
        <f t="shared" ref="AX158:BC158" si="206">GEOMEAN(AX98:AX112)</f>
        <v>#DIV/0!</v>
      </c>
      <c r="AY158" s="12" t="e">
        <f t="shared" si="206"/>
        <v>#DIV/0!</v>
      </c>
      <c r="AZ158" s="12" t="e">
        <f t="shared" si="206"/>
        <v>#DIV/0!</v>
      </c>
      <c r="BA158" s="12" t="e">
        <f t="shared" si="206"/>
        <v>#DIV/0!</v>
      </c>
      <c r="BB158" s="12" t="e">
        <f t="shared" si="206"/>
        <v>#DIV/0!</v>
      </c>
      <c r="BC158" s="12" t="e">
        <f t="shared" si="206"/>
        <v>#DIV/0!</v>
      </c>
    </row>
    <row r="159" spans="1:55" ht="12.75" thickBot="1" x14ac:dyDescent="0.25">
      <c r="B159" s="1" t="s">
        <v>18</v>
      </c>
      <c r="L159" s="12" t="e">
        <f>GEOMEAN(L113:L132)</f>
        <v>#NUM!</v>
      </c>
      <c r="M159" s="12" t="e">
        <f>GEOMEAN(M113:M132)</f>
        <v>#NUM!</v>
      </c>
      <c r="N159" s="12" t="e">
        <f>GEOMEAN(N113:N132)</f>
        <v>#NUM!</v>
      </c>
      <c r="X159" s="12" t="e">
        <f>GEOMEAN(X113:X132)</f>
        <v>#NUM!</v>
      </c>
      <c r="Y159" s="12" t="e">
        <f>GEOMEAN(Y113:Y132)</f>
        <v>#NUM!</v>
      </c>
      <c r="Z159" s="12" t="e">
        <f>GEOMEAN(Z113:Z132)</f>
        <v>#NUM!</v>
      </c>
      <c r="AA159" s="12" t="e">
        <f t="shared" ref="AA159:AC160" si="207">GEOMEAN(AA113:AA132)</f>
        <v>#DIV/0!</v>
      </c>
      <c r="AB159" s="12" t="e">
        <f>GEOMEAN(AB113:AB132)</f>
        <v>#DIV/0!</v>
      </c>
      <c r="AC159" s="12" t="e">
        <f>GEOMEAN(AC113:AC132)</f>
        <v>#DIV/0!</v>
      </c>
      <c r="AD159" s="12">
        <f>AVERAGE(AD113:AD132)</f>
        <v>2.2514287481219834E-3</v>
      </c>
      <c r="AF159" s="28">
        <f>AVERAGE(AF113:AF132)</f>
        <v>-1.0942481089850908E-3</v>
      </c>
      <c r="AG159" s="32" t="e">
        <f t="shared" ref="AG159:AH159" si="208">AVERAGE(AG113:AG132)</f>
        <v>#VALUE!</v>
      </c>
      <c r="AH159" s="32" t="e">
        <f t="shared" si="208"/>
        <v>#VALUE!</v>
      </c>
      <c r="AI159" s="28" t="e">
        <f>AVERAGE(AI113:AI132)</f>
        <v>#VALUE!</v>
      </c>
      <c r="AJ159" s="32" t="e">
        <f t="shared" ref="AJ159:AK159" si="209">AVERAGE(AJ113:AJ132)</f>
        <v>#VALUE!</v>
      </c>
      <c r="AK159" s="32" t="e">
        <f t="shared" si="209"/>
        <v>#VALUE!</v>
      </c>
      <c r="AL159" s="28">
        <f t="shared" ref="AL159:AQ159" si="210">AVERAGE(AL114:AL132)</f>
        <v>-7.3337766452399866E-4</v>
      </c>
      <c r="AM159" s="32" t="e">
        <f t="shared" si="210"/>
        <v>#VALUE!</v>
      </c>
      <c r="AN159" s="32" t="e">
        <f t="shared" si="210"/>
        <v>#VALUE!</v>
      </c>
      <c r="AO159" s="28" t="e">
        <f t="shared" si="210"/>
        <v>#VALUE!</v>
      </c>
      <c r="AP159" s="32" t="e">
        <f t="shared" si="210"/>
        <v>#VALUE!</v>
      </c>
      <c r="AQ159" s="32" t="e">
        <f t="shared" si="210"/>
        <v>#VALUE!</v>
      </c>
      <c r="AR159" s="28">
        <f t="shared" ref="AR159:AW159" si="211">AVERAGE(AR113:AR132)</f>
        <v>-2.6010220645461546E-4</v>
      </c>
      <c r="AS159" s="32" t="e">
        <f t="shared" si="211"/>
        <v>#VALUE!</v>
      </c>
      <c r="AT159" s="33" t="e">
        <f t="shared" si="211"/>
        <v>#VALUE!</v>
      </c>
      <c r="AU159" s="28" t="e">
        <f t="shared" si="211"/>
        <v>#VALUE!</v>
      </c>
      <c r="AV159" s="32" t="e">
        <f t="shared" si="211"/>
        <v>#VALUE!</v>
      </c>
      <c r="AW159" s="33" t="e">
        <f t="shared" si="211"/>
        <v>#VALUE!</v>
      </c>
      <c r="AX159" s="12" t="e">
        <f t="shared" ref="AX159" si="212">GEOMEAN(AX113:AX132)</f>
        <v>#DIV/0!</v>
      </c>
      <c r="AY159" s="12" t="e">
        <f>GEOMEAN(AY113:AY132)</f>
        <v>#DIV/0!</v>
      </c>
      <c r="AZ159" s="12" t="e">
        <f>GEOMEAN(AZ113:AZ132)</f>
        <v>#DIV/0!</v>
      </c>
      <c r="BA159" s="12" t="e">
        <f t="shared" ref="BA159" si="213">GEOMEAN(BA113:BA132)</f>
        <v>#DIV/0!</v>
      </c>
      <c r="BB159" s="12" t="e">
        <f>GEOMEAN(BB113:BB132)</f>
        <v>#DIV/0!</v>
      </c>
      <c r="BC159" s="12" t="e">
        <f>GEOMEAN(BC113:BC132)</f>
        <v>#DIV/0!</v>
      </c>
    </row>
    <row r="160" spans="1:55" ht="12.75" hidden="1" thickBot="1" x14ac:dyDescent="0.25">
      <c r="B160" s="1" t="s">
        <v>69</v>
      </c>
      <c r="L160" s="12" t="e">
        <f>GEOMEAN(L133:L152)</f>
        <v>#NUM!</v>
      </c>
      <c r="M160" s="12" t="e">
        <f>GEOMEAN(M133:M152)</f>
        <v>#NUM!</v>
      </c>
      <c r="N160" s="12" t="e">
        <f>GEOMEAN(N133:N152)</f>
        <v>#NUM!</v>
      </c>
      <c r="X160" s="12" t="e">
        <f>GEOMEAN(X133:X152)</f>
        <v>#NUM!</v>
      </c>
      <c r="Y160" s="12" t="e">
        <f>GEOMEAN(Y133:Y152)</f>
        <v>#NUM!</v>
      </c>
      <c r="Z160" s="12" t="e">
        <f>GEOMEAN(Z133:Z152)</f>
        <v>#NUM!</v>
      </c>
      <c r="AA160" s="12" t="e">
        <f>GEOMEAN(AA133:AA152)</f>
        <v>#DIV/0!</v>
      </c>
      <c r="AB160" s="12" t="e">
        <f t="shared" si="207"/>
        <v>#DIV/0!</v>
      </c>
      <c r="AC160" s="12" t="e">
        <f t="shared" si="207"/>
        <v>#DIV/0!</v>
      </c>
      <c r="AD160" s="12" t="e">
        <f>AVERAGE(AD133:AD152)</f>
        <v>#DIV/0!</v>
      </c>
      <c r="AF160" s="28" t="e">
        <f t="shared" ref="AF160:AW160" si="214">AVERAGE(AF133:AF152)</f>
        <v>#VALUE!</v>
      </c>
      <c r="AG160" s="32" t="e">
        <f t="shared" si="214"/>
        <v>#VALUE!</v>
      </c>
      <c r="AH160" s="32" t="e">
        <f t="shared" si="214"/>
        <v>#VALUE!</v>
      </c>
      <c r="AI160" s="28" t="e">
        <f t="shared" si="214"/>
        <v>#VALUE!</v>
      </c>
      <c r="AJ160" s="32" t="e">
        <f t="shared" si="214"/>
        <v>#VALUE!</v>
      </c>
      <c r="AK160" s="32" t="e">
        <f t="shared" si="214"/>
        <v>#VALUE!</v>
      </c>
      <c r="AL160" s="28" t="e">
        <f t="shared" si="214"/>
        <v>#VALUE!</v>
      </c>
      <c r="AM160" s="32" t="e">
        <f t="shared" si="214"/>
        <v>#VALUE!</v>
      </c>
      <c r="AN160" s="32" t="e">
        <f t="shared" si="214"/>
        <v>#VALUE!</v>
      </c>
      <c r="AO160" s="28" t="e">
        <f t="shared" si="214"/>
        <v>#VALUE!</v>
      </c>
      <c r="AP160" s="32" t="e">
        <f t="shared" si="214"/>
        <v>#VALUE!</v>
      </c>
      <c r="AQ160" s="32" t="e">
        <f t="shared" si="214"/>
        <v>#VALUE!</v>
      </c>
      <c r="AR160" s="28" t="e">
        <f t="shared" si="214"/>
        <v>#VALUE!</v>
      </c>
      <c r="AS160" s="32" t="e">
        <f t="shared" si="214"/>
        <v>#VALUE!</v>
      </c>
      <c r="AT160" s="32" t="e">
        <f t="shared" si="214"/>
        <v>#VALUE!</v>
      </c>
      <c r="AU160" s="28" t="e">
        <f t="shared" si="214"/>
        <v>#VALUE!</v>
      </c>
      <c r="AV160" s="32" t="e">
        <f t="shared" si="214"/>
        <v>#VALUE!</v>
      </c>
      <c r="AW160" s="32" t="e">
        <f t="shared" si="214"/>
        <v>#VALUE!</v>
      </c>
      <c r="AX160" s="12" t="e">
        <f>GEOMEAN(AX133:AX152)</f>
        <v>#DIV/0!</v>
      </c>
      <c r="AY160" s="12" t="e">
        <f t="shared" ref="AY160:AZ160" si="215">GEOMEAN(AY114:AY133)</f>
        <v>#DIV/0!</v>
      </c>
      <c r="AZ160" s="12" t="e">
        <f t="shared" si="215"/>
        <v>#DIV/0!</v>
      </c>
      <c r="BA160" s="12" t="e">
        <f>GEOMEAN(BA133:BA152)</f>
        <v>#DIV/0!</v>
      </c>
      <c r="BB160" s="12" t="e">
        <f>GEOMEAN(BB114:BB133)</f>
        <v>#DIV/0!</v>
      </c>
      <c r="BC160" s="12" t="e">
        <f t="shared" ref="BC160" si="216">GEOMEAN(BC114:BC133)</f>
        <v>#DIV/0!</v>
      </c>
    </row>
    <row r="161" spans="1:55" ht="12.75" thickBot="1" x14ac:dyDescent="0.25">
      <c r="A161" s="3"/>
      <c r="B161" s="4" t="s">
        <v>8</v>
      </c>
      <c r="C161" s="4"/>
      <c r="D161" s="4"/>
      <c r="E161" s="4"/>
      <c r="F161" s="4"/>
      <c r="G161" s="4"/>
      <c r="H161" s="4"/>
      <c r="I161" s="4"/>
      <c r="J161" s="4"/>
      <c r="K161" s="4"/>
      <c r="L161" s="42" t="e">
        <f>GEOMEAN(L3:L77, L98:L112)</f>
        <v>#NUM!</v>
      </c>
      <c r="M161" s="42" t="e">
        <f>GEOMEAN(M3:M77, M98:M112)</f>
        <v>#NUM!</v>
      </c>
      <c r="N161" s="42" t="e">
        <f>GEOMEAN(N3:N77,N98:N112)</f>
        <v>#NUM!</v>
      </c>
      <c r="O161" s="4"/>
      <c r="P161" s="4"/>
      <c r="Q161" s="4"/>
      <c r="R161" s="4"/>
      <c r="S161" s="4"/>
      <c r="T161" s="4"/>
      <c r="U161" s="4"/>
      <c r="V161" s="4"/>
      <c r="W161" s="4"/>
      <c r="X161" s="42" t="e">
        <f>GEOMEAN(X3:X77,X98:X112)</f>
        <v>#NUM!</v>
      </c>
      <c r="Y161" s="42" t="e">
        <f>GEOMEAN(Y3:Y77,Y98:Y112)</f>
        <v>#NUM!</v>
      </c>
      <c r="Z161" s="42" t="e">
        <f>GEOMEAN(Z3:Z77,Z98:Z112)</f>
        <v>#NUM!</v>
      </c>
      <c r="AA161" s="42" t="e">
        <f>GEOMEAN(AA3:AA77,AA98:AA112)</f>
        <v>#DIV/0!</v>
      </c>
      <c r="AB161" s="42" t="e">
        <f>GEOMEAN(AB3:AB77,AB98:AB112)</f>
        <v>#DIV/0!</v>
      </c>
      <c r="AC161" s="42" t="e">
        <f>GEOMEAN(AC3:AC77,AC133:AC152)</f>
        <v>#DIV/0!</v>
      </c>
      <c r="AD161" s="42">
        <f t="shared" ref="AD161" si="217">AVERAGE(AD3:AD77,AD98:AD112)</f>
        <v>3.0070399775385332E-3</v>
      </c>
      <c r="AE161" s="4"/>
      <c r="AF161" s="29">
        <f>AVERAGE(AF3:AF132)</f>
        <v>-4.5784977049613857E-5</v>
      </c>
      <c r="AG161" s="29" t="e">
        <f t="shared" ref="AG161:AW161" si="218">AVERAGE(AG3:AG132)</f>
        <v>#VALUE!</v>
      </c>
      <c r="AH161" s="29" t="e">
        <f t="shared" si="218"/>
        <v>#VALUE!</v>
      </c>
      <c r="AI161" s="29" t="e">
        <f t="shared" si="218"/>
        <v>#VALUE!</v>
      </c>
      <c r="AJ161" s="29" t="e">
        <f t="shared" si="218"/>
        <v>#VALUE!</v>
      </c>
      <c r="AK161" s="29" t="e">
        <f t="shared" si="218"/>
        <v>#VALUE!</v>
      </c>
      <c r="AL161" s="29">
        <f t="shared" si="218"/>
        <v>1.153829648529597E-4</v>
      </c>
      <c r="AM161" s="29" t="e">
        <f t="shared" si="218"/>
        <v>#VALUE!</v>
      </c>
      <c r="AN161" s="29" t="e">
        <f t="shared" si="218"/>
        <v>#VALUE!</v>
      </c>
      <c r="AO161" s="29" t="e">
        <f t="shared" si="218"/>
        <v>#VALUE!</v>
      </c>
      <c r="AP161" s="29" t="e">
        <f t="shared" si="218"/>
        <v>#VALUE!</v>
      </c>
      <c r="AQ161" s="29" t="e">
        <f t="shared" si="218"/>
        <v>#VALUE!</v>
      </c>
      <c r="AR161" s="29">
        <f t="shared" si="218"/>
        <v>-3.027423724725155E-4</v>
      </c>
      <c r="AS161" s="29" t="e">
        <f t="shared" si="218"/>
        <v>#VALUE!</v>
      </c>
      <c r="AT161" s="29" t="e">
        <f t="shared" si="218"/>
        <v>#VALUE!</v>
      </c>
      <c r="AU161" s="29" t="e">
        <f t="shared" si="218"/>
        <v>#VALUE!</v>
      </c>
      <c r="AV161" s="29" t="e">
        <f t="shared" si="218"/>
        <v>#VALUE!</v>
      </c>
      <c r="AW161" s="29" t="e">
        <f t="shared" si="218"/>
        <v>#VALUE!</v>
      </c>
      <c r="AX161" s="42" t="e">
        <f>GEOMEAN(AX3:AX77,AX98:AX112)</f>
        <v>#DIV/0!</v>
      </c>
      <c r="AY161" s="42" t="e">
        <f>GEOMEAN(AY3:AY77,AY133:AY152)</f>
        <v>#DIV/0!</v>
      </c>
      <c r="AZ161" s="42" t="e">
        <f>GEOMEAN(AZ3:AZ77,AZ133:AZ152)</f>
        <v>#DIV/0!</v>
      </c>
      <c r="BA161" s="42" t="e">
        <f>GEOMEAN(BA3:BA77,BA98:BA112)</f>
        <v>#DIV/0!</v>
      </c>
      <c r="BB161" s="42" t="e">
        <f>GEOMEAN(BB3:BB77,BB98:BB112)</f>
        <v>#DIV/0!</v>
      </c>
      <c r="BC161" s="42" t="e">
        <f>GEOMEAN(BC3:BC77,BC98:BC112)</f>
        <v>#DIV/0!</v>
      </c>
    </row>
    <row r="162" spans="1:55" hidden="1" x14ac:dyDescent="0.2">
      <c r="B162" s="1" t="s">
        <v>9</v>
      </c>
      <c r="L162" s="22" t="e">
        <f>GEOMEAN(L3:L132)</f>
        <v>#NUM!</v>
      </c>
      <c r="M162" s="22" t="e">
        <f>GEOMEAN(M3:M132)</f>
        <v>#NUM!</v>
      </c>
      <c r="N162" s="22" t="e">
        <f>GEOMEAN(N3:N132)</f>
        <v>#NUM!</v>
      </c>
      <c r="X162" s="22" t="e">
        <f>GEOMEAN(X3:X132)</f>
        <v>#NUM!</v>
      </c>
      <c r="Y162" s="22" t="e">
        <f>GEOMEAN(Y3:Y132)</f>
        <v>#NUM!</v>
      </c>
      <c r="Z162" s="22" t="e">
        <f>GEOMEAN(Z3:Z132)</f>
        <v>#NUM!</v>
      </c>
      <c r="AA162" s="22"/>
      <c r="AB162" s="22"/>
      <c r="AC162" s="22"/>
      <c r="AD162" s="22"/>
      <c r="AX162" s="22"/>
      <c r="AY162" s="22"/>
      <c r="AZ162" s="22"/>
      <c r="BA162" s="22"/>
      <c r="BB162" s="22"/>
    </row>
    <row r="163" spans="1:55" hidden="1" x14ac:dyDescent="0.2">
      <c r="B163" s="1" t="s">
        <v>10</v>
      </c>
      <c r="X163" s="23" t="e">
        <f>X162/L162</f>
        <v>#NUM!</v>
      </c>
      <c r="Y163" s="23" t="e">
        <f>Y162/M162</f>
        <v>#NUM!</v>
      </c>
      <c r="Z163" s="23" t="e">
        <f>Z162/N162</f>
        <v>#NUM!</v>
      </c>
      <c r="AA163" s="23"/>
      <c r="AB163" s="23"/>
      <c r="AC163" s="23"/>
      <c r="AD163" s="23"/>
      <c r="AX163" s="23"/>
      <c r="AY163" s="23"/>
      <c r="AZ163" s="23"/>
      <c r="BA163" s="23"/>
      <c r="BB163" s="23"/>
    </row>
    <row r="164" spans="1:55" hidden="1" x14ac:dyDescent="0.2">
      <c r="B164" s="1" t="s">
        <v>11</v>
      </c>
      <c r="L164" s="22"/>
      <c r="M164" s="22"/>
      <c r="N164" s="22"/>
      <c r="X164" s="22"/>
      <c r="Y164" s="22"/>
      <c r="Z164" s="22"/>
      <c r="AA164" s="22"/>
      <c r="AB164" s="22"/>
      <c r="AC164" s="22"/>
      <c r="AD164" s="22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2"/>
      <c r="AY164" s="22"/>
      <c r="AZ164" s="22"/>
      <c r="BA164" s="22"/>
      <c r="BB164" s="22"/>
    </row>
    <row r="165" spans="1:55" hidden="1" x14ac:dyDescent="0.2"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55" hidden="1" x14ac:dyDescent="0.2">
      <c r="B166" s="1" t="s">
        <v>50</v>
      </c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55" hidden="1" x14ac:dyDescent="0.2">
      <c r="B167" s="1" t="s">
        <v>40</v>
      </c>
      <c r="L167" s="12">
        <f>SUM(L$3:L$17)</f>
        <v>0</v>
      </c>
      <c r="M167" s="12">
        <f>SUM(M$3:M$17)</f>
        <v>0</v>
      </c>
      <c r="N167" s="12">
        <f>SUM(N$3:N$17)</f>
        <v>0</v>
      </c>
      <c r="X167" s="12">
        <f>SUM(X$3:X$17)</f>
        <v>0</v>
      </c>
      <c r="Y167" s="12">
        <f>SUM(Y$3:Y$17)</f>
        <v>0</v>
      </c>
      <c r="Z167" s="12">
        <f>SUM(Z$3:Z$17)</f>
        <v>0</v>
      </c>
      <c r="AA167" s="12" t="e">
        <f t="shared" ref="AA167:AA174" si="219">Z167/L167</f>
        <v>#DIV/0!</v>
      </c>
      <c r="AB167" s="12" t="e">
        <f t="shared" ref="AB167:AC174" si="220">X167/K167</f>
        <v>#DIV/0!</v>
      </c>
      <c r="AC167" s="12" t="e">
        <f t="shared" si="220"/>
        <v>#DIV/0!</v>
      </c>
      <c r="AD167" s="12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12"/>
      <c r="AY167" s="12"/>
      <c r="AZ167" s="12"/>
      <c r="BA167" s="12"/>
      <c r="BB167" s="12"/>
    </row>
    <row r="168" spans="1:55" hidden="1" x14ac:dyDescent="0.2">
      <c r="B168" s="1" t="s">
        <v>41</v>
      </c>
      <c r="L168" s="12">
        <f>SUM(L$18:L$32)</f>
        <v>0</v>
      </c>
      <c r="M168" s="12">
        <f>SUM(M$18:M$32)</f>
        <v>0</v>
      </c>
      <c r="N168" s="12">
        <f>SUM(N$18:N$32)</f>
        <v>0</v>
      </c>
      <c r="X168" s="12">
        <f>SUM(X$18:X$32)</f>
        <v>0</v>
      </c>
      <c r="Y168" s="12">
        <f>SUM(Y$18:Y$32)</f>
        <v>0</v>
      </c>
      <c r="Z168" s="12">
        <f>SUM(Z$18:Z$32)</f>
        <v>0</v>
      </c>
      <c r="AA168" s="12" t="e">
        <f t="shared" si="219"/>
        <v>#DIV/0!</v>
      </c>
      <c r="AB168" s="12" t="e">
        <f t="shared" si="220"/>
        <v>#DIV/0!</v>
      </c>
      <c r="AC168" s="12" t="e">
        <f t="shared" si="220"/>
        <v>#DIV/0!</v>
      </c>
      <c r="AD168" s="12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12"/>
      <c r="AY168" s="12"/>
      <c r="AZ168" s="12"/>
      <c r="BA168" s="12"/>
      <c r="BB168" s="12"/>
    </row>
    <row r="169" spans="1:55" hidden="1" x14ac:dyDescent="0.2">
      <c r="B169" s="1" t="s">
        <v>1</v>
      </c>
      <c r="L169" s="12">
        <f>SUM(L$33:L$57)</f>
        <v>0</v>
      </c>
      <c r="M169" s="12">
        <f>SUM(M$33:M$57)</f>
        <v>0</v>
      </c>
      <c r="N169" s="12">
        <f>SUM(N$33:N$57)</f>
        <v>0</v>
      </c>
      <c r="X169" s="12">
        <f>SUM(X$33:X$57)</f>
        <v>0</v>
      </c>
      <c r="Y169" s="12">
        <f>SUM(Y$33:Y$57)</f>
        <v>0</v>
      </c>
      <c r="Z169" s="12">
        <f>SUM(Z$33:Z$57)</f>
        <v>0</v>
      </c>
      <c r="AA169" s="12" t="e">
        <f t="shared" si="219"/>
        <v>#DIV/0!</v>
      </c>
      <c r="AB169" s="12" t="e">
        <f t="shared" si="220"/>
        <v>#DIV/0!</v>
      </c>
      <c r="AC169" s="12" t="e">
        <f t="shared" si="220"/>
        <v>#DIV/0!</v>
      </c>
      <c r="AD169" s="12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12"/>
      <c r="AY169" s="12"/>
      <c r="AZ169" s="12"/>
      <c r="BA169" s="12"/>
      <c r="BB169" s="12"/>
    </row>
    <row r="170" spans="1:55" hidden="1" x14ac:dyDescent="0.2">
      <c r="B170" s="1" t="s">
        <v>5</v>
      </c>
      <c r="L170" s="12">
        <f>SUM(L$58:L$77)</f>
        <v>0</v>
      </c>
      <c r="M170" s="12">
        <f>SUM(M$58:M$77)</f>
        <v>0</v>
      </c>
      <c r="N170" s="12">
        <f>SUM(N$58:N$77)</f>
        <v>0</v>
      </c>
      <c r="X170" s="12">
        <f>SUM(X$58:X$77)</f>
        <v>0</v>
      </c>
      <c r="Y170" s="12">
        <f>SUM(Y$58:Y$77)</f>
        <v>0</v>
      </c>
      <c r="Z170" s="12">
        <f>SUM(Z$58:Z$77)</f>
        <v>0</v>
      </c>
      <c r="AA170" s="12" t="e">
        <f t="shared" si="219"/>
        <v>#DIV/0!</v>
      </c>
      <c r="AB170" s="12" t="e">
        <f t="shared" si="220"/>
        <v>#DIV/0!</v>
      </c>
      <c r="AC170" s="12" t="e">
        <f t="shared" si="220"/>
        <v>#DIV/0!</v>
      </c>
      <c r="AD170" s="12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12"/>
      <c r="AY170" s="12"/>
      <c r="AZ170" s="12"/>
      <c r="BA170" s="12"/>
      <c r="BB170" s="12"/>
    </row>
    <row r="171" spans="1:55" hidden="1" x14ac:dyDescent="0.2">
      <c r="B171" s="1" t="s">
        <v>6</v>
      </c>
      <c r="L171" s="12">
        <f>SUM(L$78:L$97)</f>
        <v>0</v>
      </c>
      <c r="M171" s="12">
        <f>SUM(M$78:M$97)</f>
        <v>0</v>
      </c>
      <c r="N171" s="12">
        <f>SUM(N$78:N$97)</f>
        <v>0</v>
      </c>
      <c r="X171" s="12">
        <f>SUM(X$78:X$97)</f>
        <v>0</v>
      </c>
      <c r="Y171" s="12">
        <f>SUM(Y$78:Y$97)</f>
        <v>0</v>
      </c>
      <c r="Z171" s="12">
        <f>SUM(Z$78:Z$97)</f>
        <v>0</v>
      </c>
      <c r="AA171" s="12" t="e">
        <f t="shared" si="219"/>
        <v>#DIV/0!</v>
      </c>
      <c r="AB171" s="12" t="e">
        <f t="shared" si="220"/>
        <v>#DIV/0!</v>
      </c>
      <c r="AC171" s="12" t="e">
        <f t="shared" si="220"/>
        <v>#DIV/0!</v>
      </c>
      <c r="AD171" s="12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12"/>
      <c r="AY171" s="12"/>
      <c r="AZ171" s="12"/>
      <c r="BA171" s="12"/>
      <c r="BB171" s="12"/>
    </row>
    <row r="172" spans="1:55" hidden="1" x14ac:dyDescent="0.2">
      <c r="B172" s="1" t="s">
        <v>7</v>
      </c>
      <c r="L172" s="12">
        <f>SUM(L$98:L$112)</f>
        <v>0</v>
      </c>
      <c r="M172" s="12">
        <f>SUM(M$98:M$112)</f>
        <v>0</v>
      </c>
      <c r="N172" s="12">
        <f>SUM(N$98:N$112)</f>
        <v>0</v>
      </c>
      <c r="X172" s="12">
        <f>SUM(X$98:X$112)</f>
        <v>0</v>
      </c>
      <c r="Y172" s="12">
        <f>SUM(Y$98:Y$112)</f>
        <v>0</v>
      </c>
      <c r="Z172" s="12">
        <f>SUM(Z$98:Z$112)</f>
        <v>0</v>
      </c>
      <c r="AA172" s="12" t="e">
        <f t="shared" si="219"/>
        <v>#DIV/0!</v>
      </c>
      <c r="AB172" s="12" t="e">
        <f t="shared" si="220"/>
        <v>#DIV/0!</v>
      </c>
      <c r="AC172" s="12" t="e">
        <f t="shared" si="220"/>
        <v>#DIV/0!</v>
      </c>
      <c r="AD172" s="12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12"/>
      <c r="AY172" s="12"/>
      <c r="AZ172" s="12"/>
      <c r="BA172" s="12"/>
      <c r="BB172" s="12"/>
    </row>
    <row r="173" spans="1:55" hidden="1" x14ac:dyDescent="0.2">
      <c r="B173" s="1" t="s">
        <v>18</v>
      </c>
      <c r="L173" s="12">
        <f>SUM(L$113:L$132)</f>
        <v>0</v>
      </c>
      <c r="M173" s="12">
        <f>SUM(M$113:M$132)</f>
        <v>0</v>
      </c>
      <c r="N173" s="12">
        <f>SUM(N$113:N$132)</f>
        <v>0</v>
      </c>
      <c r="X173" s="12">
        <f>SUM(X$113:X$132)</f>
        <v>0</v>
      </c>
      <c r="Y173" s="12">
        <f>SUM(Y$113:Y$132)</f>
        <v>0</v>
      </c>
      <c r="Z173" s="12">
        <f>SUM(Z$113:Z$132)</f>
        <v>0</v>
      </c>
      <c r="AA173" s="12" t="e">
        <f t="shared" si="219"/>
        <v>#DIV/0!</v>
      </c>
      <c r="AB173" s="12" t="e">
        <f t="shared" si="220"/>
        <v>#DIV/0!</v>
      </c>
      <c r="AC173" s="12" t="e">
        <f t="shared" si="220"/>
        <v>#DIV/0!</v>
      </c>
      <c r="AD173" s="12"/>
      <c r="AX173" s="12"/>
      <c r="AY173" s="12"/>
      <c r="AZ173" s="12"/>
      <c r="BA173" s="12"/>
      <c r="BB173" s="12"/>
    </row>
    <row r="174" spans="1:55" hidden="1" x14ac:dyDescent="0.2">
      <c r="B174" s="1" t="s">
        <v>8</v>
      </c>
      <c r="L174" s="12">
        <f>SUM(L167:L173)</f>
        <v>0</v>
      </c>
      <c r="M174" s="12">
        <f>SUM(M167:M173)</f>
        <v>0</v>
      </c>
      <c r="N174" s="12">
        <f>SUM(N167:N173)</f>
        <v>0</v>
      </c>
      <c r="X174" s="12">
        <f>SUM(X167:X173)</f>
        <v>0</v>
      </c>
      <c r="Y174" s="12">
        <f>SUM(Y167:Y173)</f>
        <v>0</v>
      </c>
      <c r="Z174" s="12">
        <f>SUM(Z167:Z173)</f>
        <v>0</v>
      </c>
      <c r="AA174" s="12" t="e">
        <f t="shared" si="219"/>
        <v>#DIV/0!</v>
      </c>
      <c r="AB174" s="12" t="e">
        <f t="shared" si="220"/>
        <v>#DIV/0!</v>
      </c>
      <c r="AC174" s="12" t="e">
        <f t="shared" si="220"/>
        <v>#DIV/0!</v>
      </c>
      <c r="AD174" s="12"/>
      <c r="AX174" s="12"/>
      <c r="AY174" s="12"/>
      <c r="AZ174" s="12"/>
      <c r="BA174" s="12"/>
      <c r="BB174" s="12"/>
    </row>
    <row r="175" spans="1:55" hidden="1" x14ac:dyDescent="0.2">
      <c r="AA175" s="12"/>
      <c r="AB175" s="12"/>
      <c r="AC175" s="12"/>
      <c r="AD175" s="12"/>
      <c r="AX175" s="12"/>
      <c r="AY175" s="12"/>
      <c r="AZ175" s="12"/>
      <c r="BA175" s="12"/>
      <c r="BB175" s="12"/>
    </row>
    <row r="176" spans="1:55" hidden="1" x14ac:dyDescent="0.2">
      <c r="B176" s="1" t="s">
        <v>51</v>
      </c>
      <c r="AA176" s="12"/>
      <c r="AB176" s="12"/>
      <c r="AC176" s="12"/>
      <c r="AD176" s="12"/>
      <c r="AX176" s="12"/>
      <c r="AY176" s="12"/>
      <c r="AZ176" s="12"/>
      <c r="BA176" s="12"/>
      <c r="BB176" s="12"/>
    </row>
    <row r="177" spans="2:54" hidden="1" x14ac:dyDescent="0.2">
      <c r="B177" s="1" t="s">
        <v>40</v>
      </c>
      <c r="L177" s="12">
        <f>MAX(L$3:L$17)</f>
        <v>0</v>
      </c>
      <c r="M177" s="12">
        <f>MAX(M$3:M$17)</f>
        <v>0</v>
      </c>
      <c r="N177" s="12">
        <f>MAX(N$3:N$17)</f>
        <v>0</v>
      </c>
      <c r="X177" s="12">
        <f>MAX(X$3:X$17)</f>
        <v>0</v>
      </c>
      <c r="Y177" s="12">
        <f>MAX(Y$3:Y$17)</f>
        <v>0</v>
      </c>
      <c r="Z177" s="12">
        <f>MAX(Z$3:Z$17)</f>
        <v>0</v>
      </c>
      <c r="AA177" s="12" t="e">
        <f t="shared" ref="AA177:AA184" si="221">Z177/L177</f>
        <v>#DIV/0!</v>
      </c>
      <c r="AB177" s="12" t="e">
        <f t="shared" ref="AB177:AC184" si="222">X177/K177</f>
        <v>#DIV/0!</v>
      </c>
      <c r="AC177" s="12" t="e">
        <f t="shared" si="222"/>
        <v>#DIV/0!</v>
      </c>
      <c r="AD177" s="12"/>
      <c r="AX177" s="12"/>
      <c r="AY177" s="12"/>
      <c r="AZ177" s="12"/>
      <c r="BA177" s="12"/>
      <c r="BB177" s="12"/>
    </row>
    <row r="178" spans="2:54" hidden="1" x14ac:dyDescent="0.2">
      <c r="B178" s="1" t="s">
        <v>41</v>
      </c>
      <c r="L178" s="12">
        <f>MAX(L$18:L$32)</f>
        <v>0</v>
      </c>
      <c r="M178" s="12">
        <f>MAX(M$18:M$32)</f>
        <v>0</v>
      </c>
      <c r="N178" s="12">
        <f>MAX(N$18:N$32)</f>
        <v>0</v>
      </c>
      <c r="X178" s="12">
        <f>MAX(X$18:X$32)</f>
        <v>0</v>
      </c>
      <c r="Y178" s="12">
        <f>MAX(Y$18:Y$32)</f>
        <v>0</v>
      </c>
      <c r="Z178" s="12">
        <f>MAX(Z$18:Z$32)</f>
        <v>0</v>
      </c>
      <c r="AA178" s="12" t="e">
        <f t="shared" si="221"/>
        <v>#DIV/0!</v>
      </c>
      <c r="AB178" s="12" t="e">
        <f t="shared" si="222"/>
        <v>#DIV/0!</v>
      </c>
      <c r="AC178" s="12" t="e">
        <f t="shared" si="222"/>
        <v>#DIV/0!</v>
      </c>
      <c r="AD178" s="12"/>
      <c r="AX178" s="12"/>
      <c r="AY178" s="12"/>
      <c r="AZ178" s="12"/>
      <c r="BA178" s="12"/>
      <c r="BB178" s="12"/>
    </row>
    <row r="179" spans="2:54" hidden="1" x14ac:dyDescent="0.2">
      <c r="B179" s="1" t="s">
        <v>1</v>
      </c>
      <c r="L179" s="12">
        <f>MAX(L$33:L$57)</f>
        <v>0</v>
      </c>
      <c r="M179" s="12">
        <f>MAX(M$33:M$57)</f>
        <v>0</v>
      </c>
      <c r="N179" s="12">
        <f>MAX(N$33:N$57)</f>
        <v>0</v>
      </c>
      <c r="X179" s="12">
        <f>MAX(X$33:X$57)</f>
        <v>0</v>
      </c>
      <c r="Y179" s="12">
        <f>MAX(Y$33:Y$57)</f>
        <v>0</v>
      </c>
      <c r="Z179" s="12">
        <f>MAX(Z$33:Z$57)</f>
        <v>0</v>
      </c>
      <c r="AA179" s="12" t="e">
        <f t="shared" si="221"/>
        <v>#DIV/0!</v>
      </c>
      <c r="AB179" s="12" t="e">
        <f t="shared" si="222"/>
        <v>#DIV/0!</v>
      </c>
      <c r="AC179" s="12" t="e">
        <f t="shared" si="222"/>
        <v>#DIV/0!</v>
      </c>
      <c r="AD179" s="12"/>
      <c r="AX179" s="12"/>
      <c r="AY179" s="12"/>
      <c r="AZ179" s="12"/>
      <c r="BA179" s="12"/>
      <c r="BB179" s="12"/>
    </row>
    <row r="180" spans="2:54" hidden="1" x14ac:dyDescent="0.2">
      <c r="B180" s="1" t="s">
        <v>5</v>
      </c>
      <c r="L180" s="12">
        <f>MAX(L$58:L$77)</f>
        <v>0</v>
      </c>
      <c r="M180" s="12">
        <f>MAX(M$58:M$77)</f>
        <v>0</v>
      </c>
      <c r="N180" s="12">
        <f>MAX(N$58:N$77)</f>
        <v>0</v>
      </c>
      <c r="X180" s="12">
        <f>MAX(X$58:X$77)</f>
        <v>0</v>
      </c>
      <c r="Y180" s="12">
        <f>MAX(Y$58:Y$77)</f>
        <v>0</v>
      </c>
      <c r="Z180" s="12">
        <f>MAX(Z$58:Z$77)</f>
        <v>0</v>
      </c>
      <c r="AA180" s="12" t="e">
        <f t="shared" si="221"/>
        <v>#DIV/0!</v>
      </c>
      <c r="AB180" s="12" t="e">
        <f t="shared" si="222"/>
        <v>#DIV/0!</v>
      </c>
      <c r="AC180" s="12" t="e">
        <f t="shared" si="222"/>
        <v>#DIV/0!</v>
      </c>
      <c r="AD180" s="12"/>
      <c r="AX180" s="12"/>
      <c r="AY180" s="12"/>
      <c r="AZ180" s="12"/>
      <c r="BA180" s="12"/>
      <c r="BB180" s="12"/>
    </row>
    <row r="181" spans="2:54" hidden="1" x14ac:dyDescent="0.2">
      <c r="B181" s="1" t="s">
        <v>6</v>
      </c>
      <c r="L181" s="12">
        <f>MAX(L$78:L$97)</f>
        <v>0</v>
      </c>
      <c r="M181" s="12">
        <f>MAX(M$78:M$97)</f>
        <v>0</v>
      </c>
      <c r="N181" s="12">
        <f>MAX(N$78:N$97)</f>
        <v>0</v>
      </c>
      <c r="X181" s="12">
        <f>MAX(X$78:X$97)</f>
        <v>0</v>
      </c>
      <c r="Y181" s="12">
        <f>MAX(Y$78:Y$97)</f>
        <v>0</v>
      </c>
      <c r="Z181" s="12">
        <f>MAX(Z$78:Z$97)</f>
        <v>0</v>
      </c>
      <c r="AA181" s="12" t="e">
        <f t="shared" si="221"/>
        <v>#DIV/0!</v>
      </c>
      <c r="AB181" s="12" t="e">
        <f t="shared" si="222"/>
        <v>#DIV/0!</v>
      </c>
      <c r="AC181" s="12" t="e">
        <f t="shared" si="222"/>
        <v>#DIV/0!</v>
      </c>
      <c r="AD181" s="12"/>
      <c r="AX181" s="12"/>
      <c r="AY181" s="12"/>
      <c r="AZ181" s="12"/>
      <c r="BA181" s="12"/>
      <c r="BB181" s="12"/>
    </row>
    <row r="182" spans="2:54" hidden="1" x14ac:dyDescent="0.2">
      <c r="B182" s="1" t="s">
        <v>7</v>
      </c>
      <c r="L182" s="12">
        <f>MAX(L$98:L$112)</f>
        <v>0</v>
      </c>
      <c r="M182" s="12">
        <f>MAX(M$98:M$112)</f>
        <v>0</v>
      </c>
      <c r="N182" s="12">
        <f>MAX(N$98:N$112)</f>
        <v>0</v>
      </c>
      <c r="X182" s="12">
        <f>MAX(X$98:X$112)</f>
        <v>0</v>
      </c>
      <c r="Y182" s="12">
        <f>MAX(Y$98:Y$112)</f>
        <v>0</v>
      </c>
      <c r="Z182" s="12">
        <f>MAX(Z$98:Z$112)</f>
        <v>0</v>
      </c>
      <c r="AA182" s="12" t="e">
        <f t="shared" si="221"/>
        <v>#DIV/0!</v>
      </c>
      <c r="AB182" s="12" t="e">
        <f t="shared" si="222"/>
        <v>#DIV/0!</v>
      </c>
      <c r="AC182" s="12" t="e">
        <f t="shared" si="222"/>
        <v>#DIV/0!</v>
      </c>
      <c r="AD182" s="12"/>
      <c r="AX182" s="12"/>
      <c r="AY182" s="12"/>
      <c r="AZ182" s="12"/>
      <c r="BA182" s="12"/>
      <c r="BB182" s="12"/>
    </row>
    <row r="183" spans="2:54" hidden="1" x14ac:dyDescent="0.2">
      <c r="B183" s="1" t="s">
        <v>18</v>
      </c>
      <c r="L183" s="12">
        <f>MAX(L$113:L$132)</f>
        <v>0</v>
      </c>
      <c r="M183" s="12">
        <f>MAX(M$113:M$132)</f>
        <v>0</v>
      </c>
      <c r="N183" s="12">
        <f>MAX(N$113:N$132)</f>
        <v>0</v>
      </c>
      <c r="X183" s="12">
        <f>MAX(X$113:X$132)</f>
        <v>0</v>
      </c>
      <c r="Y183" s="12">
        <f>MAX(Y$113:Y$132)</f>
        <v>0</v>
      </c>
      <c r="Z183" s="12">
        <f>MAX(Z$113:Z$132)</f>
        <v>0</v>
      </c>
      <c r="AA183" s="12" t="e">
        <f t="shared" si="221"/>
        <v>#DIV/0!</v>
      </c>
      <c r="AB183" s="12" t="e">
        <f t="shared" si="222"/>
        <v>#DIV/0!</v>
      </c>
      <c r="AC183" s="12" t="e">
        <f t="shared" si="222"/>
        <v>#DIV/0!</v>
      </c>
      <c r="AD183" s="12"/>
      <c r="AX183" s="12"/>
      <c r="AY183" s="12"/>
      <c r="AZ183" s="12"/>
      <c r="BA183" s="12"/>
      <c r="BB183" s="12"/>
    </row>
    <row r="184" spans="2:54" hidden="1" x14ac:dyDescent="0.2">
      <c r="B184" s="1" t="s">
        <v>8</v>
      </c>
      <c r="L184" s="12">
        <f>MAX(L177:L183)</f>
        <v>0</v>
      </c>
      <c r="M184" s="12">
        <f>MAX(M177:M183)</f>
        <v>0</v>
      </c>
      <c r="N184" s="12">
        <f>MAX(N177:N183)</f>
        <v>0</v>
      </c>
      <c r="X184" s="12">
        <f>MAX(X177:X183)</f>
        <v>0</v>
      </c>
      <c r="Y184" s="12">
        <f>MAX(Y177:Y183)</f>
        <v>0</v>
      </c>
      <c r="Z184" s="12">
        <f>MAX(Z177:Z183)</f>
        <v>0</v>
      </c>
      <c r="AA184" s="12" t="e">
        <f t="shared" si="221"/>
        <v>#DIV/0!</v>
      </c>
      <c r="AB184" s="12" t="e">
        <f t="shared" si="222"/>
        <v>#DIV/0!</v>
      </c>
      <c r="AC184" s="12" t="e">
        <f t="shared" si="222"/>
        <v>#DIV/0!</v>
      </c>
      <c r="AD184" s="12"/>
      <c r="AX184" s="12"/>
      <c r="AY184" s="12"/>
      <c r="AZ184" s="12"/>
      <c r="BA184" s="12"/>
      <c r="BB184" s="12"/>
    </row>
    <row r="187" spans="2:54" x14ac:dyDescent="0.2">
      <c r="AF187" s="21">
        <f>AVERAGE(AF58:AF132)</f>
        <v>-7.6397291523249886E-4</v>
      </c>
      <c r="AL187" s="21">
        <f>AVERAGE(AL58:AL132)</f>
        <v>-7.2528103712061749E-4</v>
      </c>
      <c r="AR187" s="21">
        <f>AVERAGE(AR58:AR132)</f>
        <v>-8.9276661001492412E-4</v>
      </c>
    </row>
  </sheetData>
  <mergeCells count="10">
    <mergeCell ref="AR1:AT1"/>
    <mergeCell ref="AU1:AW1"/>
    <mergeCell ref="AX1:AY1"/>
    <mergeCell ref="BA1:BB1"/>
    <mergeCell ref="D1:N1"/>
    <mergeCell ref="P1:Z1"/>
    <mergeCell ref="AF1:AH1"/>
    <mergeCell ref="AI1:AK1"/>
    <mergeCell ref="AL1:AN1"/>
    <mergeCell ref="AO1:AQ1"/>
  </mergeCells>
  <phoneticPr fontId="23" type="noConversion"/>
  <conditionalFormatting sqref="AO8:AQ8 AO5:AQ6">
    <cfRule type="cellIs" dxfId="1468" priority="1468" operator="greaterThan">
      <formula>0.03</formula>
    </cfRule>
    <cfRule type="cellIs" dxfId="1467" priority="1469" stopIfTrue="1" operator="lessThan">
      <formula>-0.03</formula>
    </cfRule>
  </conditionalFormatting>
  <conditionalFormatting sqref="AU7:AV7">
    <cfRule type="cellIs" dxfId="1466" priority="1466" operator="greaterThan">
      <formula>0.03</formula>
    </cfRule>
    <cfRule type="cellIs" dxfId="1465" priority="1467" stopIfTrue="1" operator="lessThan">
      <formula>-0.03</formula>
    </cfRule>
  </conditionalFormatting>
  <conditionalFormatting sqref="AO156:AQ156 AU156:AW156">
    <cfRule type="cellIs" dxfId="1464" priority="1458" operator="greaterThan">
      <formula>0.03</formula>
    </cfRule>
    <cfRule type="cellIs" dxfId="1463" priority="1459" stopIfTrue="1" operator="lessThan">
      <formula>-0.03</formula>
    </cfRule>
  </conditionalFormatting>
  <conditionalFormatting sqref="AO159:AQ159 AU159:AW159">
    <cfRule type="cellIs" dxfId="1462" priority="1456" operator="greaterThan">
      <formula>0.03</formula>
    </cfRule>
    <cfRule type="cellIs" dxfId="1461" priority="1457" stopIfTrue="1" operator="lessThan">
      <formula>-0.03</formula>
    </cfRule>
  </conditionalFormatting>
  <conditionalFormatting sqref="AO161:AQ161 AU161:AW161">
    <cfRule type="cellIs" dxfId="1460" priority="1464" operator="greaterThan">
      <formula>0.03</formula>
    </cfRule>
    <cfRule type="cellIs" dxfId="1459" priority="1465" stopIfTrue="1" operator="lessThan">
      <formula>-0.03</formula>
    </cfRule>
  </conditionalFormatting>
  <conditionalFormatting sqref="AO153:AQ153 AO155:AQ155 AU155:AW155 AU153:AW153">
    <cfRule type="cellIs" dxfId="1458" priority="1460" operator="greaterThan">
      <formula>0.03</formula>
    </cfRule>
    <cfRule type="cellIs" dxfId="1457" priority="1461" stopIfTrue="1" operator="lessThan">
      <formula>-0.03</formula>
    </cfRule>
  </conditionalFormatting>
  <conditionalFormatting sqref="AO157:AQ158 AU157:AW158">
    <cfRule type="cellIs" dxfId="1456" priority="1462" operator="greaterThan">
      <formula>0.03</formula>
    </cfRule>
    <cfRule type="cellIs" dxfId="1455" priority="1463" stopIfTrue="1" operator="lessThan">
      <formula>-0.03</formula>
    </cfRule>
  </conditionalFormatting>
  <conditionalFormatting sqref="AO154:AQ154 AU154:AW154">
    <cfRule type="cellIs" dxfId="1454" priority="1454" operator="greaterThan">
      <formula>0.03</formula>
    </cfRule>
    <cfRule type="cellIs" dxfId="1453" priority="1455" stopIfTrue="1" operator="lessThan">
      <formula>-0.03</formula>
    </cfRule>
  </conditionalFormatting>
  <conditionalFormatting sqref="AO7:AQ7">
    <cfRule type="cellIs" dxfId="1452" priority="1452" operator="greaterThan">
      <formula>0.03</formula>
    </cfRule>
    <cfRule type="cellIs" dxfId="1451" priority="1453" stopIfTrue="1" operator="lessThan">
      <formula>-0.03</formula>
    </cfRule>
  </conditionalFormatting>
  <conditionalFormatting sqref="AI7:AK7 AI3:AK5">
    <cfRule type="cellIs" dxfId="1450" priority="1450" operator="greaterThan">
      <formula>0.03</formula>
    </cfRule>
    <cfRule type="cellIs" dxfId="1449" priority="1451" stopIfTrue="1" operator="lessThan">
      <formula>-0.03</formula>
    </cfRule>
  </conditionalFormatting>
  <conditionalFormatting sqref="AI156:AK156">
    <cfRule type="cellIs" dxfId="1448" priority="1442" operator="greaterThan">
      <formula>0.03</formula>
    </cfRule>
    <cfRule type="cellIs" dxfId="1447" priority="1443" stopIfTrue="1" operator="lessThan">
      <formula>-0.03</formula>
    </cfRule>
  </conditionalFormatting>
  <conditionalFormatting sqref="AI159:AK159">
    <cfRule type="cellIs" dxfId="1446" priority="1440" operator="greaterThan">
      <formula>0.03</formula>
    </cfRule>
    <cfRule type="cellIs" dxfId="1445" priority="1441" stopIfTrue="1" operator="lessThan">
      <formula>-0.03</formula>
    </cfRule>
  </conditionalFormatting>
  <conditionalFormatting sqref="AI161:AK161">
    <cfRule type="cellIs" dxfId="1444" priority="1448" operator="greaterThan">
      <formula>0.03</formula>
    </cfRule>
    <cfRule type="cellIs" dxfId="1443" priority="1449" stopIfTrue="1" operator="lessThan">
      <formula>-0.03</formula>
    </cfRule>
  </conditionalFormatting>
  <conditionalFormatting sqref="AI153:AK153 AI155:AK155">
    <cfRule type="cellIs" dxfId="1442" priority="1444" operator="greaterThan">
      <formula>0.03</formula>
    </cfRule>
    <cfRule type="cellIs" dxfId="1441" priority="1445" stopIfTrue="1" operator="lessThan">
      <formula>-0.03</formula>
    </cfRule>
  </conditionalFormatting>
  <conditionalFormatting sqref="AI157:AK158">
    <cfRule type="cellIs" dxfId="1440" priority="1446" operator="greaterThan">
      <formula>0.03</formula>
    </cfRule>
    <cfRule type="cellIs" dxfId="1439" priority="1447" stopIfTrue="1" operator="lessThan">
      <formula>-0.03</formula>
    </cfRule>
  </conditionalFormatting>
  <conditionalFormatting sqref="AI154:AK154">
    <cfRule type="cellIs" dxfId="1438" priority="1438" operator="greaterThan">
      <formula>0.03</formula>
    </cfRule>
    <cfRule type="cellIs" dxfId="1437" priority="1439" stopIfTrue="1" operator="lessThan">
      <formula>-0.03</formula>
    </cfRule>
  </conditionalFormatting>
  <conditionalFormatting sqref="AI6:AK6">
    <cfRule type="cellIs" dxfId="1436" priority="1436" operator="greaterThan">
      <formula>0.03</formula>
    </cfRule>
    <cfRule type="cellIs" dxfId="1435" priority="1437" stopIfTrue="1" operator="lessThan">
      <formula>-0.03</formula>
    </cfRule>
  </conditionalFormatting>
  <conditionalFormatting sqref="AU3:AW3">
    <cfRule type="cellIs" dxfId="1434" priority="1434" operator="greaterThan">
      <formula>0.03</formula>
    </cfRule>
    <cfRule type="cellIs" dxfId="1433" priority="1435" stopIfTrue="1" operator="lessThan">
      <formula>-0.03</formula>
    </cfRule>
  </conditionalFormatting>
  <conditionalFormatting sqref="AO13:AQ13 AO10:AQ11">
    <cfRule type="cellIs" dxfId="1432" priority="1432" operator="greaterThan">
      <formula>0.03</formula>
    </cfRule>
    <cfRule type="cellIs" dxfId="1431" priority="1433" stopIfTrue="1" operator="lessThan">
      <formula>-0.03</formula>
    </cfRule>
  </conditionalFormatting>
  <conditionalFormatting sqref="AU12:AV12">
    <cfRule type="cellIs" dxfId="1430" priority="1430" operator="greaterThan">
      <formula>0.03</formula>
    </cfRule>
    <cfRule type="cellIs" dxfId="1429" priority="1431" stopIfTrue="1" operator="lessThan">
      <formula>-0.03</formula>
    </cfRule>
  </conditionalFormatting>
  <conditionalFormatting sqref="AO12:AQ12">
    <cfRule type="cellIs" dxfId="1428" priority="1428" operator="greaterThan">
      <formula>0.03</formula>
    </cfRule>
    <cfRule type="cellIs" dxfId="1427" priority="1429" stopIfTrue="1" operator="lessThan">
      <formula>-0.03</formula>
    </cfRule>
  </conditionalFormatting>
  <conditionalFormatting sqref="AI12:AK12 AI8:AK10">
    <cfRule type="cellIs" dxfId="1426" priority="1426" operator="greaterThan">
      <formula>0.03</formula>
    </cfRule>
    <cfRule type="cellIs" dxfId="1425" priority="1427" stopIfTrue="1" operator="lessThan">
      <formula>-0.03</formula>
    </cfRule>
  </conditionalFormatting>
  <conditionalFormatting sqref="AI11:AK11">
    <cfRule type="cellIs" dxfId="1424" priority="1424" operator="greaterThan">
      <formula>0.03</formula>
    </cfRule>
    <cfRule type="cellIs" dxfId="1423" priority="1425" stopIfTrue="1" operator="lessThan">
      <formula>-0.03</formula>
    </cfRule>
  </conditionalFormatting>
  <conditionalFormatting sqref="AU8:AW8">
    <cfRule type="cellIs" dxfId="1422" priority="1422" operator="greaterThan">
      <formula>0.03</formula>
    </cfRule>
    <cfRule type="cellIs" dxfId="1421" priority="1423" stopIfTrue="1" operator="lessThan">
      <formula>-0.03</formula>
    </cfRule>
  </conditionalFormatting>
  <conditionalFormatting sqref="AO18:AQ18 AO15:AQ16">
    <cfRule type="cellIs" dxfId="1420" priority="1420" operator="greaterThan">
      <formula>0.03</formula>
    </cfRule>
    <cfRule type="cellIs" dxfId="1419" priority="1421" stopIfTrue="1" operator="lessThan">
      <formula>-0.03</formula>
    </cfRule>
  </conditionalFormatting>
  <conditionalFormatting sqref="AU17:AV17">
    <cfRule type="cellIs" dxfId="1418" priority="1418" operator="greaterThan">
      <formula>0.03</formula>
    </cfRule>
    <cfRule type="cellIs" dxfId="1417" priority="1419" stopIfTrue="1" operator="lessThan">
      <formula>-0.03</formula>
    </cfRule>
  </conditionalFormatting>
  <conditionalFormatting sqref="AO17:AQ17">
    <cfRule type="cellIs" dxfId="1416" priority="1416" operator="greaterThan">
      <formula>0.03</formula>
    </cfRule>
    <cfRule type="cellIs" dxfId="1415" priority="1417" stopIfTrue="1" operator="lessThan">
      <formula>-0.03</formula>
    </cfRule>
  </conditionalFormatting>
  <conditionalFormatting sqref="AI17:AK17 AI13:AK15">
    <cfRule type="cellIs" dxfId="1414" priority="1414" operator="greaterThan">
      <formula>0.03</formula>
    </cfRule>
    <cfRule type="cellIs" dxfId="1413" priority="1415" stopIfTrue="1" operator="lessThan">
      <formula>-0.03</formula>
    </cfRule>
  </conditionalFormatting>
  <conditionalFormatting sqref="AI16:AK16">
    <cfRule type="cellIs" dxfId="1412" priority="1412" operator="greaterThan">
      <formula>0.03</formula>
    </cfRule>
    <cfRule type="cellIs" dxfId="1411" priority="1413" stopIfTrue="1" operator="lessThan">
      <formula>-0.03</formula>
    </cfRule>
  </conditionalFormatting>
  <conditionalFormatting sqref="AU13:AW13">
    <cfRule type="cellIs" dxfId="1410" priority="1410" operator="greaterThan">
      <formula>0.03</formula>
    </cfRule>
    <cfRule type="cellIs" dxfId="1409" priority="1411" stopIfTrue="1" operator="lessThan">
      <formula>-0.03</formula>
    </cfRule>
  </conditionalFormatting>
  <conditionalFormatting sqref="AO23:AQ23 AO20:AQ21">
    <cfRule type="cellIs" dxfId="1408" priority="1408" operator="greaterThan">
      <formula>0.03</formula>
    </cfRule>
    <cfRule type="cellIs" dxfId="1407" priority="1409" stopIfTrue="1" operator="lessThan">
      <formula>-0.03</formula>
    </cfRule>
  </conditionalFormatting>
  <conditionalFormatting sqref="AU22:AV22">
    <cfRule type="cellIs" dxfId="1406" priority="1406" operator="greaterThan">
      <formula>0.03</formula>
    </cfRule>
    <cfRule type="cellIs" dxfId="1405" priority="1407" stopIfTrue="1" operator="lessThan">
      <formula>-0.03</formula>
    </cfRule>
  </conditionalFormatting>
  <conditionalFormatting sqref="AO22:AQ22">
    <cfRule type="cellIs" dxfId="1404" priority="1404" operator="greaterThan">
      <formula>0.03</formula>
    </cfRule>
    <cfRule type="cellIs" dxfId="1403" priority="1405" stopIfTrue="1" operator="lessThan">
      <formula>-0.03</formula>
    </cfRule>
  </conditionalFormatting>
  <conditionalFormatting sqref="AI22:AK22 AI18:AK20">
    <cfRule type="cellIs" dxfId="1402" priority="1402" operator="greaterThan">
      <formula>0.03</formula>
    </cfRule>
    <cfRule type="cellIs" dxfId="1401" priority="1403" stopIfTrue="1" operator="lessThan">
      <formula>-0.03</formula>
    </cfRule>
  </conditionalFormatting>
  <conditionalFormatting sqref="AI21:AK21">
    <cfRule type="cellIs" dxfId="1400" priority="1400" operator="greaterThan">
      <formula>0.03</formula>
    </cfRule>
    <cfRule type="cellIs" dxfId="1399" priority="1401" stopIfTrue="1" operator="lessThan">
      <formula>-0.03</formula>
    </cfRule>
  </conditionalFormatting>
  <conditionalFormatting sqref="AU18:AW18">
    <cfRule type="cellIs" dxfId="1398" priority="1398" operator="greaterThan">
      <formula>0.03</formula>
    </cfRule>
    <cfRule type="cellIs" dxfId="1397" priority="1399" stopIfTrue="1" operator="lessThan">
      <formula>-0.03</formula>
    </cfRule>
  </conditionalFormatting>
  <conditionalFormatting sqref="AO28:AQ28 AO25:AQ26">
    <cfRule type="cellIs" dxfId="1396" priority="1396" operator="greaterThan">
      <formula>0.03</formula>
    </cfRule>
    <cfRule type="cellIs" dxfId="1395" priority="1397" stopIfTrue="1" operator="lessThan">
      <formula>-0.03</formula>
    </cfRule>
  </conditionalFormatting>
  <conditionalFormatting sqref="AU27:AV27">
    <cfRule type="cellIs" dxfId="1394" priority="1394" operator="greaterThan">
      <formula>0.03</formula>
    </cfRule>
    <cfRule type="cellIs" dxfId="1393" priority="1395" stopIfTrue="1" operator="lessThan">
      <formula>-0.03</formula>
    </cfRule>
  </conditionalFormatting>
  <conditionalFormatting sqref="AO27:AQ27">
    <cfRule type="cellIs" dxfId="1392" priority="1392" operator="greaterThan">
      <formula>0.03</formula>
    </cfRule>
    <cfRule type="cellIs" dxfId="1391" priority="1393" stopIfTrue="1" operator="lessThan">
      <formula>-0.03</formula>
    </cfRule>
  </conditionalFormatting>
  <conditionalFormatting sqref="AI27:AK27 AI23:AK25">
    <cfRule type="cellIs" dxfId="1390" priority="1390" operator="greaterThan">
      <formula>0.03</formula>
    </cfRule>
    <cfRule type="cellIs" dxfId="1389" priority="1391" stopIfTrue="1" operator="lessThan">
      <formula>-0.03</formula>
    </cfRule>
  </conditionalFormatting>
  <conditionalFormatting sqref="AI26:AK26">
    <cfRule type="cellIs" dxfId="1388" priority="1388" operator="greaterThan">
      <formula>0.03</formula>
    </cfRule>
    <cfRule type="cellIs" dxfId="1387" priority="1389" stopIfTrue="1" operator="lessThan">
      <formula>-0.03</formula>
    </cfRule>
  </conditionalFormatting>
  <conditionalFormatting sqref="AU23:AW23">
    <cfRule type="cellIs" dxfId="1386" priority="1386" operator="greaterThan">
      <formula>0.03</formula>
    </cfRule>
    <cfRule type="cellIs" dxfId="1385" priority="1387" stopIfTrue="1" operator="lessThan">
      <formula>-0.03</formula>
    </cfRule>
  </conditionalFormatting>
  <conditionalFormatting sqref="AO33:AQ33 AO30:AQ31">
    <cfRule type="cellIs" dxfId="1384" priority="1384" operator="greaterThan">
      <formula>0.03</formula>
    </cfRule>
    <cfRule type="cellIs" dxfId="1383" priority="1385" stopIfTrue="1" operator="lessThan">
      <formula>-0.03</formula>
    </cfRule>
  </conditionalFormatting>
  <conditionalFormatting sqref="AU32:AV32">
    <cfRule type="cellIs" dxfId="1382" priority="1382" operator="greaterThan">
      <formula>0.03</formula>
    </cfRule>
    <cfRule type="cellIs" dxfId="1381" priority="1383" stopIfTrue="1" operator="lessThan">
      <formula>-0.03</formula>
    </cfRule>
  </conditionalFormatting>
  <conditionalFormatting sqref="AO32:AQ32">
    <cfRule type="cellIs" dxfId="1380" priority="1380" operator="greaterThan">
      <formula>0.03</formula>
    </cfRule>
    <cfRule type="cellIs" dxfId="1379" priority="1381" stopIfTrue="1" operator="lessThan">
      <formula>-0.03</formula>
    </cfRule>
  </conditionalFormatting>
  <conditionalFormatting sqref="AI32:AK32 AI28:AK30">
    <cfRule type="cellIs" dxfId="1378" priority="1378" operator="greaterThan">
      <formula>0.03</formula>
    </cfRule>
    <cfRule type="cellIs" dxfId="1377" priority="1379" stopIfTrue="1" operator="lessThan">
      <formula>-0.03</formula>
    </cfRule>
  </conditionalFormatting>
  <conditionalFormatting sqref="AI31:AK31">
    <cfRule type="cellIs" dxfId="1376" priority="1376" operator="greaterThan">
      <formula>0.03</formula>
    </cfRule>
    <cfRule type="cellIs" dxfId="1375" priority="1377" stopIfTrue="1" operator="lessThan">
      <formula>-0.03</formula>
    </cfRule>
  </conditionalFormatting>
  <conditionalFormatting sqref="AU28:AW28">
    <cfRule type="cellIs" dxfId="1374" priority="1374" operator="greaterThan">
      <formula>0.03</formula>
    </cfRule>
    <cfRule type="cellIs" dxfId="1373" priority="1375" stopIfTrue="1" operator="lessThan">
      <formula>-0.03</formula>
    </cfRule>
  </conditionalFormatting>
  <conditionalFormatting sqref="AO38:AQ38 AO35:AQ36">
    <cfRule type="cellIs" dxfId="1372" priority="1372" operator="greaterThan">
      <formula>0.03</formula>
    </cfRule>
    <cfRule type="cellIs" dxfId="1371" priority="1373" stopIfTrue="1" operator="lessThan">
      <formula>-0.03</formula>
    </cfRule>
  </conditionalFormatting>
  <conditionalFormatting sqref="AU37:AV37">
    <cfRule type="cellIs" dxfId="1370" priority="1370" operator="greaterThan">
      <formula>0.03</formula>
    </cfRule>
    <cfRule type="cellIs" dxfId="1369" priority="1371" stopIfTrue="1" operator="lessThan">
      <formula>-0.03</formula>
    </cfRule>
  </conditionalFormatting>
  <conditionalFormatting sqref="AO37:AQ37">
    <cfRule type="cellIs" dxfId="1368" priority="1368" operator="greaterThan">
      <formula>0.03</formula>
    </cfRule>
    <cfRule type="cellIs" dxfId="1367" priority="1369" stopIfTrue="1" operator="lessThan">
      <formula>-0.03</formula>
    </cfRule>
  </conditionalFormatting>
  <conditionalFormatting sqref="AI37:AK37 AI33:AK35">
    <cfRule type="cellIs" dxfId="1366" priority="1366" operator="greaterThan">
      <formula>0.03</formula>
    </cfRule>
    <cfRule type="cellIs" dxfId="1365" priority="1367" stopIfTrue="1" operator="lessThan">
      <formula>-0.03</formula>
    </cfRule>
  </conditionalFormatting>
  <conditionalFormatting sqref="AI36:AK36">
    <cfRule type="cellIs" dxfId="1364" priority="1364" operator="greaterThan">
      <formula>0.03</formula>
    </cfRule>
    <cfRule type="cellIs" dxfId="1363" priority="1365" stopIfTrue="1" operator="lessThan">
      <formula>-0.03</formula>
    </cfRule>
  </conditionalFormatting>
  <conditionalFormatting sqref="AU33:AW33">
    <cfRule type="cellIs" dxfId="1362" priority="1362" operator="greaterThan">
      <formula>0.03</formula>
    </cfRule>
    <cfRule type="cellIs" dxfId="1361" priority="1363" stopIfTrue="1" operator="lessThan">
      <formula>-0.03</formula>
    </cfRule>
  </conditionalFormatting>
  <conditionalFormatting sqref="AO43:AQ43 AO40:AQ41">
    <cfRule type="cellIs" dxfId="1360" priority="1360" operator="greaterThan">
      <formula>0.03</formula>
    </cfRule>
    <cfRule type="cellIs" dxfId="1359" priority="1361" stopIfTrue="1" operator="lessThan">
      <formula>-0.03</formula>
    </cfRule>
  </conditionalFormatting>
  <conditionalFormatting sqref="AU42:AV42">
    <cfRule type="cellIs" dxfId="1358" priority="1358" operator="greaterThan">
      <formula>0.03</formula>
    </cfRule>
    <cfRule type="cellIs" dxfId="1357" priority="1359" stopIfTrue="1" operator="lessThan">
      <formula>-0.03</formula>
    </cfRule>
  </conditionalFormatting>
  <conditionalFormatting sqref="AO42:AQ42">
    <cfRule type="cellIs" dxfId="1356" priority="1356" operator="greaterThan">
      <formula>0.03</formula>
    </cfRule>
    <cfRule type="cellIs" dxfId="1355" priority="1357" stopIfTrue="1" operator="lessThan">
      <formula>-0.03</formula>
    </cfRule>
  </conditionalFormatting>
  <conditionalFormatting sqref="AI42:AK42 AI38:AK40">
    <cfRule type="cellIs" dxfId="1354" priority="1354" operator="greaterThan">
      <formula>0.03</formula>
    </cfRule>
    <cfRule type="cellIs" dxfId="1353" priority="1355" stopIfTrue="1" operator="lessThan">
      <formula>-0.03</formula>
    </cfRule>
  </conditionalFormatting>
  <conditionalFormatting sqref="AI41:AK41">
    <cfRule type="cellIs" dxfId="1352" priority="1352" operator="greaterThan">
      <formula>0.03</formula>
    </cfRule>
    <cfRule type="cellIs" dxfId="1351" priority="1353" stopIfTrue="1" operator="lessThan">
      <formula>-0.03</formula>
    </cfRule>
  </conditionalFormatting>
  <conditionalFormatting sqref="AU38:AW38">
    <cfRule type="cellIs" dxfId="1350" priority="1350" operator="greaterThan">
      <formula>0.03</formula>
    </cfRule>
    <cfRule type="cellIs" dxfId="1349" priority="1351" stopIfTrue="1" operator="lessThan">
      <formula>-0.03</formula>
    </cfRule>
  </conditionalFormatting>
  <conditionalFormatting sqref="AO48:AQ48 AO45:AQ46">
    <cfRule type="cellIs" dxfId="1348" priority="1348" operator="greaterThan">
      <formula>0.03</formula>
    </cfRule>
    <cfRule type="cellIs" dxfId="1347" priority="1349" stopIfTrue="1" operator="lessThan">
      <formula>-0.03</formula>
    </cfRule>
  </conditionalFormatting>
  <conditionalFormatting sqref="AU47:AV47">
    <cfRule type="cellIs" dxfId="1346" priority="1346" operator="greaterThan">
      <formula>0.03</formula>
    </cfRule>
    <cfRule type="cellIs" dxfId="1345" priority="1347" stopIfTrue="1" operator="lessThan">
      <formula>-0.03</formula>
    </cfRule>
  </conditionalFormatting>
  <conditionalFormatting sqref="AO47:AQ47">
    <cfRule type="cellIs" dxfId="1344" priority="1344" operator="greaterThan">
      <formula>0.03</formula>
    </cfRule>
    <cfRule type="cellIs" dxfId="1343" priority="1345" stopIfTrue="1" operator="lessThan">
      <formula>-0.03</formula>
    </cfRule>
  </conditionalFormatting>
  <conditionalFormatting sqref="AI47:AK47 AI43:AK45">
    <cfRule type="cellIs" dxfId="1342" priority="1342" operator="greaterThan">
      <formula>0.03</formula>
    </cfRule>
    <cfRule type="cellIs" dxfId="1341" priority="1343" stopIfTrue="1" operator="lessThan">
      <formula>-0.03</formula>
    </cfRule>
  </conditionalFormatting>
  <conditionalFormatting sqref="AI46:AK46">
    <cfRule type="cellIs" dxfId="1340" priority="1340" operator="greaterThan">
      <formula>0.03</formula>
    </cfRule>
    <cfRule type="cellIs" dxfId="1339" priority="1341" stopIfTrue="1" operator="lessThan">
      <formula>-0.03</formula>
    </cfRule>
  </conditionalFormatting>
  <conditionalFormatting sqref="AU43:AW43">
    <cfRule type="cellIs" dxfId="1338" priority="1338" operator="greaterThan">
      <formula>0.03</formula>
    </cfRule>
    <cfRule type="cellIs" dxfId="1337" priority="1339" stopIfTrue="1" operator="lessThan">
      <formula>-0.03</formula>
    </cfRule>
  </conditionalFormatting>
  <conditionalFormatting sqref="AO53:AQ53 AO50:AQ51">
    <cfRule type="cellIs" dxfId="1336" priority="1336" operator="greaterThan">
      <formula>0.03</formula>
    </cfRule>
    <cfRule type="cellIs" dxfId="1335" priority="1337" stopIfTrue="1" operator="lessThan">
      <formula>-0.03</formula>
    </cfRule>
  </conditionalFormatting>
  <conditionalFormatting sqref="AU52:AV52">
    <cfRule type="cellIs" dxfId="1334" priority="1334" operator="greaterThan">
      <formula>0.03</formula>
    </cfRule>
    <cfRule type="cellIs" dxfId="1333" priority="1335" stopIfTrue="1" operator="lessThan">
      <formula>-0.03</formula>
    </cfRule>
  </conditionalFormatting>
  <conditionalFormatting sqref="AO52:AQ52">
    <cfRule type="cellIs" dxfId="1332" priority="1332" operator="greaterThan">
      <formula>0.03</formula>
    </cfRule>
    <cfRule type="cellIs" dxfId="1331" priority="1333" stopIfTrue="1" operator="lessThan">
      <formula>-0.03</formula>
    </cfRule>
  </conditionalFormatting>
  <conditionalFormatting sqref="AI52:AK52 AI48:AK50">
    <cfRule type="cellIs" dxfId="1330" priority="1330" operator="greaterThan">
      <formula>0.03</formula>
    </cfRule>
    <cfRule type="cellIs" dxfId="1329" priority="1331" stopIfTrue="1" operator="lessThan">
      <formula>-0.03</formula>
    </cfRule>
  </conditionalFormatting>
  <conditionalFormatting sqref="AI51:AK51">
    <cfRule type="cellIs" dxfId="1328" priority="1328" operator="greaterThan">
      <formula>0.03</formula>
    </cfRule>
    <cfRule type="cellIs" dxfId="1327" priority="1329" stopIfTrue="1" operator="lessThan">
      <formula>-0.03</formula>
    </cfRule>
  </conditionalFormatting>
  <conditionalFormatting sqref="AU48:AW48">
    <cfRule type="cellIs" dxfId="1326" priority="1326" operator="greaterThan">
      <formula>0.03</formula>
    </cfRule>
    <cfRule type="cellIs" dxfId="1325" priority="1327" stopIfTrue="1" operator="lessThan">
      <formula>-0.03</formula>
    </cfRule>
  </conditionalFormatting>
  <conditionalFormatting sqref="AO58:AQ58 AO55:AQ56">
    <cfRule type="cellIs" dxfId="1324" priority="1324" operator="greaterThan">
      <formula>0.03</formula>
    </cfRule>
    <cfRule type="cellIs" dxfId="1323" priority="1325" stopIfTrue="1" operator="lessThan">
      <formula>-0.03</formula>
    </cfRule>
  </conditionalFormatting>
  <conditionalFormatting sqref="AU57:AV57">
    <cfRule type="cellIs" dxfId="1322" priority="1322" operator="greaterThan">
      <formula>0.03</formula>
    </cfRule>
    <cfRule type="cellIs" dxfId="1321" priority="1323" stopIfTrue="1" operator="lessThan">
      <formula>-0.03</formula>
    </cfRule>
  </conditionalFormatting>
  <conditionalFormatting sqref="AO57:AQ57">
    <cfRule type="cellIs" dxfId="1320" priority="1320" operator="greaterThan">
      <formula>0.03</formula>
    </cfRule>
    <cfRule type="cellIs" dxfId="1319" priority="1321" stopIfTrue="1" operator="lessThan">
      <formula>-0.03</formula>
    </cfRule>
  </conditionalFormatting>
  <conditionalFormatting sqref="AI57:AK57 AI53:AK55">
    <cfRule type="cellIs" dxfId="1318" priority="1318" operator="greaterThan">
      <formula>0.03</formula>
    </cfRule>
    <cfRule type="cellIs" dxfId="1317" priority="1319" stopIfTrue="1" operator="lessThan">
      <formula>-0.03</formula>
    </cfRule>
  </conditionalFormatting>
  <conditionalFormatting sqref="AI56:AK56">
    <cfRule type="cellIs" dxfId="1316" priority="1316" operator="greaterThan">
      <formula>0.03</formula>
    </cfRule>
    <cfRule type="cellIs" dxfId="1315" priority="1317" stopIfTrue="1" operator="lessThan">
      <formula>-0.03</formula>
    </cfRule>
  </conditionalFormatting>
  <conditionalFormatting sqref="AU53:AW53">
    <cfRule type="cellIs" dxfId="1314" priority="1314" operator="greaterThan">
      <formula>0.03</formula>
    </cfRule>
    <cfRule type="cellIs" dxfId="1313" priority="1315" stopIfTrue="1" operator="lessThan">
      <formula>-0.03</formula>
    </cfRule>
  </conditionalFormatting>
  <conditionalFormatting sqref="AO63:AQ63 AO60:AQ61">
    <cfRule type="cellIs" dxfId="1312" priority="1312" operator="greaterThan">
      <formula>0.03</formula>
    </cfRule>
    <cfRule type="cellIs" dxfId="1311" priority="1313" stopIfTrue="1" operator="lessThan">
      <formula>-0.03</formula>
    </cfRule>
  </conditionalFormatting>
  <conditionalFormatting sqref="AU62:AV62">
    <cfRule type="cellIs" dxfId="1310" priority="1310" operator="greaterThan">
      <formula>0.03</formula>
    </cfRule>
    <cfRule type="cellIs" dxfId="1309" priority="1311" stopIfTrue="1" operator="lessThan">
      <formula>-0.03</formula>
    </cfRule>
  </conditionalFormatting>
  <conditionalFormatting sqref="AO62:AQ62">
    <cfRule type="cellIs" dxfId="1308" priority="1308" operator="greaterThan">
      <formula>0.03</formula>
    </cfRule>
    <cfRule type="cellIs" dxfId="1307" priority="1309" stopIfTrue="1" operator="lessThan">
      <formula>-0.03</formula>
    </cfRule>
  </conditionalFormatting>
  <conditionalFormatting sqref="AI62:AK62 AI58:AK60">
    <cfRule type="cellIs" dxfId="1306" priority="1306" operator="greaterThan">
      <formula>0.03</formula>
    </cfRule>
    <cfRule type="cellIs" dxfId="1305" priority="1307" stopIfTrue="1" operator="lessThan">
      <formula>-0.03</formula>
    </cfRule>
  </conditionalFormatting>
  <conditionalFormatting sqref="AI61:AK61">
    <cfRule type="cellIs" dxfId="1304" priority="1304" operator="greaterThan">
      <formula>0.03</formula>
    </cfRule>
    <cfRule type="cellIs" dxfId="1303" priority="1305" stopIfTrue="1" operator="lessThan">
      <formula>-0.03</formula>
    </cfRule>
  </conditionalFormatting>
  <conditionalFormatting sqref="AU58:AW58">
    <cfRule type="cellIs" dxfId="1302" priority="1302" operator="greaterThan">
      <formula>0.03</formula>
    </cfRule>
    <cfRule type="cellIs" dxfId="1301" priority="1303" stopIfTrue="1" operator="lessThan">
      <formula>-0.03</formula>
    </cfRule>
  </conditionalFormatting>
  <conditionalFormatting sqref="AO68:AQ68 AO65:AQ66">
    <cfRule type="cellIs" dxfId="1300" priority="1300" operator="greaterThan">
      <formula>0.03</formula>
    </cfRule>
    <cfRule type="cellIs" dxfId="1299" priority="1301" stopIfTrue="1" operator="lessThan">
      <formula>-0.03</formula>
    </cfRule>
  </conditionalFormatting>
  <conditionalFormatting sqref="AU67:AV67">
    <cfRule type="cellIs" dxfId="1298" priority="1298" operator="greaterThan">
      <formula>0.03</formula>
    </cfRule>
    <cfRule type="cellIs" dxfId="1297" priority="1299" stopIfTrue="1" operator="lessThan">
      <formula>-0.03</formula>
    </cfRule>
  </conditionalFormatting>
  <conditionalFormatting sqref="AO67:AQ67">
    <cfRule type="cellIs" dxfId="1296" priority="1296" operator="greaterThan">
      <formula>0.03</formula>
    </cfRule>
    <cfRule type="cellIs" dxfId="1295" priority="1297" stopIfTrue="1" operator="lessThan">
      <formula>-0.03</formula>
    </cfRule>
  </conditionalFormatting>
  <conditionalFormatting sqref="AI67:AK67 AI63:AK65">
    <cfRule type="cellIs" dxfId="1294" priority="1294" operator="greaterThan">
      <formula>0.03</formula>
    </cfRule>
    <cfRule type="cellIs" dxfId="1293" priority="1295" stopIfTrue="1" operator="lessThan">
      <formula>-0.03</formula>
    </cfRule>
  </conditionalFormatting>
  <conditionalFormatting sqref="AI66:AK66">
    <cfRule type="cellIs" dxfId="1292" priority="1292" operator="greaterThan">
      <formula>0.03</formula>
    </cfRule>
    <cfRule type="cellIs" dxfId="1291" priority="1293" stopIfTrue="1" operator="lessThan">
      <formula>-0.03</formula>
    </cfRule>
  </conditionalFormatting>
  <conditionalFormatting sqref="AU63:AW63">
    <cfRule type="cellIs" dxfId="1290" priority="1290" operator="greaterThan">
      <formula>0.03</formula>
    </cfRule>
    <cfRule type="cellIs" dxfId="1289" priority="1291" stopIfTrue="1" operator="lessThan">
      <formula>-0.03</formula>
    </cfRule>
  </conditionalFormatting>
  <conditionalFormatting sqref="AO73:AQ73 AO70:AQ71">
    <cfRule type="cellIs" dxfId="1288" priority="1288" operator="greaterThan">
      <formula>0.03</formula>
    </cfRule>
    <cfRule type="cellIs" dxfId="1287" priority="1289" stopIfTrue="1" operator="lessThan">
      <formula>-0.03</formula>
    </cfRule>
  </conditionalFormatting>
  <conditionalFormatting sqref="AU72:AV72">
    <cfRule type="cellIs" dxfId="1286" priority="1286" operator="greaterThan">
      <formula>0.03</formula>
    </cfRule>
    <cfRule type="cellIs" dxfId="1285" priority="1287" stopIfTrue="1" operator="lessThan">
      <formula>-0.03</formula>
    </cfRule>
  </conditionalFormatting>
  <conditionalFormatting sqref="AO72:AQ72">
    <cfRule type="cellIs" dxfId="1284" priority="1284" operator="greaterThan">
      <formula>0.03</formula>
    </cfRule>
    <cfRule type="cellIs" dxfId="1283" priority="1285" stopIfTrue="1" operator="lessThan">
      <formula>-0.03</formula>
    </cfRule>
  </conditionalFormatting>
  <conditionalFormatting sqref="AI72:AK72 AI68:AK70">
    <cfRule type="cellIs" dxfId="1282" priority="1282" operator="greaterThan">
      <formula>0.03</formula>
    </cfRule>
    <cfRule type="cellIs" dxfId="1281" priority="1283" stopIfTrue="1" operator="lessThan">
      <formula>-0.03</formula>
    </cfRule>
  </conditionalFormatting>
  <conditionalFormatting sqref="AI71:AK71">
    <cfRule type="cellIs" dxfId="1280" priority="1280" operator="greaterThan">
      <formula>0.03</formula>
    </cfRule>
    <cfRule type="cellIs" dxfId="1279" priority="1281" stopIfTrue="1" operator="lessThan">
      <formula>-0.03</formula>
    </cfRule>
  </conditionalFormatting>
  <conditionalFormatting sqref="AU68:AW68">
    <cfRule type="cellIs" dxfId="1278" priority="1278" operator="greaterThan">
      <formula>0.03</formula>
    </cfRule>
    <cfRule type="cellIs" dxfId="1277" priority="1279" stopIfTrue="1" operator="lessThan">
      <formula>-0.03</formula>
    </cfRule>
  </conditionalFormatting>
  <conditionalFormatting sqref="AO78:AQ78 AO75:AQ76">
    <cfRule type="cellIs" dxfId="1276" priority="1276" operator="greaterThan">
      <formula>0.03</formula>
    </cfRule>
    <cfRule type="cellIs" dxfId="1275" priority="1277" stopIfTrue="1" operator="lessThan">
      <formula>-0.03</formula>
    </cfRule>
  </conditionalFormatting>
  <conditionalFormatting sqref="AU77:AV77">
    <cfRule type="cellIs" dxfId="1274" priority="1274" operator="greaterThan">
      <formula>0.03</formula>
    </cfRule>
    <cfRule type="cellIs" dxfId="1273" priority="1275" stopIfTrue="1" operator="lessThan">
      <formula>-0.03</formula>
    </cfRule>
  </conditionalFormatting>
  <conditionalFormatting sqref="AO77:AQ77">
    <cfRule type="cellIs" dxfId="1272" priority="1272" operator="greaterThan">
      <formula>0.03</formula>
    </cfRule>
    <cfRule type="cellIs" dxfId="1271" priority="1273" stopIfTrue="1" operator="lessThan">
      <formula>-0.03</formula>
    </cfRule>
  </conditionalFormatting>
  <conditionalFormatting sqref="AI77:AK77 AI73:AK75">
    <cfRule type="cellIs" dxfId="1270" priority="1270" operator="greaterThan">
      <formula>0.03</formula>
    </cfRule>
    <cfRule type="cellIs" dxfId="1269" priority="1271" stopIfTrue="1" operator="lessThan">
      <formula>-0.03</formula>
    </cfRule>
  </conditionalFormatting>
  <conditionalFormatting sqref="AI76:AK76">
    <cfRule type="cellIs" dxfId="1268" priority="1268" operator="greaterThan">
      <formula>0.03</formula>
    </cfRule>
    <cfRule type="cellIs" dxfId="1267" priority="1269" stopIfTrue="1" operator="lessThan">
      <formula>-0.03</formula>
    </cfRule>
  </conditionalFormatting>
  <conditionalFormatting sqref="AU73:AW73">
    <cfRule type="cellIs" dxfId="1266" priority="1266" operator="greaterThan">
      <formula>0.03</formula>
    </cfRule>
    <cfRule type="cellIs" dxfId="1265" priority="1267" stopIfTrue="1" operator="lessThan">
      <formula>-0.03</formula>
    </cfRule>
  </conditionalFormatting>
  <conditionalFormatting sqref="AO83:AQ83 AO80:AQ81">
    <cfRule type="cellIs" dxfId="1264" priority="1264" operator="greaterThan">
      <formula>0.03</formula>
    </cfRule>
    <cfRule type="cellIs" dxfId="1263" priority="1265" stopIfTrue="1" operator="lessThan">
      <formula>-0.03</formula>
    </cfRule>
  </conditionalFormatting>
  <conditionalFormatting sqref="AU82:AV82">
    <cfRule type="cellIs" dxfId="1262" priority="1262" operator="greaterThan">
      <formula>0.03</formula>
    </cfRule>
    <cfRule type="cellIs" dxfId="1261" priority="1263" stopIfTrue="1" operator="lessThan">
      <formula>-0.03</formula>
    </cfRule>
  </conditionalFormatting>
  <conditionalFormatting sqref="AO82:AQ82">
    <cfRule type="cellIs" dxfId="1260" priority="1260" operator="greaterThan">
      <formula>0.03</formula>
    </cfRule>
    <cfRule type="cellIs" dxfId="1259" priority="1261" stopIfTrue="1" operator="lessThan">
      <formula>-0.03</formula>
    </cfRule>
  </conditionalFormatting>
  <conditionalFormatting sqref="AI82:AK82 AI78:AK80">
    <cfRule type="cellIs" dxfId="1258" priority="1258" operator="greaterThan">
      <formula>0.03</formula>
    </cfRule>
    <cfRule type="cellIs" dxfId="1257" priority="1259" stopIfTrue="1" operator="lessThan">
      <formula>-0.03</formula>
    </cfRule>
  </conditionalFormatting>
  <conditionalFormatting sqref="AI81:AK81">
    <cfRule type="cellIs" dxfId="1256" priority="1256" operator="greaterThan">
      <formula>0.03</formula>
    </cfRule>
    <cfRule type="cellIs" dxfId="1255" priority="1257" stopIfTrue="1" operator="lessThan">
      <formula>-0.03</formula>
    </cfRule>
  </conditionalFormatting>
  <conditionalFormatting sqref="AU78:AW78">
    <cfRule type="cellIs" dxfId="1254" priority="1254" operator="greaterThan">
      <formula>0.03</formula>
    </cfRule>
    <cfRule type="cellIs" dxfId="1253" priority="1255" stopIfTrue="1" operator="lessThan">
      <formula>-0.03</formula>
    </cfRule>
  </conditionalFormatting>
  <conditionalFormatting sqref="AO88:AQ88 AO85:AQ86">
    <cfRule type="cellIs" dxfId="1252" priority="1252" operator="greaterThan">
      <formula>0.03</formula>
    </cfRule>
    <cfRule type="cellIs" dxfId="1251" priority="1253" stopIfTrue="1" operator="lessThan">
      <formula>-0.03</formula>
    </cfRule>
  </conditionalFormatting>
  <conditionalFormatting sqref="AU87:AV87">
    <cfRule type="cellIs" dxfId="1250" priority="1250" operator="greaterThan">
      <formula>0.03</formula>
    </cfRule>
    <cfRule type="cellIs" dxfId="1249" priority="1251" stopIfTrue="1" operator="lessThan">
      <formula>-0.03</formula>
    </cfRule>
  </conditionalFormatting>
  <conditionalFormatting sqref="AO87:AQ87">
    <cfRule type="cellIs" dxfId="1248" priority="1248" operator="greaterThan">
      <formula>0.03</formula>
    </cfRule>
    <cfRule type="cellIs" dxfId="1247" priority="1249" stopIfTrue="1" operator="lessThan">
      <formula>-0.03</formula>
    </cfRule>
  </conditionalFormatting>
  <conditionalFormatting sqref="AI87:AK87 AI83:AK85">
    <cfRule type="cellIs" dxfId="1246" priority="1246" operator="greaterThan">
      <formula>0.03</formula>
    </cfRule>
    <cfRule type="cellIs" dxfId="1245" priority="1247" stopIfTrue="1" operator="lessThan">
      <formula>-0.03</formula>
    </cfRule>
  </conditionalFormatting>
  <conditionalFormatting sqref="AI86:AK86">
    <cfRule type="cellIs" dxfId="1244" priority="1244" operator="greaterThan">
      <formula>0.03</formula>
    </cfRule>
    <cfRule type="cellIs" dxfId="1243" priority="1245" stopIfTrue="1" operator="lessThan">
      <formula>-0.03</formula>
    </cfRule>
  </conditionalFormatting>
  <conditionalFormatting sqref="AU83:AW83">
    <cfRule type="cellIs" dxfId="1242" priority="1242" operator="greaterThan">
      <formula>0.03</formula>
    </cfRule>
    <cfRule type="cellIs" dxfId="1241" priority="1243" stopIfTrue="1" operator="lessThan">
      <formula>-0.03</formula>
    </cfRule>
  </conditionalFormatting>
  <conditionalFormatting sqref="AO93:AQ93 AO90:AQ91">
    <cfRule type="cellIs" dxfId="1240" priority="1240" operator="greaterThan">
      <formula>0.03</formula>
    </cfRule>
    <cfRule type="cellIs" dxfId="1239" priority="1241" stopIfTrue="1" operator="lessThan">
      <formula>-0.03</formula>
    </cfRule>
  </conditionalFormatting>
  <conditionalFormatting sqref="AU92:AV92">
    <cfRule type="cellIs" dxfId="1238" priority="1238" operator="greaterThan">
      <formula>0.03</formula>
    </cfRule>
    <cfRule type="cellIs" dxfId="1237" priority="1239" stopIfTrue="1" operator="lessThan">
      <formula>-0.03</formula>
    </cfRule>
  </conditionalFormatting>
  <conditionalFormatting sqref="AO92:AQ92">
    <cfRule type="cellIs" dxfId="1236" priority="1236" operator="greaterThan">
      <formula>0.03</formula>
    </cfRule>
    <cfRule type="cellIs" dxfId="1235" priority="1237" stopIfTrue="1" operator="lessThan">
      <formula>-0.03</formula>
    </cfRule>
  </conditionalFormatting>
  <conditionalFormatting sqref="AI92:AK92 AI88:AK90">
    <cfRule type="cellIs" dxfId="1234" priority="1234" operator="greaterThan">
      <formula>0.03</formula>
    </cfRule>
    <cfRule type="cellIs" dxfId="1233" priority="1235" stopIfTrue="1" operator="lessThan">
      <formula>-0.03</formula>
    </cfRule>
  </conditionalFormatting>
  <conditionalFormatting sqref="AI91:AK91">
    <cfRule type="cellIs" dxfId="1232" priority="1232" operator="greaterThan">
      <formula>0.03</formula>
    </cfRule>
    <cfRule type="cellIs" dxfId="1231" priority="1233" stopIfTrue="1" operator="lessThan">
      <formula>-0.03</formula>
    </cfRule>
  </conditionalFormatting>
  <conditionalFormatting sqref="AU88:AW88">
    <cfRule type="cellIs" dxfId="1230" priority="1230" operator="greaterThan">
      <formula>0.03</formula>
    </cfRule>
    <cfRule type="cellIs" dxfId="1229" priority="1231" stopIfTrue="1" operator="lessThan">
      <formula>-0.03</formula>
    </cfRule>
  </conditionalFormatting>
  <conditionalFormatting sqref="AO98:AQ98 AO95:AQ96">
    <cfRule type="cellIs" dxfId="1228" priority="1228" operator="greaterThan">
      <formula>0.03</formula>
    </cfRule>
    <cfRule type="cellIs" dxfId="1227" priority="1229" stopIfTrue="1" operator="lessThan">
      <formula>-0.03</formula>
    </cfRule>
  </conditionalFormatting>
  <conditionalFormatting sqref="AU97:AV97">
    <cfRule type="cellIs" dxfId="1226" priority="1226" operator="greaterThan">
      <formula>0.03</formula>
    </cfRule>
    <cfRule type="cellIs" dxfId="1225" priority="1227" stopIfTrue="1" operator="lessThan">
      <formula>-0.03</formula>
    </cfRule>
  </conditionalFormatting>
  <conditionalFormatting sqref="AO97:AQ97">
    <cfRule type="cellIs" dxfId="1224" priority="1224" operator="greaterThan">
      <formula>0.03</formula>
    </cfRule>
    <cfRule type="cellIs" dxfId="1223" priority="1225" stopIfTrue="1" operator="lessThan">
      <formula>-0.03</formula>
    </cfRule>
  </conditionalFormatting>
  <conditionalFormatting sqref="AI97:AK97 AI93:AK95">
    <cfRule type="cellIs" dxfId="1222" priority="1222" operator="greaterThan">
      <formula>0.03</formula>
    </cfRule>
    <cfRule type="cellIs" dxfId="1221" priority="1223" stopIfTrue="1" operator="lessThan">
      <formula>-0.03</formula>
    </cfRule>
  </conditionalFormatting>
  <conditionalFormatting sqref="AI96:AK96">
    <cfRule type="cellIs" dxfId="1220" priority="1220" operator="greaterThan">
      <formula>0.03</formula>
    </cfRule>
    <cfRule type="cellIs" dxfId="1219" priority="1221" stopIfTrue="1" operator="lessThan">
      <formula>-0.03</formula>
    </cfRule>
  </conditionalFormatting>
  <conditionalFormatting sqref="AU93:AW93">
    <cfRule type="cellIs" dxfId="1218" priority="1218" operator="greaterThan">
      <formula>0.03</formula>
    </cfRule>
    <cfRule type="cellIs" dxfId="1217" priority="1219" stopIfTrue="1" operator="lessThan">
      <formula>-0.03</formula>
    </cfRule>
  </conditionalFormatting>
  <conditionalFormatting sqref="AO103:AQ103 AO100:AQ101">
    <cfRule type="cellIs" dxfId="1216" priority="1216" operator="greaterThan">
      <formula>0.03</formula>
    </cfRule>
    <cfRule type="cellIs" dxfId="1215" priority="1217" stopIfTrue="1" operator="lessThan">
      <formula>-0.03</formula>
    </cfRule>
  </conditionalFormatting>
  <conditionalFormatting sqref="AU102:AV102">
    <cfRule type="cellIs" dxfId="1214" priority="1214" operator="greaterThan">
      <formula>0.03</formula>
    </cfRule>
    <cfRule type="cellIs" dxfId="1213" priority="1215" stopIfTrue="1" operator="lessThan">
      <formula>-0.03</formula>
    </cfRule>
  </conditionalFormatting>
  <conditionalFormatting sqref="AO102:AQ102">
    <cfRule type="cellIs" dxfId="1212" priority="1212" operator="greaterThan">
      <formula>0.03</formula>
    </cfRule>
    <cfRule type="cellIs" dxfId="1211" priority="1213" stopIfTrue="1" operator="lessThan">
      <formula>-0.03</formula>
    </cfRule>
  </conditionalFormatting>
  <conditionalFormatting sqref="AI102:AK102 AI98:AK100">
    <cfRule type="cellIs" dxfId="1210" priority="1210" operator="greaterThan">
      <formula>0.03</formula>
    </cfRule>
    <cfRule type="cellIs" dxfId="1209" priority="1211" stopIfTrue="1" operator="lessThan">
      <formula>-0.03</formula>
    </cfRule>
  </conditionalFormatting>
  <conditionalFormatting sqref="AI101:AK101">
    <cfRule type="cellIs" dxfId="1208" priority="1208" operator="greaterThan">
      <formula>0.03</formula>
    </cfRule>
    <cfRule type="cellIs" dxfId="1207" priority="1209" stopIfTrue="1" operator="lessThan">
      <formula>-0.03</formula>
    </cfRule>
  </conditionalFormatting>
  <conditionalFormatting sqref="AU98:AW98">
    <cfRule type="cellIs" dxfId="1206" priority="1206" operator="greaterThan">
      <formula>0.03</formula>
    </cfRule>
    <cfRule type="cellIs" dxfId="1205" priority="1207" stopIfTrue="1" operator="lessThan">
      <formula>-0.03</formula>
    </cfRule>
  </conditionalFormatting>
  <conditionalFormatting sqref="AO108:AQ108 AO105:AQ106">
    <cfRule type="cellIs" dxfId="1204" priority="1204" operator="greaterThan">
      <formula>0.03</formula>
    </cfRule>
    <cfRule type="cellIs" dxfId="1203" priority="1205" stopIfTrue="1" operator="lessThan">
      <formula>-0.03</formula>
    </cfRule>
  </conditionalFormatting>
  <conditionalFormatting sqref="AU107:AV107">
    <cfRule type="cellIs" dxfId="1202" priority="1202" operator="greaterThan">
      <formula>0.03</formula>
    </cfRule>
    <cfRule type="cellIs" dxfId="1201" priority="1203" stopIfTrue="1" operator="lessThan">
      <formula>-0.03</formula>
    </cfRule>
  </conditionalFormatting>
  <conditionalFormatting sqref="AO107:AQ107">
    <cfRule type="cellIs" dxfId="1200" priority="1200" operator="greaterThan">
      <formula>0.03</formula>
    </cfRule>
    <cfRule type="cellIs" dxfId="1199" priority="1201" stopIfTrue="1" operator="lessThan">
      <formula>-0.03</formula>
    </cfRule>
  </conditionalFormatting>
  <conditionalFormatting sqref="AI107:AK107 AI103:AK105">
    <cfRule type="cellIs" dxfId="1198" priority="1198" operator="greaterThan">
      <formula>0.03</formula>
    </cfRule>
    <cfRule type="cellIs" dxfId="1197" priority="1199" stopIfTrue="1" operator="lessThan">
      <formula>-0.03</formula>
    </cfRule>
  </conditionalFormatting>
  <conditionalFormatting sqref="AI106:AK106">
    <cfRule type="cellIs" dxfId="1196" priority="1196" operator="greaterThan">
      <formula>0.03</formula>
    </cfRule>
    <cfRule type="cellIs" dxfId="1195" priority="1197" stopIfTrue="1" operator="lessThan">
      <formula>-0.03</formula>
    </cfRule>
  </conditionalFormatting>
  <conditionalFormatting sqref="AU103:AW103">
    <cfRule type="cellIs" dxfId="1194" priority="1194" operator="greaterThan">
      <formula>0.03</formula>
    </cfRule>
    <cfRule type="cellIs" dxfId="1193" priority="1195" stopIfTrue="1" operator="lessThan">
      <formula>-0.03</formula>
    </cfRule>
  </conditionalFormatting>
  <conditionalFormatting sqref="AO113:AQ113 AO110:AQ111">
    <cfRule type="cellIs" dxfId="1192" priority="1192" operator="greaterThan">
      <formula>0.03</formula>
    </cfRule>
    <cfRule type="cellIs" dxfId="1191" priority="1193" stopIfTrue="1" operator="lessThan">
      <formula>-0.03</formula>
    </cfRule>
  </conditionalFormatting>
  <conditionalFormatting sqref="AU112:AV112">
    <cfRule type="cellIs" dxfId="1190" priority="1190" operator="greaterThan">
      <formula>0.03</formula>
    </cfRule>
    <cfRule type="cellIs" dxfId="1189" priority="1191" stopIfTrue="1" operator="lessThan">
      <formula>-0.03</formula>
    </cfRule>
  </conditionalFormatting>
  <conditionalFormatting sqref="AO112:AQ112">
    <cfRule type="cellIs" dxfId="1188" priority="1188" operator="greaterThan">
      <formula>0.03</formula>
    </cfRule>
    <cfRule type="cellIs" dxfId="1187" priority="1189" stopIfTrue="1" operator="lessThan">
      <formula>-0.03</formula>
    </cfRule>
  </conditionalFormatting>
  <conditionalFormatting sqref="AI112:AK112 AI108:AK110">
    <cfRule type="cellIs" dxfId="1186" priority="1186" operator="greaterThan">
      <formula>0.03</formula>
    </cfRule>
    <cfRule type="cellIs" dxfId="1185" priority="1187" stopIfTrue="1" operator="lessThan">
      <formula>-0.03</formula>
    </cfRule>
  </conditionalFormatting>
  <conditionalFormatting sqref="AI111:AK111">
    <cfRule type="cellIs" dxfId="1184" priority="1184" operator="greaterThan">
      <formula>0.03</formula>
    </cfRule>
    <cfRule type="cellIs" dxfId="1183" priority="1185" stopIfTrue="1" operator="lessThan">
      <formula>-0.03</formula>
    </cfRule>
  </conditionalFormatting>
  <conditionalFormatting sqref="AU108:AW108">
    <cfRule type="cellIs" dxfId="1182" priority="1182" operator="greaterThan">
      <formula>0.03</formula>
    </cfRule>
    <cfRule type="cellIs" dxfId="1181" priority="1183" stopIfTrue="1" operator="lessThan">
      <formula>-0.03</formula>
    </cfRule>
  </conditionalFormatting>
  <conditionalFormatting sqref="AO118:AQ118 AO115:AQ116">
    <cfRule type="cellIs" dxfId="1180" priority="1180" operator="greaterThan">
      <formula>0.03</formula>
    </cfRule>
    <cfRule type="cellIs" dxfId="1179" priority="1181" stopIfTrue="1" operator="lessThan">
      <formula>-0.03</formula>
    </cfRule>
  </conditionalFormatting>
  <conditionalFormatting sqref="AU117:AV117">
    <cfRule type="cellIs" dxfId="1178" priority="1178" operator="greaterThan">
      <formula>0.03</formula>
    </cfRule>
    <cfRule type="cellIs" dxfId="1177" priority="1179" stopIfTrue="1" operator="lessThan">
      <formula>-0.03</formula>
    </cfRule>
  </conditionalFormatting>
  <conditionalFormatting sqref="AO117:AQ117">
    <cfRule type="cellIs" dxfId="1176" priority="1176" operator="greaterThan">
      <formula>0.03</formula>
    </cfRule>
    <cfRule type="cellIs" dxfId="1175" priority="1177" stopIfTrue="1" operator="lessThan">
      <formula>-0.03</formula>
    </cfRule>
  </conditionalFormatting>
  <conditionalFormatting sqref="AI117:AK117 AI113:AK115">
    <cfRule type="cellIs" dxfId="1174" priority="1174" operator="greaterThan">
      <formula>0.03</formula>
    </cfRule>
    <cfRule type="cellIs" dxfId="1173" priority="1175" stopIfTrue="1" operator="lessThan">
      <formula>-0.03</formula>
    </cfRule>
  </conditionalFormatting>
  <conditionalFormatting sqref="AI116:AK116">
    <cfRule type="cellIs" dxfId="1172" priority="1172" operator="greaterThan">
      <formula>0.03</formula>
    </cfRule>
    <cfRule type="cellIs" dxfId="1171" priority="1173" stopIfTrue="1" operator="lessThan">
      <formula>-0.03</formula>
    </cfRule>
  </conditionalFormatting>
  <conditionalFormatting sqref="AU113:AW113">
    <cfRule type="cellIs" dxfId="1170" priority="1170" operator="greaterThan">
      <formula>0.03</formula>
    </cfRule>
    <cfRule type="cellIs" dxfId="1169" priority="1171" stopIfTrue="1" operator="lessThan">
      <formula>-0.03</formula>
    </cfRule>
  </conditionalFormatting>
  <conditionalFormatting sqref="AO123:AQ123 AO120:AQ121">
    <cfRule type="cellIs" dxfId="1168" priority="1168" operator="greaterThan">
      <formula>0.03</formula>
    </cfRule>
    <cfRule type="cellIs" dxfId="1167" priority="1169" stopIfTrue="1" operator="lessThan">
      <formula>-0.03</formula>
    </cfRule>
  </conditionalFormatting>
  <conditionalFormatting sqref="AU122:AV122">
    <cfRule type="cellIs" dxfId="1166" priority="1166" operator="greaterThan">
      <formula>0.03</formula>
    </cfRule>
    <cfRule type="cellIs" dxfId="1165" priority="1167" stopIfTrue="1" operator="lessThan">
      <formula>-0.03</formula>
    </cfRule>
  </conditionalFormatting>
  <conditionalFormatting sqref="AO122:AQ122">
    <cfRule type="cellIs" dxfId="1164" priority="1164" operator="greaterThan">
      <formula>0.03</formula>
    </cfRule>
    <cfRule type="cellIs" dxfId="1163" priority="1165" stopIfTrue="1" operator="lessThan">
      <formula>-0.03</formula>
    </cfRule>
  </conditionalFormatting>
  <conditionalFormatting sqref="AI122:AK122 AI118:AK120">
    <cfRule type="cellIs" dxfId="1162" priority="1162" operator="greaterThan">
      <formula>0.03</formula>
    </cfRule>
    <cfRule type="cellIs" dxfId="1161" priority="1163" stopIfTrue="1" operator="lessThan">
      <formula>-0.03</formula>
    </cfRule>
  </conditionalFormatting>
  <conditionalFormatting sqref="AI121:AK121">
    <cfRule type="cellIs" dxfId="1160" priority="1160" operator="greaterThan">
      <formula>0.03</formula>
    </cfRule>
    <cfRule type="cellIs" dxfId="1159" priority="1161" stopIfTrue="1" operator="lessThan">
      <formula>-0.03</formula>
    </cfRule>
  </conditionalFormatting>
  <conditionalFormatting sqref="AU118:AW118">
    <cfRule type="cellIs" dxfId="1158" priority="1158" operator="greaterThan">
      <formula>0.03</formula>
    </cfRule>
    <cfRule type="cellIs" dxfId="1157" priority="1159" stopIfTrue="1" operator="lessThan">
      <formula>-0.03</formula>
    </cfRule>
  </conditionalFormatting>
  <conditionalFormatting sqref="AO128:AQ128 AO125:AQ126">
    <cfRule type="cellIs" dxfId="1156" priority="1156" operator="greaterThan">
      <formula>0.03</formula>
    </cfRule>
    <cfRule type="cellIs" dxfId="1155" priority="1157" stopIfTrue="1" operator="lessThan">
      <formula>-0.03</formula>
    </cfRule>
  </conditionalFormatting>
  <conditionalFormatting sqref="AU127:AV127">
    <cfRule type="cellIs" dxfId="1154" priority="1154" operator="greaterThan">
      <formula>0.03</formula>
    </cfRule>
    <cfRule type="cellIs" dxfId="1153" priority="1155" stopIfTrue="1" operator="lessThan">
      <formula>-0.03</formula>
    </cfRule>
  </conditionalFormatting>
  <conditionalFormatting sqref="AO127:AQ127">
    <cfRule type="cellIs" dxfId="1152" priority="1152" operator="greaterThan">
      <formula>0.03</formula>
    </cfRule>
    <cfRule type="cellIs" dxfId="1151" priority="1153" stopIfTrue="1" operator="lessThan">
      <formula>-0.03</formula>
    </cfRule>
  </conditionalFormatting>
  <conditionalFormatting sqref="AI127:AK127 AI123:AK125">
    <cfRule type="cellIs" dxfId="1150" priority="1150" operator="greaterThan">
      <formula>0.03</formula>
    </cfRule>
    <cfRule type="cellIs" dxfId="1149" priority="1151" stopIfTrue="1" operator="lessThan">
      <formula>-0.03</formula>
    </cfRule>
  </conditionalFormatting>
  <conditionalFormatting sqref="AI126:AK126">
    <cfRule type="cellIs" dxfId="1148" priority="1148" operator="greaterThan">
      <formula>0.03</formula>
    </cfRule>
    <cfRule type="cellIs" dxfId="1147" priority="1149" stopIfTrue="1" operator="lessThan">
      <formula>-0.03</formula>
    </cfRule>
  </conditionalFormatting>
  <conditionalFormatting sqref="AU123:AW123">
    <cfRule type="cellIs" dxfId="1146" priority="1146" operator="greaterThan">
      <formula>0.03</formula>
    </cfRule>
    <cfRule type="cellIs" dxfId="1145" priority="1147" stopIfTrue="1" operator="lessThan">
      <formula>-0.03</formula>
    </cfRule>
  </conditionalFormatting>
  <conditionalFormatting sqref="AO130:AQ132">
    <cfRule type="cellIs" dxfId="1144" priority="1144" operator="greaterThan">
      <formula>0.03</formula>
    </cfRule>
    <cfRule type="cellIs" dxfId="1143" priority="1145" stopIfTrue="1" operator="lessThan">
      <formula>-0.03</formula>
    </cfRule>
  </conditionalFormatting>
  <conditionalFormatting sqref="AU132:AV132">
    <cfRule type="cellIs" dxfId="1142" priority="1142" operator="greaterThan">
      <formula>0.03</formula>
    </cfRule>
    <cfRule type="cellIs" dxfId="1141" priority="1143" stopIfTrue="1" operator="lessThan">
      <formula>-0.03</formula>
    </cfRule>
  </conditionalFormatting>
  <conditionalFormatting sqref="AI132:AK132 AI128:AK130">
    <cfRule type="cellIs" dxfId="1140" priority="1140" operator="greaterThan">
      <formula>0.03</formula>
    </cfRule>
    <cfRule type="cellIs" dxfId="1139" priority="1141" stopIfTrue="1" operator="lessThan">
      <formula>-0.03</formula>
    </cfRule>
  </conditionalFormatting>
  <conditionalFormatting sqref="AI131:AK131">
    <cfRule type="cellIs" dxfId="1138" priority="1138" operator="greaterThan">
      <formula>0.03</formula>
    </cfRule>
    <cfRule type="cellIs" dxfId="1137" priority="1139" stopIfTrue="1" operator="lessThan">
      <formula>-0.03</formula>
    </cfRule>
  </conditionalFormatting>
  <conditionalFormatting sqref="AU128:AW128">
    <cfRule type="cellIs" dxfId="1136" priority="1136" operator="greaterThan">
      <formula>0.03</formula>
    </cfRule>
    <cfRule type="cellIs" dxfId="1135" priority="1137" stopIfTrue="1" operator="lessThan">
      <formula>-0.03</formula>
    </cfRule>
  </conditionalFormatting>
  <conditionalFormatting sqref="AF7:AH7 AF3:AH5">
    <cfRule type="cellIs" dxfId="1134" priority="1134" operator="greaterThan">
      <formula>0.03</formula>
    </cfRule>
    <cfRule type="cellIs" dxfId="1133" priority="1135" stopIfTrue="1" operator="lessThan">
      <formula>-0.03</formula>
    </cfRule>
  </conditionalFormatting>
  <conditionalFormatting sqref="AF156:AH156">
    <cfRule type="cellIs" dxfId="1132" priority="1126" operator="greaterThan">
      <formula>0.03</formula>
    </cfRule>
    <cfRule type="cellIs" dxfId="1131" priority="1127" stopIfTrue="1" operator="lessThan">
      <formula>-0.03</formula>
    </cfRule>
  </conditionalFormatting>
  <conditionalFormatting sqref="AF159:AH159">
    <cfRule type="cellIs" dxfId="1130" priority="1124" operator="greaterThan">
      <formula>0.03</formula>
    </cfRule>
    <cfRule type="cellIs" dxfId="1129" priority="1125" stopIfTrue="1" operator="lessThan">
      <formula>-0.03</formula>
    </cfRule>
  </conditionalFormatting>
  <conditionalFormatting sqref="AF161:AW161">
    <cfRule type="cellIs" dxfId="1128" priority="1132" operator="greaterThan">
      <formula>0.03</formula>
    </cfRule>
    <cfRule type="cellIs" dxfId="1127" priority="1133" stopIfTrue="1" operator="lessThan">
      <formula>-0.03</formula>
    </cfRule>
  </conditionalFormatting>
  <conditionalFormatting sqref="AF153:AH153 AF155:AH155">
    <cfRule type="cellIs" dxfId="1126" priority="1128" operator="greaterThan">
      <formula>0.03</formula>
    </cfRule>
    <cfRule type="cellIs" dxfId="1125" priority="1129" stopIfTrue="1" operator="lessThan">
      <formula>-0.03</formula>
    </cfRule>
  </conditionalFormatting>
  <conditionalFormatting sqref="AF157:AH158">
    <cfRule type="cellIs" dxfId="1124" priority="1130" operator="greaterThan">
      <formula>0.03</formula>
    </cfRule>
    <cfRule type="cellIs" dxfId="1123" priority="1131" stopIfTrue="1" operator="lessThan">
      <formula>-0.03</formula>
    </cfRule>
  </conditionalFormatting>
  <conditionalFormatting sqref="AF154:AH154">
    <cfRule type="cellIs" dxfId="1122" priority="1122" operator="greaterThan">
      <formula>0.03</formula>
    </cfRule>
    <cfRule type="cellIs" dxfId="1121" priority="1123" stopIfTrue="1" operator="lessThan">
      <formula>-0.03</formula>
    </cfRule>
  </conditionalFormatting>
  <conditionalFormatting sqref="AF6:AH6">
    <cfRule type="cellIs" dxfId="1120" priority="1120" operator="greaterThan">
      <formula>0.03</formula>
    </cfRule>
    <cfRule type="cellIs" dxfId="1119" priority="1121" stopIfTrue="1" operator="lessThan">
      <formula>-0.03</formula>
    </cfRule>
  </conditionalFormatting>
  <conditionalFormatting sqref="AF12:AH12 AF8:AH10">
    <cfRule type="cellIs" dxfId="1118" priority="1118" operator="greaterThan">
      <formula>0.03</formula>
    </cfRule>
    <cfRule type="cellIs" dxfId="1117" priority="1119" stopIfTrue="1" operator="lessThan">
      <formula>-0.03</formula>
    </cfRule>
  </conditionalFormatting>
  <conditionalFormatting sqref="AF11:AH11">
    <cfRule type="cellIs" dxfId="1116" priority="1116" operator="greaterThan">
      <formula>0.03</formula>
    </cfRule>
    <cfRule type="cellIs" dxfId="1115" priority="1117" stopIfTrue="1" operator="lessThan">
      <formula>-0.03</formula>
    </cfRule>
  </conditionalFormatting>
  <conditionalFormatting sqref="AF17:AH17 AF13:AH15">
    <cfRule type="cellIs" dxfId="1114" priority="1114" operator="greaterThan">
      <formula>0.03</formula>
    </cfRule>
    <cfRule type="cellIs" dxfId="1113" priority="1115" stopIfTrue="1" operator="lessThan">
      <formula>-0.03</formula>
    </cfRule>
  </conditionalFormatting>
  <conditionalFormatting sqref="AF16:AH16">
    <cfRule type="cellIs" dxfId="1112" priority="1112" operator="greaterThan">
      <formula>0.03</formula>
    </cfRule>
    <cfRule type="cellIs" dxfId="1111" priority="1113" stopIfTrue="1" operator="lessThan">
      <formula>-0.03</formula>
    </cfRule>
  </conditionalFormatting>
  <conditionalFormatting sqref="AF22:AH22 AF18:AH20">
    <cfRule type="cellIs" dxfId="1110" priority="1110" operator="greaterThan">
      <formula>0.03</formula>
    </cfRule>
    <cfRule type="cellIs" dxfId="1109" priority="1111" stopIfTrue="1" operator="lessThan">
      <formula>-0.03</formula>
    </cfRule>
  </conditionalFormatting>
  <conditionalFormatting sqref="AF21:AH21">
    <cfRule type="cellIs" dxfId="1108" priority="1108" operator="greaterThan">
      <formula>0.03</formula>
    </cfRule>
    <cfRule type="cellIs" dxfId="1107" priority="1109" stopIfTrue="1" operator="lessThan">
      <formula>-0.03</formula>
    </cfRule>
  </conditionalFormatting>
  <conditionalFormatting sqref="AF27:AH27 AF23:AH25">
    <cfRule type="cellIs" dxfId="1106" priority="1106" operator="greaterThan">
      <formula>0.03</formula>
    </cfRule>
    <cfRule type="cellIs" dxfId="1105" priority="1107" stopIfTrue="1" operator="lessThan">
      <formula>-0.03</formula>
    </cfRule>
  </conditionalFormatting>
  <conditionalFormatting sqref="AF26:AH26">
    <cfRule type="cellIs" dxfId="1104" priority="1104" operator="greaterThan">
      <formula>0.03</formula>
    </cfRule>
    <cfRule type="cellIs" dxfId="1103" priority="1105" stopIfTrue="1" operator="lessThan">
      <formula>-0.03</formula>
    </cfRule>
  </conditionalFormatting>
  <conditionalFormatting sqref="AF32:AH32 AF28:AH30">
    <cfRule type="cellIs" dxfId="1102" priority="1102" operator="greaterThan">
      <formula>0.03</formula>
    </cfRule>
    <cfRule type="cellIs" dxfId="1101" priority="1103" stopIfTrue="1" operator="lessThan">
      <formula>-0.03</formula>
    </cfRule>
  </conditionalFormatting>
  <conditionalFormatting sqref="AF31:AH31">
    <cfRule type="cellIs" dxfId="1100" priority="1100" operator="greaterThan">
      <formula>0.03</formula>
    </cfRule>
    <cfRule type="cellIs" dxfId="1099" priority="1101" stopIfTrue="1" operator="lessThan">
      <formula>-0.03</formula>
    </cfRule>
  </conditionalFormatting>
  <conditionalFormatting sqref="AF37:AH37 AF33:AH35">
    <cfRule type="cellIs" dxfId="1098" priority="1098" operator="greaterThan">
      <formula>0.03</formula>
    </cfRule>
    <cfRule type="cellIs" dxfId="1097" priority="1099" stopIfTrue="1" operator="lessThan">
      <formula>-0.03</formula>
    </cfRule>
  </conditionalFormatting>
  <conditionalFormatting sqref="AF36:AH36">
    <cfRule type="cellIs" dxfId="1096" priority="1096" operator="greaterThan">
      <formula>0.03</formula>
    </cfRule>
    <cfRule type="cellIs" dxfId="1095" priority="1097" stopIfTrue="1" operator="lessThan">
      <formula>-0.03</formula>
    </cfRule>
  </conditionalFormatting>
  <conditionalFormatting sqref="AF42:AH42 AF38:AH40">
    <cfRule type="cellIs" dxfId="1094" priority="1094" operator="greaterThan">
      <formula>0.03</formula>
    </cfRule>
    <cfRule type="cellIs" dxfId="1093" priority="1095" stopIfTrue="1" operator="lessThan">
      <formula>-0.03</formula>
    </cfRule>
  </conditionalFormatting>
  <conditionalFormatting sqref="AF41:AH41">
    <cfRule type="cellIs" dxfId="1092" priority="1092" operator="greaterThan">
      <formula>0.03</formula>
    </cfRule>
    <cfRule type="cellIs" dxfId="1091" priority="1093" stopIfTrue="1" operator="lessThan">
      <formula>-0.03</formula>
    </cfRule>
  </conditionalFormatting>
  <conditionalFormatting sqref="AF47:AH47 AF43:AH45">
    <cfRule type="cellIs" dxfId="1090" priority="1090" operator="greaterThan">
      <formula>0.03</formula>
    </cfRule>
    <cfRule type="cellIs" dxfId="1089" priority="1091" stopIfTrue="1" operator="lessThan">
      <formula>-0.03</formula>
    </cfRule>
  </conditionalFormatting>
  <conditionalFormatting sqref="AF46:AH46">
    <cfRule type="cellIs" dxfId="1088" priority="1088" operator="greaterThan">
      <formula>0.03</formula>
    </cfRule>
    <cfRule type="cellIs" dxfId="1087" priority="1089" stopIfTrue="1" operator="lessThan">
      <formula>-0.03</formula>
    </cfRule>
  </conditionalFormatting>
  <conditionalFormatting sqref="AF52:AH52 AF48:AH50">
    <cfRule type="cellIs" dxfId="1086" priority="1086" operator="greaterThan">
      <formula>0.03</formula>
    </cfRule>
    <cfRule type="cellIs" dxfId="1085" priority="1087" stopIfTrue="1" operator="lessThan">
      <formula>-0.03</formula>
    </cfRule>
  </conditionalFormatting>
  <conditionalFormatting sqref="AF51:AH51">
    <cfRule type="cellIs" dxfId="1084" priority="1084" operator="greaterThan">
      <formula>0.03</formula>
    </cfRule>
    <cfRule type="cellIs" dxfId="1083" priority="1085" stopIfTrue="1" operator="lessThan">
      <formula>-0.03</formula>
    </cfRule>
  </conditionalFormatting>
  <conditionalFormatting sqref="AF57:AH57 AF53:AH55">
    <cfRule type="cellIs" dxfId="1082" priority="1082" operator="greaterThan">
      <formula>0.03</formula>
    </cfRule>
    <cfRule type="cellIs" dxfId="1081" priority="1083" stopIfTrue="1" operator="lessThan">
      <formula>-0.03</formula>
    </cfRule>
  </conditionalFormatting>
  <conditionalFormatting sqref="AF56:AH56">
    <cfRule type="cellIs" dxfId="1080" priority="1080" operator="greaterThan">
      <formula>0.03</formula>
    </cfRule>
    <cfRule type="cellIs" dxfId="1079" priority="1081" stopIfTrue="1" operator="lessThan">
      <formula>-0.03</formula>
    </cfRule>
  </conditionalFormatting>
  <conditionalFormatting sqref="AF62:AH62 AF58:AH60">
    <cfRule type="cellIs" dxfId="1078" priority="1078" operator="greaterThan">
      <formula>0.03</formula>
    </cfRule>
    <cfRule type="cellIs" dxfId="1077" priority="1079" stopIfTrue="1" operator="lessThan">
      <formula>-0.03</formula>
    </cfRule>
  </conditionalFormatting>
  <conditionalFormatting sqref="AF61:AH61">
    <cfRule type="cellIs" dxfId="1076" priority="1076" operator="greaterThan">
      <formula>0.03</formula>
    </cfRule>
    <cfRule type="cellIs" dxfId="1075" priority="1077" stopIfTrue="1" operator="lessThan">
      <formula>-0.03</formula>
    </cfRule>
  </conditionalFormatting>
  <conditionalFormatting sqref="AF67:AH67 AF63:AH65">
    <cfRule type="cellIs" dxfId="1074" priority="1074" operator="greaterThan">
      <formula>0.03</formula>
    </cfRule>
    <cfRule type="cellIs" dxfId="1073" priority="1075" stopIfTrue="1" operator="lessThan">
      <formula>-0.03</formula>
    </cfRule>
  </conditionalFormatting>
  <conditionalFormatting sqref="AF66:AH66">
    <cfRule type="cellIs" dxfId="1072" priority="1072" operator="greaterThan">
      <formula>0.03</formula>
    </cfRule>
    <cfRule type="cellIs" dxfId="1071" priority="1073" stopIfTrue="1" operator="lessThan">
      <formula>-0.03</formula>
    </cfRule>
  </conditionalFormatting>
  <conditionalFormatting sqref="AF72:AH72 AF68:AH70">
    <cfRule type="cellIs" dxfId="1070" priority="1070" operator="greaterThan">
      <formula>0.03</formula>
    </cfRule>
    <cfRule type="cellIs" dxfId="1069" priority="1071" stopIfTrue="1" operator="lessThan">
      <formula>-0.03</formula>
    </cfRule>
  </conditionalFormatting>
  <conditionalFormatting sqref="AF71:AH71">
    <cfRule type="cellIs" dxfId="1068" priority="1068" operator="greaterThan">
      <formula>0.03</formula>
    </cfRule>
    <cfRule type="cellIs" dxfId="1067" priority="1069" stopIfTrue="1" operator="lessThan">
      <formula>-0.03</formula>
    </cfRule>
  </conditionalFormatting>
  <conditionalFormatting sqref="AF77:AH77 AF73:AH75">
    <cfRule type="cellIs" dxfId="1066" priority="1066" operator="greaterThan">
      <formula>0.03</formula>
    </cfRule>
    <cfRule type="cellIs" dxfId="1065" priority="1067" stopIfTrue="1" operator="lessThan">
      <formula>-0.03</formula>
    </cfRule>
  </conditionalFormatting>
  <conditionalFormatting sqref="AF76:AH76">
    <cfRule type="cellIs" dxfId="1064" priority="1064" operator="greaterThan">
      <formula>0.03</formula>
    </cfRule>
    <cfRule type="cellIs" dxfId="1063" priority="1065" stopIfTrue="1" operator="lessThan">
      <formula>-0.03</formula>
    </cfRule>
  </conditionalFormatting>
  <conditionalFormatting sqref="AF82:AH82 AF78:AH80">
    <cfRule type="cellIs" dxfId="1062" priority="1062" operator="greaterThan">
      <formula>0.03</formula>
    </cfRule>
    <cfRule type="cellIs" dxfId="1061" priority="1063" stopIfTrue="1" operator="lessThan">
      <formula>-0.03</formula>
    </cfRule>
  </conditionalFormatting>
  <conditionalFormatting sqref="AF81:AH81">
    <cfRule type="cellIs" dxfId="1060" priority="1060" operator="greaterThan">
      <formula>0.03</formula>
    </cfRule>
    <cfRule type="cellIs" dxfId="1059" priority="1061" stopIfTrue="1" operator="lessThan">
      <formula>-0.03</formula>
    </cfRule>
  </conditionalFormatting>
  <conditionalFormatting sqref="AF87:AH87 AF83:AH85">
    <cfRule type="cellIs" dxfId="1058" priority="1058" operator="greaterThan">
      <formula>0.03</formula>
    </cfRule>
    <cfRule type="cellIs" dxfId="1057" priority="1059" stopIfTrue="1" operator="lessThan">
      <formula>-0.03</formula>
    </cfRule>
  </conditionalFormatting>
  <conditionalFormatting sqref="AF86:AH86">
    <cfRule type="cellIs" dxfId="1056" priority="1056" operator="greaterThan">
      <formula>0.03</formula>
    </cfRule>
    <cfRule type="cellIs" dxfId="1055" priority="1057" stopIfTrue="1" operator="lessThan">
      <formula>-0.03</formula>
    </cfRule>
  </conditionalFormatting>
  <conditionalFormatting sqref="AF92:AH92 AF88:AH90">
    <cfRule type="cellIs" dxfId="1054" priority="1054" operator="greaterThan">
      <formula>0.03</formula>
    </cfRule>
    <cfRule type="cellIs" dxfId="1053" priority="1055" stopIfTrue="1" operator="lessThan">
      <formula>-0.03</formula>
    </cfRule>
  </conditionalFormatting>
  <conditionalFormatting sqref="AF91:AH91">
    <cfRule type="cellIs" dxfId="1052" priority="1052" operator="greaterThan">
      <formula>0.03</formula>
    </cfRule>
    <cfRule type="cellIs" dxfId="1051" priority="1053" stopIfTrue="1" operator="lessThan">
      <formula>-0.03</formula>
    </cfRule>
  </conditionalFormatting>
  <conditionalFormatting sqref="AF97:AH97 AF93:AH95">
    <cfRule type="cellIs" dxfId="1050" priority="1050" operator="greaterThan">
      <formula>0.03</formula>
    </cfRule>
    <cfRule type="cellIs" dxfId="1049" priority="1051" stopIfTrue="1" operator="lessThan">
      <formula>-0.03</formula>
    </cfRule>
  </conditionalFormatting>
  <conditionalFormatting sqref="AF96:AH96">
    <cfRule type="cellIs" dxfId="1048" priority="1048" operator="greaterThan">
      <formula>0.03</formula>
    </cfRule>
    <cfRule type="cellIs" dxfId="1047" priority="1049" stopIfTrue="1" operator="lessThan">
      <formula>-0.03</formula>
    </cfRule>
  </conditionalFormatting>
  <conditionalFormatting sqref="AF102:AH102 AF98:AH100">
    <cfRule type="cellIs" dxfId="1046" priority="1046" operator="greaterThan">
      <formula>0.03</formula>
    </cfRule>
    <cfRule type="cellIs" dxfId="1045" priority="1047" stopIfTrue="1" operator="lessThan">
      <formula>-0.03</formula>
    </cfRule>
  </conditionalFormatting>
  <conditionalFormatting sqref="AF101:AH101">
    <cfRule type="cellIs" dxfId="1044" priority="1044" operator="greaterThan">
      <formula>0.03</formula>
    </cfRule>
    <cfRule type="cellIs" dxfId="1043" priority="1045" stopIfTrue="1" operator="lessThan">
      <formula>-0.03</formula>
    </cfRule>
  </conditionalFormatting>
  <conditionalFormatting sqref="AF107:AH107 AF103:AH105">
    <cfRule type="cellIs" dxfId="1042" priority="1042" operator="greaterThan">
      <formula>0.03</formula>
    </cfRule>
    <cfRule type="cellIs" dxfId="1041" priority="1043" stopIfTrue="1" operator="lessThan">
      <formula>-0.03</formula>
    </cfRule>
  </conditionalFormatting>
  <conditionalFormatting sqref="AF106:AH106">
    <cfRule type="cellIs" dxfId="1040" priority="1040" operator="greaterThan">
      <formula>0.03</formula>
    </cfRule>
    <cfRule type="cellIs" dxfId="1039" priority="1041" stopIfTrue="1" operator="lessThan">
      <formula>-0.03</formula>
    </cfRule>
  </conditionalFormatting>
  <conditionalFormatting sqref="AF112:AH112 AF108:AH110">
    <cfRule type="cellIs" dxfId="1038" priority="1038" operator="greaterThan">
      <formula>0.03</formula>
    </cfRule>
    <cfRule type="cellIs" dxfId="1037" priority="1039" stopIfTrue="1" operator="lessThan">
      <formula>-0.03</formula>
    </cfRule>
  </conditionalFormatting>
  <conditionalFormatting sqref="AF111:AH111">
    <cfRule type="cellIs" dxfId="1036" priority="1036" operator="greaterThan">
      <formula>0.03</formula>
    </cfRule>
    <cfRule type="cellIs" dxfId="1035" priority="1037" stopIfTrue="1" operator="lessThan">
      <formula>-0.03</formula>
    </cfRule>
  </conditionalFormatting>
  <conditionalFormatting sqref="AF117:AH117 AF113:AH115">
    <cfRule type="cellIs" dxfId="1034" priority="1034" operator="greaterThan">
      <formula>0.03</formula>
    </cfRule>
    <cfRule type="cellIs" dxfId="1033" priority="1035" stopIfTrue="1" operator="lessThan">
      <formula>-0.03</formula>
    </cfRule>
  </conditionalFormatting>
  <conditionalFormatting sqref="AF116:AH116">
    <cfRule type="cellIs" dxfId="1032" priority="1032" operator="greaterThan">
      <formula>0.03</formula>
    </cfRule>
    <cfRule type="cellIs" dxfId="1031" priority="1033" stopIfTrue="1" operator="lessThan">
      <formula>-0.03</formula>
    </cfRule>
  </conditionalFormatting>
  <conditionalFormatting sqref="AF122:AH122 AF118:AH120">
    <cfRule type="cellIs" dxfId="1030" priority="1030" operator="greaterThan">
      <formula>0.03</formula>
    </cfRule>
    <cfRule type="cellIs" dxfId="1029" priority="1031" stopIfTrue="1" operator="lessThan">
      <formula>-0.03</formula>
    </cfRule>
  </conditionalFormatting>
  <conditionalFormatting sqref="AF121:AH121">
    <cfRule type="cellIs" dxfId="1028" priority="1028" operator="greaterThan">
      <formula>0.03</formula>
    </cfRule>
    <cfRule type="cellIs" dxfId="1027" priority="1029" stopIfTrue="1" operator="lessThan">
      <formula>-0.03</formula>
    </cfRule>
  </conditionalFormatting>
  <conditionalFormatting sqref="AF127:AH127 AF123:AH125">
    <cfRule type="cellIs" dxfId="1026" priority="1026" operator="greaterThan">
      <formula>0.03</formula>
    </cfRule>
    <cfRule type="cellIs" dxfId="1025" priority="1027" stopIfTrue="1" operator="lessThan">
      <formula>-0.03</formula>
    </cfRule>
  </conditionalFormatting>
  <conditionalFormatting sqref="AF126:AH126">
    <cfRule type="cellIs" dxfId="1024" priority="1024" operator="greaterThan">
      <formula>0.03</formula>
    </cfRule>
    <cfRule type="cellIs" dxfId="1023" priority="1025" stopIfTrue="1" operator="lessThan">
      <formula>-0.03</formula>
    </cfRule>
  </conditionalFormatting>
  <conditionalFormatting sqref="AF132:AH132 AF128:AH130">
    <cfRule type="cellIs" dxfId="1022" priority="1022" operator="greaterThan">
      <formula>0.03</formula>
    </cfRule>
    <cfRule type="cellIs" dxfId="1021" priority="1023" stopIfTrue="1" operator="lessThan">
      <formula>-0.03</formula>
    </cfRule>
  </conditionalFormatting>
  <conditionalFormatting sqref="AF131:AH131">
    <cfRule type="cellIs" dxfId="1020" priority="1020" operator="greaterThan">
      <formula>0.03</formula>
    </cfRule>
    <cfRule type="cellIs" dxfId="1019" priority="1021" stopIfTrue="1" operator="lessThan">
      <formula>-0.03</formula>
    </cfRule>
  </conditionalFormatting>
  <conditionalFormatting sqref="AL8:AN8 AL5:AN6">
    <cfRule type="cellIs" dxfId="1018" priority="1018" operator="greaterThan">
      <formula>0.03</formula>
    </cfRule>
    <cfRule type="cellIs" dxfId="1017" priority="1019" stopIfTrue="1" operator="lessThan">
      <formula>-0.03</formula>
    </cfRule>
  </conditionalFormatting>
  <conditionalFormatting sqref="AL156:AN156">
    <cfRule type="cellIs" dxfId="1016" priority="1010" operator="greaterThan">
      <formula>0.03</formula>
    </cfRule>
    <cfRule type="cellIs" dxfId="1015" priority="1011" stopIfTrue="1" operator="lessThan">
      <formula>-0.03</formula>
    </cfRule>
  </conditionalFormatting>
  <conditionalFormatting sqref="AL159:AN159">
    <cfRule type="cellIs" dxfId="1014" priority="1008" operator="greaterThan">
      <formula>0.03</formula>
    </cfRule>
    <cfRule type="cellIs" dxfId="1013" priority="1009" stopIfTrue="1" operator="lessThan">
      <formula>-0.03</formula>
    </cfRule>
  </conditionalFormatting>
  <conditionalFormatting sqref="AL161:AN161">
    <cfRule type="cellIs" dxfId="1012" priority="1016" operator="greaterThan">
      <formula>0.03</formula>
    </cfRule>
    <cfRule type="cellIs" dxfId="1011" priority="1017" stopIfTrue="1" operator="lessThan">
      <formula>-0.03</formula>
    </cfRule>
  </conditionalFormatting>
  <conditionalFormatting sqref="AL153:AN153 AL155:AN155">
    <cfRule type="cellIs" dxfId="1010" priority="1012" operator="greaterThan">
      <formula>0.03</formula>
    </cfRule>
    <cfRule type="cellIs" dxfId="1009" priority="1013" stopIfTrue="1" operator="lessThan">
      <formula>-0.03</formula>
    </cfRule>
  </conditionalFormatting>
  <conditionalFormatting sqref="AL157:AN158">
    <cfRule type="cellIs" dxfId="1008" priority="1014" operator="greaterThan">
      <formula>0.03</formula>
    </cfRule>
    <cfRule type="cellIs" dxfId="1007" priority="1015" stopIfTrue="1" operator="lessThan">
      <formula>-0.03</formula>
    </cfRule>
  </conditionalFormatting>
  <conditionalFormatting sqref="AL154:AN154">
    <cfRule type="cellIs" dxfId="1006" priority="1006" operator="greaterThan">
      <formula>0.03</formula>
    </cfRule>
    <cfRule type="cellIs" dxfId="1005" priority="1007" stopIfTrue="1" operator="lessThan">
      <formula>-0.03</formula>
    </cfRule>
  </conditionalFormatting>
  <conditionalFormatting sqref="AL7:AN7">
    <cfRule type="cellIs" dxfId="1004" priority="1004" operator="greaterThan">
      <formula>0.03</formula>
    </cfRule>
    <cfRule type="cellIs" dxfId="1003" priority="1005" stopIfTrue="1" operator="lessThan">
      <formula>-0.03</formula>
    </cfRule>
  </conditionalFormatting>
  <conditionalFormatting sqref="AL13:AN13 AL10:AN11">
    <cfRule type="cellIs" dxfId="1002" priority="1002" operator="greaterThan">
      <formula>0.03</formula>
    </cfRule>
    <cfRule type="cellIs" dxfId="1001" priority="1003" stopIfTrue="1" operator="lessThan">
      <formula>-0.03</formula>
    </cfRule>
  </conditionalFormatting>
  <conditionalFormatting sqref="AL12:AN12">
    <cfRule type="cellIs" dxfId="1000" priority="1000" operator="greaterThan">
      <formula>0.03</formula>
    </cfRule>
    <cfRule type="cellIs" dxfId="999" priority="1001" stopIfTrue="1" operator="lessThan">
      <formula>-0.03</formula>
    </cfRule>
  </conditionalFormatting>
  <conditionalFormatting sqref="AL18:AN18 AL15:AN16">
    <cfRule type="cellIs" dxfId="998" priority="998" operator="greaterThan">
      <formula>0.03</formula>
    </cfRule>
    <cfRule type="cellIs" dxfId="997" priority="999" stopIfTrue="1" operator="lessThan">
      <formula>-0.03</formula>
    </cfRule>
  </conditionalFormatting>
  <conditionalFormatting sqref="AL17:AN17">
    <cfRule type="cellIs" dxfId="996" priority="996" operator="greaterThan">
      <formula>0.03</formula>
    </cfRule>
    <cfRule type="cellIs" dxfId="995" priority="997" stopIfTrue="1" operator="lessThan">
      <formula>-0.03</formula>
    </cfRule>
  </conditionalFormatting>
  <conditionalFormatting sqref="AL23:AN23 AL20:AN21">
    <cfRule type="cellIs" dxfId="994" priority="994" operator="greaterThan">
      <formula>0.03</formula>
    </cfRule>
    <cfRule type="cellIs" dxfId="993" priority="995" stopIfTrue="1" operator="lessThan">
      <formula>-0.03</formula>
    </cfRule>
  </conditionalFormatting>
  <conditionalFormatting sqref="AL22:AN22">
    <cfRule type="cellIs" dxfId="992" priority="992" operator="greaterThan">
      <formula>0.03</formula>
    </cfRule>
    <cfRule type="cellIs" dxfId="991" priority="993" stopIfTrue="1" operator="lessThan">
      <formula>-0.03</formula>
    </cfRule>
  </conditionalFormatting>
  <conditionalFormatting sqref="AL28:AN28 AL25:AN26">
    <cfRule type="cellIs" dxfId="990" priority="990" operator="greaterThan">
      <formula>0.03</formula>
    </cfRule>
    <cfRule type="cellIs" dxfId="989" priority="991" stopIfTrue="1" operator="lessThan">
      <formula>-0.03</formula>
    </cfRule>
  </conditionalFormatting>
  <conditionalFormatting sqref="AL27:AN27">
    <cfRule type="cellIs" dxfId="988" priority="988" operator="greaterThan">
      <formula>0.03</formula>
    </cfRule>
    <cfRule type="cellIs" dxfId="987" priority="989" stopIfTrue="1" operator="lessThan">
      <formula>-0.03</formula>
    </cfRule>
  </conditionalFormatting>
  <conditionalFormatting sqref="AL33:AN33 AL30:AN31">
    <cfRule type="cellIs" dxfId="986" priority="986" operator="greaterThan">
      <formula>0.03</formula>
    </cfRule>
    <cfRule type="cellIs" dxfId="985" priority="987" stopIfTrue="1" operator="lessThan">
      <formula>-0.03</formula>
    </cfRule>
  </conditionalFormatting>
  <conditionalFormatting sqref="AL32:AN32">
    <cfRule type="cellIs" dxfId="984" priority="984" operator="greaterThan">
      <formula>0.03</formula>
    </cfRule>
    <cfRule type="cellIs" dxfId="983" priority="985" stopIfTrue="1" operator="lessThan">
      <formula>-0.03</formula>
    </cfRule>
  </conditionalFormatting>
  <conditionalFormatting sqref="AL38:AN38 AL35:AN36">
    <cfRule type="cellIs" dxfId="982" priority="982" operator="greaterThan">
      <formula>0.03</formula>
    </cfRule>
    <cfRule type="cellIs" dxfId="981" priority="983" stopIfTrue="1" operator="lessThan">
      <formula>-0.03</formula>
    </cfRule>
  </conditionalFormatting>
  <conditionalFormatting sqref="AL37:AN37">
    <cfRule type="cellIs" dxfId="980" priority="980" operator="greaterThan">
      <formula>0.03</formula>
    </cfRule>
    <cfRule type="cellIs" dxfId="979" priority="981" stopIfTrue="1" operator="lessThan">
      <formula>-0.03</formula>
    </cfRule>
  </conditionalFormatting>
  <conditionalFormatting sqref="AL43:AN43 AL40:AN41">
    <cfRule type="cellIs" dxfId="978" priority="978" operator="greaterThan">
      <formula>0.03</formula>
    </cfRule>
    <cfRule type="cellIs" dxfId="977" priority="979" stopIfTrue="1" operator="lessThan">
      <formula>-0.03</formula>
    </cfRule>
  </conditionalFormatting>
  <conditionalFormatting sqref="AL42:AN42">
    <cfRule type="cellIs" dxfId="976" priority="976" operator="greaterThan">
      <formula>0.03</formula>
    </cfRule>
    <cfRule type="cellIs" dxfId="975" priority="977" stopIfTrue="1" operator="lessThan">
      <formula>-0.03</formula>
    </cfRule>
  </conditionalFormatting>
  <conditionalFormatting sqref="AL48:AN48 AL45:AN46">
    <cfRule type="cellIs" dxfId="974" priority="974" operator="greaterThan">
      <formula>0.03</formula>
    </cfRule>
    <cfRule type="cellIs" dxfId="973" priority="975" stopIfTrue="1" operator="lessThan">
      <formula>-0.03</formula>
    </cfRule>
  </conditionalFormatting>
  <conditionalFormatting sqref="AL47:AN47">
    <cfRule type="cellIs" dxfId="972" priority="972" operator="greaterThan">
      <formula>0.03</formula>
    </cfRule>
    <cfRule type="cellIs" dxfId="971" priority="973" stopIfTrue="1" operator="lessThan">
      <formula>-0.03</formula>
    </cfRule>
  </conditionalFormatting>
  <conditionalFormatting sqref="AL53:AN53 AL50:AN51">
    <cfRule type="cellIs" dxfId="970" priority="970" operator="greaterThan">
      <formula>0.03</formula>
    </cfRule>
    <cfRule type="cellIs" dxfId="969" priority="971" stopIfTrue="1" operator="lessThan">
      <formula>-0.03</formula>
    </cfRule>
  </conditionalFormatting>
  <conditionalFormatting sqref="AL52:AN52">
    <cfRule type="cellIs" dxfId="968" priority="968" operator="greaterThan">
      <formula>0.03</formula>
    </cfRule>
    <cfRule type="cellIs" dxfId="967" priority="969" stopIfTrue="1" operator="lessThan">
      <formula>-0.03</formula>
    </cfRule>
  </conditionalFormatting>
  <conditionalFormatting sqref="AL58:AN58 AL55:AN56">
    <cfRule type="cellIs" dxfId="966" priority="966" operator="greaterThan">
      <formula>0.03</formula>
    </cfRule>
    <cfRule type="cellIs" dxfId="965" priority="967" stopIfTrue="1" operator="lessThan">
      <formula>-0.03</formula>
    </cfRule>
  </conditionalFormatting>
  <conditionalFormatting sqref="AL57:AN57">
    <cfRule type="cellIs" dxfId="964" priority="964" operator="greaterThan">
      <formula>0.03</formula>
    </cfRule>
    <cfRule type="cellIs" dxfId="963" priority="965" stopIfTrue="1" operator="lessThan">
      <formula>-0.03</formula>
    </cfRule>
  </conditionalFormatting>
  <conditionalFormatting sqref="AL63:AN63 AL60:AN61">
    <cfRule type="cellIs" dxfId="962" priority="962" operator="greaterThan">
      <formula>0.03</formula>
    </cfRule>
    <cfRule type="cellIs" dxfId="961" priority="963" stopIfTrue="1" operator="lessThan">
      <formula>-0.03</formula>
    </cfRule>
  </conditionalFormatting>
  <conditionalFormatting sqref="AL62:AN62">
    <cfRule type="cellIs" dxfId="960" priority="960" operator="greaterThan">
      <formula>0.03</formula>
    </cfRule>
    <cfRule type="cellIs" dxfId="959" priority="961" stopIfTrue="1" operator="lessThan">
      <formula>-0.03</formula>
    </cfRule>
  </conditionalFormatting>
  <conditionalFormatting sqref="AL68:AN68 AL65:AN66">
    <cfRule type="cellIs" dxfId="958" priority="958" operator="greaterThan">
      <formula>0.03</formula>
    </cfRule>
    <cfRule type="cellIs" dxfId="957" priority="959" stopIfTrue="1" operator="lessThan">
      <formula>-0.03</formula>
    </cfRule>
  </conditionalFormatting>
  <conditionalFormatting sqref="AL67:AN67">
    <cfRule type="cellIs" dxfId="956" priority="956" operator="greaterThan">
      <formula>0.03</formula>
    </cfRule>
    <cfRule type="cellIs" dxfId="955" priority="957" stopIfTrue="1" operator="lessThan">
      <formula>-0.03</formula>
    </cfRule>
  </conditionalFormatting>
  <conditionalFormatting sqref="AL73:AN73 AL70:AN71">
    <cfRule type="cellIs" dxfId="954" priority="954" operator="greaterThan">
      <formula>0.03</formula>
    </cfRule>
    <cfRule type="cellIs" dxfId="953" priority="955" stopIfTrue="1" operator="lessThan">
      <formula>-0.03</formula>
    </cfRule>
  </conditionalFormatting>
  <conditionalFormatting sqref="AL72:AN72">
    <cfRule type="cellIs" dxfId="952" priority="952" operator="greaterThan">
      <formula>0.03</formula>
    </cfRule>
    <cfRule type="cellIs" dxfId="951" priority="953" stopIfTrue="1" operator="lessThan">
      <formula>-0.03</formula>
    </cfRule>
  </conditionalFormatting>
  <conditionalFormatting sqref="AL78:AN78 AL75:AN76">
    <cfRule type="cellIs" dxfId="950" priority="950" operator="greaterThan">
      <formula>0.03</formula>
    </cfRule>
    <cfRule type="cellIs" dxfId="949" priority="951" stopIfTrue="1" operator="lessThan">
      <formula>-0.03</formula>
    </cfRule>
  </conditionalFormatting>
  <conditionalFormatting sqref="AL77:AN77">
    <cfRule type="cellIs" dxfId="948" priority="948" operator="greaterThan">
      <formula>0.03</formula>
    </cfRule>
    <cfRule type="cellIs" dxfId="947" priority="949" stopIfTrue="1" operator="lessThan">
      <formula>-0.03</formula>
    </cfRule>
  </conditionalFormatting>
  <conditionalFormatting sqref="AL83:AN83 AL80:AN81">
    <cfRule type="cellIs" dxfId="946" priority="946" operator="greaterThan">
      <formula>0.03</formula>
    </cfRule>
    <cfRule type="cellIs" dxfId="945" priority="947" stopIfTrue="1" operator="lessThan">
      <formula>-0.03</formula>
    </cfRule>
  </conditionalFormatting>
  <conditionalFormatting sqref="AL82:AN82">
    <cfRule type="cellIs" dxfId="944" priority="944" operator="greaterThan">
      <formula>0.03</formula>
    </cfRule>
    <cfRule type="cellIs" dxfId="943" priority="945" stopIfTrue="1" operator="lessThan">
      <formula>-0.03</formula>
    </cfRule>
  </conditionalFormatting>
  <conditionalFormatting sqref="AL88:AN88 AL85:AN86">
    <cfRule type="cellIs" dxfId="942" priority="942" operator="greaterThan">
      <formula>0.03</formula>
    </cfRule>
    <cfRule type="cellIs" dxfId="941" priority="943" stopIfTrue="1" operator="lessThan">
      <formula>-0.03</formula>
    </cfRule>
  </conditionalFormatting>
  <conditionalFormatting sqref="AL87:AN87">
    <cfRule type="cellIs" dxfId="940" priority="940" operator="greaterThan">
      <formula>0.03</formula>
    </cfRule>
    <cfRule type="cellIs" dxfId="939" priority="941" stopIfTrue="1" operator="lessThan">
      <formula>-0.03</formula>
    </cfRule>
  </conditionalFormatting>
  <conditionalFormatting sqref="AL93:AN93 AL90:AN91">
    <cfRule type="cellIs" dxfId="938" priority="938" operator="greaterThan">
      <formula>0.03</formula>
    </cfRule>
    <cfRule type="cellIs" dxfId="937" priority="939" stopIfTrue="1" operator="lessThan">
      <formula>-0.03</formula>
    </cfRule>
  </conditionalFormatting>
  <conditionalFormatting sqref="AL92:AN92">
    <cfRule type="cellIs" dxfId="936" priority="936" operator="greaterThan">
      <formula>0.03</formula>
    </cfRule>
    <cfRule type="cellIs" dxfId="935" priority="937" stopIfTrue="1" operator="lessThan">
      <formula>-0.03</formula>
    </cfRule>
  </conditionalFormatting>
  <conditionalFormatting sqref="AL98:AN98 AL95:AN96">
    <cfRule type="cellIs" dxfId="934" priority="934" operator="greaterThan">
      <formula>0.03</formula>
    </cfRule>
    <cfRule type="cellIs" dxfId="933" priority="935" stopIfTrue="1" operator="lessThan">
      <formula>-0.03</formula>
    </cfRule>
  </conditionalFormatting>
  <conditionalFormatting sqref="AL97:AN97">
    <cfRule type="cellIs" dxfId="932" priority="932" operator="greaterThan">
      <formula>0.03</formula>
    </cfRule>
    <cfRule type="cellIs" dxfId="931" priority="933" stopIfTrue="1" operator="lessThan">
      <formula>-0.03</formula>
    </cfRule>
  </conditionalFormatting>
  <conditionalFormatting sqref="AL103:AN103 AL100:AN101">
    <cfRule type="cellIs" dxfId="930" priority="930" operator="greaterThan">
      <formula>0.03</formula>
    </cfRule>
    <cfRule type="cellIs" dxfId="929" priority="931" stopIfTrue="1" operator="lessThan">
      <formula>-0.03</formula>
    </cfRule>
  </conditionalFormatting>
  <conditionalFormatting sqref="AL102:AN102">
    <cfRule type="cellIs" dxfId="928" priority="928" operator="greaterThan">
      <formula>0.03</formula>
    </cfRule>
    <cfRule type="cellIs" dxfId="927" priority="929" stopIfTrue="1" operator="lessThan">
      <formula>-0.03</formula>
    </cfRule>
  </conditionalFormatting>
  <conditionalFormatting sqref="AL108:AN108 AL105:AN106">
    <cfRule type="cellIs" dxfId="926" priority="926" operator="greaterThan">
      <formula>0.03</formula>
    </cfRule>
    <cfRule type="cellIs" dxfId="925" priority="927" stopIfTrue="1" operator="lessThan">
      <formula>-0.03</formula>
    </cfRule>
  </conditionalFormatting>
  <conditionalFormatting sqref="AL107:AN107">
    <cfRule type="cellIs" dxfId="924" priority="924" operator="greaterThan">
      <formula>0.03</formula>
    </cfRule>
    <cfRule type="cellIs" dxfId="923" priority="925" stopIfTrue="1" operator="lessThan">
      <formula>-0.03</formula>
    </cfRule>
  </conditionalFormatting>
  <conditionalFormatting sqref="AL113:AN113 AL110:AN111">
    <cfRule type="cellIs" dxfId="922" priority="922" operator="greaterThan">
      <formula>0.03</formula>
    </cfRule>
    <cfRule type="cellIs" dxfId="921" priority="923" stopIfTrue="1" operator="lessThan">
      <formula>-0.03</formula>
    </cfRule>
  </conditionalFormatting>
  <conditionalFormatting sqref="AL112:AN112">
    <cfRule type="cellIs" dxfId="920" priority="920" operator="greaterThan">
      <formula>0.03</formula>
    </cfRule>
    <cfRule type="cellIs" dxfId="919" priority="921" stopIfTrue="1" operator="lessThan">
      <formula>-0.03</formula>
    </cfRule>
  </conditionalFormatting>
  <conditionalFormatting sqref="AL118:AN118 AL115:AN116">
    <cfRule type="cellIs" dxfId="918" priority="918" operator="greaterThan">
      <formula>0.03</formula>
    </cfRule>
    <cfRule type="cellIs" dxfId="917" priority="919" stopIfTrue="1" operator="lessThan">
      <formula>-0.03</formula>
    </cfRule>
  </conditionalFormatting>
  <conditionalFormatting sqref="AL117:AN117">
    <cfRule type="cellIs" dxfId="916" priority="916" operator="greaterThan">
      <formula>0.03</formula>
    </cfRule>
    <cfRule type="cellIs" dxfId="915" priority="917" stopIfTrue="1" operator="lessThan">
      <formula>-0.03</formula>
    </cfRule>
  </conditionalFormatting>
  <conditionalFormatting sqref="AL123:AN123 AL120:AN121">
    <cfRule type="cellIs" dxfId="914" priority="914" operator="greaterThan">
      <formula>0.03</formula>
    </cfRule>
    <cfRule type="cellIs" dxfId="913" priority="915" stopIfTrue="1" operator="lessThan">
      <formula>-0.03</formula>
    </cfRule>
  </conditionalFormatting>
  <conditionalFormatting sqref="AL122:AN122">
    <cfRule type="cellIs" dxfId="912" priority="912" operator="greaterThan">
      <formula>0.03</formula>
    </cfRule>
    <cfRule type="cellIs" dxfId="911" priority="913" stopIfTrue="1" operator="lessThan">
      <formula>-0.03</formula>
    </cfRule>
  </conditionalFormatting>
  <conditionalFormatting sqref="AL128:AN128 AL125:AN126">
    <cfRule type="cellIs" dxfId="910" priority="910" operator="greaterThan">
      <formula>0.03</formula>
    </cfRule>
    <cfRule type="cellIs" dxfId="909" priority="911" stopIfTrue="1" operator="lessThan">
      <formula>-0.03</formula>
    </cfRule>
  </conditionalFormatting>
  <conditionalFormatting sqref="AL127:AN127">
    <cfRule type="cellIs" dxfId="908" priority="908" operator="greaterThan">
      <formula>0.03</formula>
    </cfRule>
    <cfRule type="cellIs" dxfId="907" priority="909" stopIfTrue="1" operator="lessThan">
      <formula>-0.03</formula>
    </cfRule>
  </conditionalFormatting>
  <conditionalFormatting sqref="AL130:AN132">
    <cfRule type="cellIs" dxfId="906" priority="906" operator="greaterThan">
      <formula>0.03</formula>
    </cfRule>
    <cfRule type="cellIs" dxfId="905" priority="907" stopIfTrue="1" operator="lessThan">
      <formula>-0.03</formula>
    </cfRule>
  </conditionalFormatting>
  <conditionalFormatting sqref="AR7:AS7">
    <cfRule type="cellIs" dxfId="904" priority="904" operator="greaterThan">
      <formula>0.03</formula>
    </cfRule>
    <cfRule type="cellIs" dxfId="903" priority="905" stopIfTrue="1" operator="lessThan">
      <formula>-0.03</formula>
    </cfRule>
  </conditionalFormatting>
  <conditionalFormatting sqref="AR156:AT156">
    <cfRule type="cellIs" dxfId="902" priority="896" operator="greaterThan">
      <formula>0.03</formula>
    </cfRule>
    <cfRule type="cellIs" dxfId="901" priority="897" stopIfTrue="1" operator="lessThan">
      <formula>-0.03</formula>
    </cfRule>
  </conditionalFormatting>
  <conditionalFormatting sqref="AR159:AT159">
    <cfRule type="cellIs" dxfId="900" priority="894" operator="greaterThan">
      <formula>0.03</formula>
    </cfRule>
    <cfRule type="cellIs" dxfId="899" priority="895" stopIfTrue="1" operator="lessThan">
      <formula>-0.03</formula>
    </cfRule>
  </conditionalFormatting>
  <conditionalFormatting sqref="AR161:AT161">
    <cfRule type="cellIs" dxfId="898" priority="902" operator="greaterThan">
      <formula>0.03</formula>
    </cfRule>
    <cfRule type="cellIs" dxfId="897" priority="903" stopIfTrue="1" operator="lessThan">
      <formula>-0.03</formula>
    </cfRule>
  </conditionalFormatting>
  <conditionalFormatting sqref="AR155:AT155 AR153:AT153">
    <cfRule type="cellIs" dxfId="896" priority="898" operator="greaterThan">
      <formula>0.03</formula>
    </cfRule>
    <cfRule type="cellIs" dxfId="895" priority="899" stopIfTrue="1" operator="lessThan">
      <formula>-0.03</formula>
    </cfRule>
  </conditionalFormatting>
  <conditionalFormatting sqref="AR157:AT158">
    <cfRule type="cellIs" dxfId="894" priority="900" operator="greaterThan">
      <formula>0.03</formula>
    </cfRule>
    <cfRule type="cellIs" dxfId="893" priority="901" stopIfTrue="1" operator="lessThan">
      <formula>-0.03</formula>
    </cfRule>
  </conditionalFormatting>
  <conditionalFormatting sqref="AR154:AT154">
    <cfRule type="cellIs" dxfId="892" priority="892" operator="greaterThan">
      <formula>0.03</formula>
    </cfRule>
    <cfRule type="cellIs" dxfId="891" priority="893" stopIfTrue="1" operator="lessThan">
      <formula>-0.03</formula>
    </cfRule>
  </conditionalFormatting>
  <conditionalFormatting sqref="AR3:AT3">
    <cfRule type="cellIs" dxfId="890" priority="890" operator="greaterThan">
      <formula>0.03</formula>
    </cfRule>
    <cfRule type="cellIs" dxfId="889" priority="891" stopIfTrue="1" operator="lessThan">
      <formula>-0.03</formula>
    </cfRule>
  </conditionalFormatting>
  <conditionalFormatting sqref="AR12:AS12">
    <cfRule type="cellIs" dxfId="888" priority="888" operator="greaterThan">
      <formula>0.03</formula>
    </cfRule>
    <cfRule type="cellIs" dxfId="887" priority="889" stopIfTrue="1" operator="lessThan">
      <formula>-0.03</formula>
    </cfRule>
  </conditionalFormatting>
  <conditionalFormatting sqref="AR8:AT8">
    <cfRule type="cellIs" dxfId="886" priority="886" operator="greaterThan">
      <formula>0.03</formula>
    </cfRule>
    <cfRule type="cellIs" dxfId="885" priority="887" stopIfTrue="1" operator="lessThan">
      <formula>-0.03</formula>
    </cfRule>
  </conditionalFormatting>
  <conditionalFormatting sqref="AR17:AS17">
    <cfRule type="cellIs" dxfId="884" priority="884" operator="greaterThan">
      <formula>0.03</formula>
    </cfRule>
    <cfRule type="cellIs" dxfId="883" priority="885" stopIfTrue="1" operator="lessThan">
      <formula>-0.03</formula>
    </cfRule>
  </conditionalFormatting>
  <conditionalFormatting sqref="AR13:AT13">
    <cfRule type="cellIs" dxfId="882" priority="882" operator="greaterThan">
      <formula>0.03</formula>
    </cfRule>
    <cfRule type="cellIs" dxfId="881" priority="883" stopIfTrue="1" operator="lessThan">
      <formula>-0.03</formula>
    </cfRule>
  </conditionalFormatting>
  <conditionalFormatting sqref="AR22:AS22">
    <cfRule type="cellIs" dxfId="880" priority="880" operator="greaterThan">
      <formula>0.03</formula>
    </cfRule>
    <cfRule type="cellIs" dxfId="879" priority="881" stopIfTrue="1" operator="lessThan">
      <formula>-0.03</formula>
    </cfRule>
  </conditionalFormatting>
  <conditionalFormatting sqref="AR18:AT18">
    <cfRule type="cellIs" dxfId="878" priority="878" operator="greaterThan">
      <formula>0.03</formula>
    </cfRule>
    <cfRule type="cellIs" dxfId="877" priority="879" stopIfTrue="1" operator="lessThan">
      <formula>-0.03</formula>
    </cfRule>
  </conditionalFormatting>
  <conditionalFormatting sqref="AR27:AS27">
    <cfRule type="cellIs" dxfId="876" priority="876" operator="greaterThan">
      <formula>0.03</formula>
    </cfRule>
    <cfRule type="cellIs" dxfId="875" priority="877" stopIfTrue="1" operator="lessThan">
      <formula>-0.03</formula>
    </cfRule>
  </conditionalFormatting>
  <conditionalFormatting sqref="AR23:AT23">
    <cfRule type="cellIs" dxfId="874" priority="874" operator="greaterThan">
      <formula>0.03</formula>
    </cfRule>
    <cfRule type="cellIs" dxfId="873" priority="875" stopIfTrue="1" operator="lessThan">
      <formula>-0.03</formula>
    </cfRule>
  </conditionalFormatting>
  <conditionalFormatting sqref="AR32:AS32">
    <cfRule type="cellIs" dxfId="872" priority="872" operator="greaterThan">
      <formula>0.03</formula>
    </cfRule>
    <cfRule type="cellIs" dxfId="871" priority="873" stopIfTrue="1" operator="lessThan">
      <formula>-0.03</formula>
    </cfRule>
  </conditionalFormatting>
  <conditionalFormatting sqref="AR28:AT28">
    <cfRule type="cellIs" dxfId="870" priority="870" operator="greaterThan">
      <formula>0.03</formula>
    </cfRule>
    <cfRule type="cellIs" dxfId="869" priority="871" stopIfTrue="1" operator="lessThan">
      <formula>-0.03</formula>
    </cfRule>
  </conditionalFormatting>
  <conditionalFormatting sqref="AR37:AS37">
    <cfRule type="cellIs" dxfId="868" priority="868" operator="greaterThan">
      <formula>0.03</formula>
    </cfRule>
    <cfRule type="cellIs" dxfId="867" priority="869" stopIfTrue="1" operator="lessThan">
      <formula>-0.03</formula>
    </cfRule>
  </conditionalFormatting>
  <conditionalFormatting sqref="AR33:AT33">
    <cfRule type="cellIs" dxfId="866" priority="866" operator="greaterThan">
      <formula>0.03</formula>
    </cfRule>
    <cfRule type="cellIs" dxfId="865" priority="867" stopIfTrue="1" operator="lessThan">
      <formula>-0.03</formula>
    </cfRule>
  </conditionalFormatting>
  <conditionalFormatting sqref="AR42:AS42">
    <cfRule type="cellIs" dxfId="864" priority="864" operator="greaterThan">
      <formula>0.03</formula>
    </cfRule>
    <cfRule type="cellIs" dxfId="863" priority="865" stopIfTrue="1" operator="lessThan">
      <formula>-0.03</formula>
    </cfRule>
  </conditionalFormatting>
  <conditionalFormatting sqref="AR38:AT38">
    <cfRule type="cellIs" dxfId="862" priority="862" operator="greaterThan">
      <formula>0.03</formula>
    </cfRule>
    <cfRule type="cellIs" dxfId="861" priority="863" stopIfTrue="1" operator="lessThan">
      <formula>-0.03</formula>
    </cfRule>
  </conditionalFormatting>
  <conditionalFormatting sqref="AR47:AS47">
    <cfRule type="cellIs" dxfId="860" priority="860" operator="greaterThan">
      <formula>0.03</formula>
    </cfRule>
    <cfRule type="cellIs" dxfId="859" priority="861" stopIfTrue="1" operator="lessThan">
      <formula>-0.03</formula>
    </cfRule>
  </conditionalFormatting>
  <conditionalFormatting sqref="AR43:AT43">
    <cfRule type="cellIs" dxfId="858" priority="858" operator="greaterThan">
      <formula>0.03</formula>
    </cfRule>
    <cfRule type="cellIs" dxfId="857" priority="859" stopIfTrue="1" operator="lessThan">
      <formula>-0.03</formula>
    </cfRule>
  </conditionalFormatting>
  <conditionalFormatting sqref="AR52:AS52">
    <cfRule type="cellIs" dxfId="856" priority="856" operator="greaterThan">
      <formula>0.03</formula>
    </cfRule>
    <cfRule type="cellIs" dxfId="855" priority="857" stopIfTrue="1" operator="lessThan">
      <formula>-0.03</formula>
    </cfRule>
  </conditionalFormatting>
  <conditionalFormatting sqref="AR48:AT48">
    <cfRule type="cellIs" dxfId="854" priority="854" operator="greaterThan">
      <formula>0.03</formula>
    </cfRule>
    <cfRule type="cellIs" dxfId="853" priority="855" stopIfTrue="1" operator="lessThan">
      <formula>-0.03</formula>
    </cfRule>
  </conditionalFormatting>
  <conditionalFormatting sqref="AR57:AS57">
    <cfRule type="cellIs" dxfId="852" priority="852" operator="greaterThan">
      <formula>0.03</formula>
    </cfRule>
    <cfRule type="cellIs" dxfId="851" priority="853" stopIfTrue="1" operator="lessThan">
      <formula>-0.03</formula>
    </cfRule>
  </conditionalFormatting>
  <conditionalFormatting sqref="AR53:AT53">
    <cfRule type="cellIs" dxfId="850" priority="850" operator="greaterThan">
      <formula>0.03</formula>
    </cfRule>
    <cfRule type="cellIs" dxfId="849" priority="851" stopIfTrue="1" operator="lessThan">
      <formula>-0.03</formula>
    </cfRule>
  </conditionalFormatting>
  <conditionalFormatting sqref="AR62:AS62">
    <cfRule type="cellIs" dxfId="848" priority="848" operator="greaterThan">
      <formula>0.03</formula>
    </cfRule>
    <cfRule type="cellIs" dxfId="847" priority="849" stopIfTrue="1" operator="lessThan">
      <formula>-0.03</formula>
    </cfRule>
  </conditionalFormatting>
  <conditionalFormatting sqref="AR58:AT58">
    <cfRule type="cellIs" dxfId="846" priority="846" operator="greaterThan">
      <formula>0.03</formula>
    </cfRule>
    <cfRule type="cellIs" dxfId="845" priority="847" stopIfTrue="1" operator="lessThan">
      <formula>-0.03</formula>
    </cfRule>
  </conditionalFormatting>
  <conditionalFormatting sqref="AR67:AS67">
    <cfRule type="cellIs" dxfId="844" priority="844" operator="greaterThan">
      <formula>0.03</formula>
    </cfRule>
    <cfRule type="cellIs" dxfId="843" priority="845" stopIfTrue="1" operator="lessThan">
      <formula>-0.03</formula>
    </cfRule>
  </conditionalFormatting>
  <conditionalFormatting sqref="AR63:AT63">
    <cfRule type="cellIs" dxfId="842" priority="842" operator="greaterThan">
      <formula>0.03</formula>
    </cfRule>
    <cfRule type="cellIs" dxfId="841" priority="843" stopIfTrue="1" operator="lessThan">
      <formula>-0.03</formula>
    </cfRule>
  </conditionalFormatting>
  <conditionalFormatting sqref="AR72:AS72">
    <cfRule type="cellIs" dxfId="840" priority="840" operator="greaterThan">
      <formula>0.03</formula>
    </cfRule>
    <cfRule type="cellIs" dxfId="839" priority="841" stopIfTrue="1" operator="lessThan">
      <formula>-0.03</formula>
    </cfRule>
  </conditionalFormatting>
  <conditionalFormatting sqref="AR68:AT68">
    <cfRule type="cellIs" dxfId="838" priority="838" operator="greaterThan">
      <formula>0.03</formula>
    </cfRule>
    <cfRule type="cellIs" dxfId="837" priority="839" stopIfTrue="1" operator="lessThan">
      <formula>-0.03</formula>
    </cfRule>
  </conditionalFormatting>
  <conditionalFormatting sqref="AR77:AS77">
    <cfRule type="cellIs" dxfId="836" priority="836" operator="greaterThan">
      <formula>0.03</formula>
    </cfRule>
    <cfRule type="cellIs" dxfId="835" priority="837" stopIfTrue="1" operator="lessThan">
      <formula>-0.03</formula>
    </cfRule>
  </conditionalFormatting>
  <conditionalFormatting sqref="AR73:AT73">
    <cfRule type="cellIs" dxfId="834" priority="834" operator="greaterThan">
      <formula>0.03</formula>
    </cfRule>
    <cfRule type="cellIs" dxfId="833" priority="835" stopIfTrue="1" operator="lessThan">
      <formula>-0.03</formula>
    </cfRule>
  </conditionalFormatting>
  <conditionalFormatting sqref="AR82:AS82">
    <cfRule type="cellIs" dxfId="832" priority="832" operator="greaterThan">
      <formula>0.03</formula>
    </cfRule>
    <cfRule type="cellIs" dxfId="831" priority="833" stopIfTrue="1" operator="lessThan">
      <formula>-0.03</formula>
    </cfRule>
  </conditionalFormatting>
  <conditionalFormatting sqref="AR78:AT78">
    <cfRule type="cellIs" dxfId="830" priority="830" operator="greaterThan">
      <formula>0.03</formula>
    </cfRule>
    <cfRule type="cellIs" dxfId="829" priority="831" stopIfTrue="1" operator="lessThan">
      <formula>-0.03</formula>
    </cfRule>
  </conditionalFormatting>
  <conditionalFormatting sqref="AR87:AS87">
    <cfRule type="cellIs" dxfId="828" priority="828" operator="greaterThan">
      <formula>0.03</formula>
    </cfRule>
    <cfRule type="cellIs" dxfId="827" priority="829" stopIfTrue="1" operator="lessThan">
      <formula>-0.03</formula>
    </cfRule>
  </conditionalFormatting>
  <conditionalFormatting sqref="AR83:AT83">
    <cfRule type="cellIs" dxfId="826" priority="826" operator="greaterThan">
      <formula>0.03</formula>
    </cfRule>
    <cfRule type="cellIs" dxfId="825" priority="827" stopIfTrue="1" operator="lessThan">
      <formula>-0.03</formula>
    </cfRule>
  </conditionalFormatting>
  <conditionalFormatting sqref="AR92:AS92">
    <cfRule type="cellIs" dxfId="824" priority="824" operator="greaterThan">
      <formula>0.03</formula>
    </cfRule>
    <cfRule type="cellIs" dxfId="823" priority="825" stopIfTrue="1" operator="lessThan">
      <formula>-0.03</formula>
    </cfRule>
  </conditionalFormatting>
  <conditionalFormatting sqref="AR88:AT88">
    <cfRule type="cellIs" dxfId="822" priority="822" operator="greaterThan">
      <formula>0.03</formula>
    </cfRule>
    <cfRule type="cellIs" dxfId="821" priority="823" stopIfTrue="1" operator="lessThan">
      <formula>-0.03</formula>
    </cfRule>
  </conditionalFormatting>
  <conditionalFormatting sqref="AR97:AS97">
    <cfRule type="cellIs" dxfId="820" priority="820" operator="greaterThan">
      <formula>0.03</formula>
    </cfRule>
    <cfRule type="cellIs" dxfId="819" priority="821" stopIfTrue="1" operator="lessThan">
      <formula>-0.03</formula>
    </cfRule>
  </conditionalFormatting>
  <conditionalFormatting sqref="AR93:AT93">
    <cfRule type="cellIs" dxfId="818" priority="818" operator="greaterThan">
      <formula>0.03</formula>
    </cfRule>
    <cfRule type="cellIs" dxfId="817" priority="819" stopIfTrue="1" operator="lessThan">
      <formula>-0.03</formula>
    </cfRule>
  </conditionalFormatting>
  <conditionalFormatting sqref="AR102:AS102">
    <cfRule type="cellIs" dxfId="816" priority="816" operator="greaterThan">
      <formula>0.03</formula>
    </cfRule>
    <cfRule type="cellIs" dxfId="815" priority="817" stopIfTrue="1" operator="lessThan">
      <formula>-0.03</formula>
    </cfRule>
  </conditionalFormatting>
  <conditionalFormatting sqref="AR98:AT98">
    <cfRule type="cellIs" dxfId="814" priority="814" operator="greaterThan">
      <formula>0.03</formula>
    </cfRule>
    <cfRule type="cellIs" dxfId="813" priority="815" stopIfTrue="1" operator="lessThan">
      <formula>-0.03</formula>
    </cfRule>
  </conditionalFormatting>
  <conditionalFormatting sqref="AR107:AS107">
    <cfRule type="cellIs" dxfId="812" priority="812" operator="greaterThan">
      <formula>0.03</formula>
    </cfRule>
    <cfRule type="cellIs" dxfId="811" priority="813" stopIfTrue="1" operator="lessThan">
      <formula>-0.03</formula>
    </cfRule>
  </conditionalFormatting>
  <conditionalFormatting sqref="AR103:AT103">
    <cfRule type="cellIs" dxfId="810" priority="810" operator="greaterThan">
      <formula>0.03</formula>
    </cfRule>
    <cfRule type="cellIs" dxfId="809" priority="811" stopIfTrue="1" operator="lessThan">
      <formula>-0.03</formula>
    </cfRule>
  </conditionalFormatting>
  <conditionalFormatting sqref="AR112:AS112">
    <cfRule type="cellIs" dxfId="808" priority="808" operator="greaterThan">
      <formula>0.03</formula>
    </cfRule>
    <cfRule type="cellIs" dxfId="807" priority="809" stopIfTrue="1" operator="lessThan">
      <formula>-0.03</formula>
    </cfRule>
  </conditionalFormatting>
  <conditionalFormatting sqref="AR108:AT108">
    <cfRule type="cellIs" dxfId="806" priority="806" operator="greaterThan">
      <formula>0.03</formula>
    </cfRule>
    <cfRule type="cellIs" dxfId="805" priority="807" stopIfTrue="1" operator="lessThan">
      <formula>-0.03</formula>
    </cfRule>
  </conditionalFormatting>
  <conditionalFormatting sqref="AR117:AS117">
    <cfRule type="cellIs" dxfId="804" priority="804" operator="greaterThan">
      <formula>0.03</formula>
    </cfRule>
    <cfRule type="cellIs" dxfId="803" priority="805" stopIfTrue="1" operator="lessThan">
      <formula>-0.03</formula>
    </cfRule>
  </conditionalFormatting>
  <conditionalFormatting sqref="AR113:AT113">
    <cfRule type="cellIs" dxfId="802" priority="802" operator="greaterThan">
      <formula>0.03</formula>
    </cfRule>
    <cfRule type="cellIs" dxfId="801" priority="803" stopIfTrue="1" operator="lessThan">
      <formula>-0.03</formula>
    </cfRule>
  </conditionalFormatting>
  <conditionalFormatting sqref="AR122:AS122">
    <cfRule type="cellIs" dxfId="800" priority="800" operator="greaterThan">
      <formula>0.03</formula>
    </cfRule>
    <cfRule type="cellIs" dxfId="799" priority="801" stopIfTrue="1" operator="lessThan">
      <formula>-0.03</formula>
    </cfRule>
  </conditionalFormatting>
  <conditionalFormatting sqref="AR118:AT118">
    <cfRule type="cellIs" dxfId="798" priority="798" operator="greaterThan">
      <formula>0.03</formula>
    </cfRule>
    <cfRule type="cellIs" dxfId="797" priority="799" stopIfTrue="1" operator="lessThan">
      <formula>-0.03</formula>
    </cfRule>
  </conditionalFormatting>
  <conditionalFormatting sqref="AR127:AS127">
    <cfRule type="cellIs" dxfId="796" priority="796" operator="greaterThan">
      <formula>0.03</formula>
    </cfRule>
    <cfRule type="cellIs" dxfId="795" priority="797" stopIfTrue="1" operator="lessThan">
      <formula>-0.03</formula>
    </cfRule>
  </conditionalFormatting>
  <conditionalFormatting sqref="AR123:AT123">
    <cfRule type="cellIs" dxfId="794" priority="794" operator="greaterThan">
      <formula>0.03</formula>
    </cfRule>
    <cfRule type="cellIs" dxfId="793" priority="795" stopIfTrue="1" operator="lessThan">
      <formula>-0.03</formula>
    </cfRule>
  </conditionalFormatting>
  <conditionalFormatting sqref="AR132:AS132">
    <cfRule type="cellIs" dxfId="792" priority="792" operator="greaterThan">
      <formula>0.03</formula>
    </cfRule>
    <cfRule type="cellIs" dxfId="791" priority="793" stopIfTrue="1" operator="lessThan">
      <formula>-0.03</formula>
    </cfRule>
  </conditionalFormatting>
  <conditionalFormatting sqref="AR128:AT128">
    <cfRule type="cellIs" dxfId="790" priority="790" operator="greaterThan">
      <formula>0.03</formula>
    </cfRule>
    <cfRule type="cellIs" dxfId="789" priority="791" stopIfTrue="1" operator="lessThan">
      <formula>-0.03</formula>
    </cfRule>
  </conditionalFormatting>
  <conditionalFormatting sqref="AO133:AQ133">
    <cfRule type="cellIs" dxfId="788" priority="788" operator="greaterThan">
      <formula>0.03</formula>
    </cfRule>
    <cfRule type="cellIs" dxfId="787" priority="789" stopIfTrue="1" operator="lessThan">
      <formula>-0.03</formula>
    </cfRule>
  </conditionalFormatting>
  <conditionalFormatting sqref="AO137:AQ137">
    <cfRule type="cellIs" dxfId="786" priority="782" operator="greaterThan">
      <formula>0.03</formula>
    </cfRule>
    <cfRule type="cellIs" dxfId="785" priority="783" stopIfTrue="1" operator="lessThan">
      <formula>-0.03</formula>
    </cfRule>
  </conditionalFormatting>
  <conditionalFormatting sqref="AI137:AK137 AI133:AK135">
    <cfRule type="cellIs" dxfId="784" priority="780" operator="greaterThan">
      <formula>0.03</formula>
    </cfRule>
    <cfRule type="cellIs" dxfId="783" priority="781" stopIfTrue="1" operator="lessThan">
      <formula>-0.03</formula>
    </cfRule>
  </conditionalFormatting>
  <conditionalFormatting sqref="AU137:AV137">
    <cfRule type="cellIs" dxfId="782" priority="784" operator="greaterThan">
      <formula>0.03</formula>
    </cfRule>
    <cfRule type="cellIs" dxfId="781" priority="785" stopIfTrue="1" operator="lessThan">
      <formula>-0.03</formula>
    </cfRule>
  </conditionalFormatting>
  <conditionalFormatting sqref="AO138:AQ138 AO135:AQ136">
    <cfRule type="cellIs" dxfId="780" priority="786" operator="greaterThan">
      <formula>0.03</formula>
    </cfRule>
    <cfRule type="cellIs" dxfId="779" priority="787" stopIfTrue="1" operator="lessThan">
      <formula>-0.03</formula>
    </cfRule>
  </conditionalFormatting>
  <conditionalFormatting sqref="AI136:AK136">
    <cfRule type="cellIs" dxfId="778" priority="778" operator="greaterThan">
      <formula>0.03</formula>
    </cfRule>
    <cfRule type="cellIs" dxfId="777" priority="779" stopIfTrue="1" operator="lessThan">
      <formula>-0.03</formula>
    </cfRule>
  </conditionalFormatting>
  <conditionalFormatting sqref="AU133:AW133">
    <cfRule type="cellIs" dxfId="776" priority="776" operator="greaterThan">
      <formula>0.03</formula>
    </cfRule>
    <cfRule type="cellIs" dxfId="775" priority="777" stopIfTrue="1" operator="lessThan">
      <formula>-0.03</formula>
    </cfRule>
  </conditionalFormatting>
  <conditionalFormatting sqref="AO143:AQ143 AO140:AQ141">
    <cfRule type="cellIs" dxfId="774" priority="774" operator="greaterThan">
      <formula>0.03</formula>
    </cfRule>
    <cfRule type="cellIs" dxfId="773" priority="775" stopIfTrue="1" operator="lessThan">
      <formula>-0.03</formula>
    </cfRule>
  </conditionalFormatting>
  <conditionalFormatting sqref="AU142:AV142">
    <cfRule type="cellIs" dxfId="772" priority="772" operator="greaterThan">
      <formula>0.03</formula>
    </cfRule>
    <cfRule type="cellIs" dxfId="771" priority="773" stopIfTrue="1" operator="lessThan">
      <formula>-0.03</formula>
    </cfRule>
  </conditionalFormatting>
  <conditionalFormatting sqref="AO142:AQ142">
    <cfRule type="cellIs" dxfId="770" priority="770" operator="greaterThan">
      <formula>0.03</formula>
    </cfRule>
    <cfRule type="cellIs" dxfId="769" priority="771" stopIfTrue="1" operator="lessThan">
      <formula>-0.03</formula>
    </cfRule>
  </conditionalFormatting>
  <conditionalFormatting sqref="AI142:AK142 AI138:AK140">
    <cfRule type="cellIs" dxfId="768" priority="768" operator="greaterThan">
      <formula>0.03</formula>
    </cfRule>
    <cfRule type="cellIs" dxfId="767" priority="769" stopIfTrue="1" operator="lessThan">
      <formula>-0.03</formula>
    </cfRule>
  </conditionalFormatting>
  <conditionalFormatting sqref="AI141:AK141">
    <cfRule type="cellIs" dxfId="766" priority="766" operator="greaterThan">
      <formula>0.03</formula>
    </cfRule>
    <cfRule type="cellIs" dxfId="765" priority="767" stopIfTrue="1" operator="lessThan">
      <formula>-0.03</formula>
    </cfRule>
  </conditionalFormatting>
  <conditionalFormatting sqref="AU138:AW138">
    <cfRule type="cellIs" dxfId="764" priority="764" operator="greaterThan">
      <formula>0.03</formula>
    </cfRule>
    <cfRule type="cellIs" dxfId="763" priority="765" stopIfTrue="1" operator="lessThan">
      <formula>-0.03</formula>
    </cfRule>
  </conditionalFormatting>
  <conditionalFormatting sqref="AO148:AQ148 AO145:AQ146">
    <cfRule type="cellIs" dxfId="762" priority="762" operator="greaterThan">
      <formula>0.03</formula>
    </cfRule>
    <cfRule type="cellIs" dxfId="761" priority="763" stopIfTrue="1" operator="lessThan">
      <formula>-0.03</formula>
    </cfRule>
  </conditionalFormatting>
  <conditionalFormatting sqref="AU147:AV147">
    <cfRule type="cellIs" dxfId="760" priority="760" operator="greaterThan">
      <formula>0.03</formula>
    </cfRule>
    <cfRule type="cellIs" dxfId="759" priority="761" stopIfTrue="1" operator="lessThan">
      <formula>-0.03</formula>
    </cfRule>
  </conditionalFormatting>
  <conditionalFormatting sqref="AO147:AQ147">
    <cfRule type="cellIs" dxfId="758" priority="758" operator="greaterThan">
      <formula>0.03</formula>
    </cfRule>
    <cfRule type="cellIs" dxfId="757" priority="759" stopIfTrue="1" operator="lessThan">
      <formula>-0.03</formula>
    </cfRule>
  </conditionalFormatting>
  <conditionalFormatting sqref="AI147:AK147 AI143:AK145">
    <cfRule type="cellIs" dxfId="756" priority="756" operator="greaterThan">
      <formula>0.03</formula>
    </cfRule>
    <cfRule type="cellIs" dxfId="755" priority="757" stopIfTrue="1" operator="lessThan">
      <formula>-0.03</formula>
    </cfRule>
  </conditionalFormatting>
  <conditionalFormatting sqref="AI146:AK146">
    <cfRule type="cellIs" dxfId="754" priority="754" operator="greaterThan">
      <formula>0.03</formula>
    </cfRule>
    <cfRule type="cellIs" dxfId="753" priority="755" stopIfTrue="1" operator="lessThan">
      <formula>-0.03</formula>
    </cfRule>
  </conditionalFormatting>
  <conditionalFormatting sqref="AU143:AW143">
    <cfRule type="cellIs" dxfId="752" priority="752" operator="greaterThan">
      <formula>0.03</formula>
    </cfRule>
    <cfRule type="cellIs" dxfId="751" priority="753" stopIfTrue="1" operator="lessThan">
      <formula>-0.03</formula>
    </cfRule>
  </conditionalFormatting>
  <conditionalFormatting sqref="AO150:AQ152">
    <cfRule type="cellIs" dxfId="750" priority="750" operator="greaterThan">
      <formula>0.03</formula>
    </cfRule>
    <cfRule type="cellIs" dxfId="749" priority="751" stopIfTrue="1" operator="lessThan">
      <formula>-0.03</formula>
    </cfRule>
  </conditionalFormatting>
  <conditionalFormatting sqref="AU152:AV152">
    <cfRule type="cellIs" dxfId="748" priority="748" operator="greaterThan">
      <formula>0.03</formula>
    </cfRule>
    <cfRule type="cellIs" dxfId="747" priority="749" stopIfTrue="1" operator="lessThan">
      <formula>-0.03</formula>
    </cfRule>
  </conditionalFormatting>
  <conditionalFormatting sqref="AI152:AK152 AI148:AK150">
    <cfRule type="cellIs" dxfId="746" priority="746" operator="greaterThan">
      <formula>0.03</formula>
    </cfRule>
    <cfRule type="cellIs" dxfId="745" priority="747" stopIfTrue="1" operator="lessThan">
      <formula>-0.03</formula>
    </cfRule>
  </conditionalFormatting>
  <conditionalFormatting sqref="AI151:AK151">
    <cfRule type="cellIs" dxfId="744" priority="744" operator="greaterThan">
      <formula>0.03</formula>
    </cfRule>
    <cfRule type="cellIs" dxfId="743" priority="745" stopIfTrue="1" operator="lessThan">
      <formula>-0.03</formula>
    </cfRule>
  </conditionalFormatting>
  <conditionalFormatting sqref="AU148:AW148">
    <cfRule type="cellIs" dxfId="742" priority="742" operator="greaterThan">
      <formula>0.03</formula>
    </cfRule>
    <cfRule type="cellIs" dxfId="741" priority="743" stopIfTrue="1" operator="lessThan">
      <formula>-0.03</formula>
    </cfRule>
  </conditionalFormatting>
  <conditionalFormatting sqref="AF137:AH137 AF133:AH135">
    <cfRule type="cellIs" dxfId="740" priority="740" operator="greaterThan">
      <formula>0.03</formula>
    </cfRule>
    <cfRule type="cellIs" dxfId="739" priority="741" stopIfTrue="1" operator="lessThan">
      <formula>-0.03</formula>
    </cfRule>
  </conditionalFormatting>
  <conditionalFormatting sqref="AF136:AH136">
    <cfRule type="cellIs" dxfId="738" priority="738" operator="greaterThan">
      <formula>0.03</formula>
    </cfRule>
    <cfRule type="cellIs" dxfId="737" priority="739" stopIfTrue="1" operator="lessThan">
      <formula>-0.03</formula>
    </cfRule>
  </conditionalFormatting>
  <conditionalFormatting sqref="AF142:AH142 AF138:AH140">
    <cfRule type="cellIs" dxfId="736" priority="736" operator="greaterThan">
      <formula>0.03</formula>
    </cfRule>
    <cfRule type="cellIs" dxfId="735" priority="737" stopIfTrue="1" operator="lessThan">
      <formula>-0.03</formula>
    </cfRule>
  </conditionalFormatting>
  <conditionalFormatting sqref="AF141:AH141">
    <cfRule type="cellIs" dxfId="734" priority="734" operator="greaterThan">
      <formula>0.03</formula>
    </cfRule>
    <cfRule type="cellIs" dxfId="733" priority="735" stopIfTrue="1" operator="lessThan">
      <formula>-0.03</formula>
    </cfRule>
  </conditionalFormatting>
  <conditionalFormatting sqref="AF147:AH147 AF143:AH145">
    <cfRule type="cellIs" dxfId="732" priority="732" operator="greaterThan">
      <formula>0.03</formula>
    </cfRule>
    <cfRule type="cellIs" dxfId="731" priority="733" stopIfTrue="1" operator="lessThan">
      <formula>-0.03</formula>
    </cfRule>
  </conditionalFormatting>
  <conditionalFormatting sqref="AF146:AH146">
    <cfRule type="cellIs" dxfId="730" priority="730" operator="greaterThan">
      <formula>0.03</formula>
    </cfRule>
    <cfRule type="cellIs" dxfId="729" priority="731" stopIfTrue="1" operator="lessThan">
      <formula>-0.03</formula>
    </cfRule>
  </conditionalFormatting>
  <conditionalFormatting sqref="AF152:AH152 AF148:AH150">
    <cfRule type="cellIs" dxfId="728" priority="728" operator="greaterThan">
      <formula>0.03</formula>
    </cfRule>
    <cfRule type="cellIs" dxfId="727" priority="729" stopIfTrue="1" operator="lessThan">
      <formula>-0.03</formula>
    </cfRule>
  </conditionalFormatting>
  <conditionalFormatting sqref="AF151:AH151">
    <cfRule type="cellIs" dxfId="726" priority="726" operator="greaterThan">
      <formula>0.03</formula>
    </cfRule>
    <cfRule type="cellIs" dxfId="725" priority="727" stopIfTrue="1" operator="lessThan">
      <formula>-0.03</formula>
    </cfRule>
  </conditionalFormatting>
  <conditionalFormatting sqref="AL133:AN133">
    <cfRule type="cellIs" dxfId="724" priority="724" operator="greaterThan">
      <formula>0.03</formula>
    </cfRule>
    <cfRule type="cellIs" dxfId="723" priority="725" stopIfTrue="1" operator="lessThan">
      <formula>-0.03</formula>
    </cfRule>
  </conditionalFormatting>
  <conditionalFormatting sqref="AL138:AN138 AL135:AN136">
    <cfRule type="cellIs" dxfId="722" priority="722" operator="greaterThan">
      <formula>0.03</formula>
    </cfRule>
    <cfRule type="cellIs" dxfId="721" priority="723" stopIfTrue="1" operator="lessThan">
      <formula>-0.03</formula>
    </cfRule>
  </conditionalFormatting>
  <conditionalFormatting sqref="AL137:AN137">
    <cfRule type="cellIs" dxfId="720" priority="720" operator="greaterThan">
      <formula>0.03</formula>
    </cfRule>
    <cfRule type="cellIs" dxfId="719" priority="721" stopIfTrue="1" operator="lessThan">
      <formula>-0.03</formula>
    </cfRule>
  </conditionalFormatting>
  <conditionalFormatting sqref="AL143:AN143 AL140:AN141">
    <cfRule type="cellIs" dxfId="718" priority="718" operator="greaterThan">
      <formula>0.03</formula>
    </cfRule>
    <cfRule type="cellIs" dxfId="717" priority="719" stopIfTrue="1" operator="lessThan">
      <formula>-0.03</formula>
    </cfRule>
  </conditionalFormatting>
  <conditionalFormatting sqref="AL142:AN142">
    <cfRule type="cellIs" dxfId="716" priority="716" operator="greaterThan">
      <formula>0.03</formula>
    </cfRule>
    <cfRule type="cellIs" dxfId="715" priority="717" stopIfTrue="1" operator="lessThan">
      <formula>-0.03</formula>
    </cfRule>
  </conditionalFormatting>
  <conditionalFormatting sqref="AL148:AN148 AL145:AN146">
    <cfRule type="cellIs" dxfId="714" priority="714" operator="greaterThan">
      <formula>0.03</formula>
    </cfRule>
    <cfRule type="cellIs" dxfId="713" priority="715" stopIfTrue="1" operator="lessThan">
      <formula>-0.03</formula>
    </cfRule>
  </conditionalFormatting>
  <conditionalFormatting sqref="AL147:AN147">
    <cfRule type="cellIs" dxfId="712" priority="712" operator="greaterThan">
      <formula>0.03</formula>
    </cfRule>
    <cfRule type="cellIs" dxfId="711" priority="713" stopIfTrue="1" operator="lessThan">
      <formula>-0.03</formula>
    </cfRule>
  </conditionalFormatting>
  <conditionalFormatting sqref="AL150:AN152">
    <cfRule type="cellIs" dxfId="710" priority="710" operator="greaterThan">
      <formula>0.03</formula>
    </cfRule>
    <cfRule type="cellIs" dxfId="709" priority="711" stopIfTrue="1" operator="lessThan">
      <formula>-0.03</formula>
    </cfRule>
  </conditionalFormatting>
  <conditionalFormatting sqref="AR137:AS137">
    <cfRule type="cellIs" dxfId="708" priority="708" operator="greaterThan">
      <formula>0.03</formula>
    </cfRule>
    <cfRule type="cellIs" dxfId="707" priority="709" stopIfTrue="1" operator="lessThan">
      <formula>-0.03</formula>
    </cfRule>
  </conditionalFormatting>
  <conditionalFormatting sqref="AR133:AT133">
    <cfRule type="cellIs" dxfId="706" priority="706" operator="greaterThan">
      <formula>0.03</formula>
    </cfRule>
    <cfRule type="cellIs" dxfId="705" priority="707" stopIfTrue="1" operator="lessThan">
      <formula>-0.03</formula>
    </cfRule>
  </conditionalFormatting>
  <conditionalFormatting sqref="AR142:AS142">
    <cfRule type="cellIs" dxfId="704" priority="704" operator="greaterThan">
      <formula>0.03</formula>
    </cfRule>
    <cfRule type="cellIs" dxfId="703" priority="705" stopIfTrue="1" operator="lessThan">
      <formula>-0.03</formula>
    </cfRule>
  </conditionalFormatting>
  <conditionalFormatting sqref="AR138:AT138">
    <cfRule type="cellIs" dxfId="702" priority="702" operator="greaterThan">
      <formula>0.03</formula>
    </cfRule>
    <cfRule type="cellIs" dxfId="701" priority="703" stopIfTrue="1" operator="lessThan">
      <formula>-0.03</formula>
    </cfRule>
  </conditionalFormatting>
  <conditionalFormatting sqref="AR147:AS147">
    <cfRule type="cellIs" dxfId="700" priority="700" operator="greaterThan">
      <formula>0.03</formula>
    </cfRule>
    <cfRule type="cellIs" dxfId="699" priority="701" stopIfTrue="1" operator="lessThan">
      <formula>-0.03</formula>
    </cfRule>
  </conditionalFormatting>
  <conditionalFormatting sqref="AR143:AT143">
    <cfRule type="cellIs" dxfId="698" priority="698" operator="greaterThan">
      <formula>0.03</formula>
    </cfRule>
    <cfRule type="cellIs" dxfId="697" priority="699" stopIfTrue="1" operator="lessThan">
      <formula>-0.03</formula>
    </cfRule>
  </conditionalFormatting>
  <conditionalFormatting sqref="AR152:AS152">
    <cfRule type="cellIs" dxfId="696" priority="696" operator="greaterThan">
      <formula>0.03</formula>
    </cfRule>
    <cfRule type="cellIs" dxfId="695" priority="697" stopIfTrue="1" operator="lessThan">
      <formula>-0.03</formula>
    </cfRule>
  </conditionalFormatting>
  <conditionalFormatting sqref="AR148:AT148">
    <cfRule type="cellIs" dxfId="694" priority="694" operator="greaterThan">
      <formula>0.03</formula>
    </cfRule>
    <cfRule type="cellIs" dxfId="693" priority="695" stopIfTrue="1" operator="lessThan">
      <formula>-0.03</formula>
    </cfRule>
  </conditionalFormatting>
  <conditionalFormatting sqref="AO19:AQ19">
    <cfRule type="cellIs" dxfId="692" priority="574" operator="greaterThan">
      <formula>0.03</formula>
    </cfRule>
    <cfRule type="cellIs" dxfId="691" priority="575" stopIfTrue="1" operator="lessThan">
      <formula>-0.03</formula>
    </cfRule>
  </conditionalFormatting>
  <conditionalFormatting sqref="AF160:AH160">
    <cfRule type="cellIs" dxfId="690" priority="692" operator="greaterThan">
      <formula>0.03</formula>
    </cfRule>
    <cfRule type="cellIs" dxfId="689" priority="693" stopIfTrue="1" operator="lessThan">
      <formula>-0.03</formula>
    </cfRule>
  </conditionalFormatting>
  <conditionalFormatting sqref="AI160:AK160">
    <cfRule type="cellIs" dxfId="688" priority="690" operator="greaterThan">
      <formula>0.03</formula>
    </cfRule>
    <cfRule type="cellIs" dxfId="687" priority="691" stopIfTrue="1" operator="lessThan">
      <formula>-0.03</formula>
    </cfRule>
  </conditionalFormatting>
  <conditionalFormatting sqref="AL160:AN160">
    <cfRule type="cellIs" dxfId="686" priority="688" operator="greaterThan">
      <formula>0.03</formula>
    </cfRule>
    <cfRule type="cellIs" dxfId="685" priority="689" stopIfTrue="1" operator="lessThan">
      <formula>-0.03</formula>
    </cfRule>
  </conditionalFormatting>
  <conditionalFormatting sqref="AO160:AQ160">
    <cfRule type="cellIs" dxfId="684" priority="686" operator="greaterThan">
      <formula>0.03</formula>
    </cfRule>
    <cfRule type="cellIs" dxfId="683" priority="687" stopIfTrue="1" operator="lessThan">
      <formula>-0.03</formula>
    </cfRule>
  </conditionalFormatting>
  <conditionalFormatting sqref="AR160:AT160">
    <cfRule type="cellIs" dxfId="682" priority="684" operator="greaterThan">
      <formula>0.03</formula>
    </cfRule>
    <cfRule type="cellIs" dxfId="681" priority="685" stopIfTrue="1" operator="lessThan">
      <formula>-0.03</formula>
    </cfRule>
  </conditionalFormatting>
  <conditionalFormatting sqref="AO4:AQ4">
    <cfRule type="cellIs" dxfId="680" priority="562" operator="greaterThan">
      <formula>0.03</formula>
    </cfRule>
    <cfRule type="cellIs" dxfId="679" priority="563" stopIfTrue="1" operator="lessThan">
      <formula>-0.03</formula>
    </cfRule>
  </conditionalFormatting>
  <conditionalFormatting sqref="AU160:AW160">
    <cfRule type="cellIs" dxfId="678" priority="682" operator="greaterThan">
      <formula>0.03</formula>
    </cfRule>
    <cfRule type="cellIs" dxfId="677" priority="683" stopIfTrue="1" operator="lessThan">
      <formula>-0.03</formula>
    </cfRule>
  </conditionalFormatting>
  <conditionalFormatting sqref="AL29:AN29">
    <cfRule type="cellIs" dxfId="676" priority="584" operator="greaterThan">
      <formula>0.03</formula>
    </cfRule>
    <cfRule type="cellIs" dxfId="675" priority="585" stopIfTrue="1" operator="lessThan">
      <formula>-0.03</formula>
    </cfRule>
  </conditionalFormatting>
  <conditionalFormatting sqref="AO59:AQ59">
    <cfRule type="cellIs" dxfId="674" priority="606" operator="greaterThan">
      <formula>0.03</formula>
    </cfRule>
    <cfRule type="cellIs" dxfId="673" priority="607" stopIfTrue="1" operator="lessThan">
      <formula>-0.03</formula>
    </cfRule>
  </conditionalFormatting>
  <conditionalFormatting sqref="AO49:AQ49">
    <cfRule type="cellIs" dxfId="672" priority="598" operator="greaterThan">
      <formula>0.03</formula>
    </cfRule>
    <cfRule type="cellIs" dxfId="671" priority="599" stopIfTrue="1" operator="lessThan">
      <formula>-0.03</formula>
    </cfRule>
  </conditionalFormatting>
  <conditionalFormatting sqref="AO39:AQ39">
    <cfRule type="cellIs" dxfId="670" priority="590" operator="greaterThan">
      <formula>0.03</formula>
    </cfRule>
    <cfRule type="cellIs" dxfId="669" priority="591" stopIfTrue="1" operator="lessThan">
      <formula>-0.03</formula>
    </cfRule>
  </conditionalFormatting>
  <conditionalFormatting sqref="AL49:AN49">
    <cfRule type="cellIs" dxfId="668" priority="600" operator="greaterThan">
      <formula>0.03</formula>
    </cfRule>
    <cfRule type="cellIs" dxfId="667" priority="601" stopIfTrue="1" operator="lessThan">
      <formula>-0.03</formula>
    </cfRule>
  </conditionalFormatting>
  <conditionalFormatting sqref="AL134:AN134">
    <cfRule type="cellIs" dxfId="666" priority="680" operator="greaterThan">
      <formula>0.03</formula>
    </cfRule>
    <cfRule type="cellIs" dxfId="665" priority="681" stopIfTrue="1" operator="lessThan">
      <formula>-0.03</formula>
    </cfRule>
  </conditionalFormatting>
  <conditionalFormatting sqref="AO134:AQ134">
    <cfRule type="cellIs" dxfId="664" priority="678" operator="greaterThan">
      <formula>0.03</formula>
    </cfRule>
    <cfRule type="cellIs" dxfId="663" priority="679" stopIfTrue="1" operator="lessThan">
      <formula>-0.03</formula>
    </cfRule>
  </conditionalFormatting>
  <conditionalFormatting sqref="AL24:AN24">
    <cfRule type="cellIs" dxfId="662" priority="580" operator="greaterThan">
      <formula>0.03</formula>
    </cfRule>
    <cfRule type="cellIs" dxfId="661" priority="581" stopIfTrue="1" operator="lessThan">
      <formula>-0.03</formula>
    </cfRule>
  </conditionalFormatting>
  <conditionalFormatting sqref="AO24:AQ24">
    <cfRule type="cellIs" dxfId="660" priority="578" operator="greaterThan">
      <formula>0.03</formula>
    </cfRule>
    <cfRule type="cellIs" dxfId="659" priority="579" stopIfTrue="1" operator="lessThan">
      <formula>-0.03</formula>
    </cfRule>
  </conditionalFormatting>
  <conditionalFormatting sqref="AL14:AN14">
    <cfRule type="cellIs" dxfId="658" priority="572" operator="greaterThan">
      <formula>0.03</formula>
    </cfRule>
    <cfRule type="cellIs" dxfId="657" priority="573" stopIfTrue="1" operator="lessThan">
      <formula>-0.03</formula>
    </cfRule>
  </conditionalFormatting>
  <conditionalFormatting sqref="AO14:AQ14">
    <cfRule type="cellIs" dxfId="656" priority="570" operator="greaterThan">
      <formula>0.03</formula>
    </cfRule>
    <cfRule type="cellIs" dxfId="655" priority="571" stopIfTrue="1" operator="lessThan">
      <formula>-0.03</formula>
    </cfRule>
  </conditionalFormatting>
  <conditionalFormatting sqref="AL149:AN149">
    <cfRule type="cellIs" dxfId="654" priority="676" operator="greaterThan">
      <formula>0.03</formula>
    </cfRule>
    <cfRule type="cellIs" dxfId="653" priority="677" stopIfTrue="1" operator="lessThan">
      <formula>-0.03</formula>
    </cfRule>
  </conditionalFormatting>
  <conditionalFormatting sqref="AO149:AQ149">
    <cfRule type="cellIs" dxfId="652" priority="674" operator="greaterThan">
      <formula>0.03</formula>
    </cfRule>
    <cfRule type="cellIs" dxfId="651" priority="675" stopIfTrue="1" operator="lessThan">
      <formula>-0.03</formula>
    </cfRule>
  </conditionalFormatting>
  <conditionalFormatting sqref="AL144:AN144">
    <cfRule type="cellIs" dxfId="650" priority="672" operator="greaterThan">
      <formula>0.03</formula>
    </cfRule>
    <cfRule type="cellIs" dxfId="649" priority="673" stopIfTrue="1" operator="lessThan">
      <formula>-0.03</formula>
    </cfRule>
  </conditionalFormatting>
  <conditionalFormatting sqref="AO144:AQ144">
    <cfRule type="cellIs" dxfId="648" priority="670" operator="greaterThan">
      <formula>0.03</formula>
    </cfRule>
    <cfRule type="cellIs" dxfId="647" priority="671" stopIfTrue="1" operator="lessThan">
      <formula>-0.03</formula>
    </cfRule>
  </conditionalFormatting>
  <conditionalFormatting sqref="AL139:AN139">
    <cfRule type="cellIs" dxfId="646" priority="668" operator="greaterThan">
      <formula>0.03</formula>
    </cfRule>
    <cfRule type="cellIs" dxfId="645" priority="669" stopIfTrue="1" operator="lessThan">
      <formula>-0.03</formula>
    </cfRule>
  </conditionalFormatting>
  <conditionalFormatting sqref="AO139:AQ139">
    <cfRule type="cellIs" dxfId="644" priority="666" operator="greaterThan">
      <formula>0.03</formula>
    </cfRule>
    <cfRule type="cellIs" dxfId="643" priority="667" stopIfTrue="1" operator="lessThan">
      <formula>-0.03</formula>
    </cfRule>
  </conditionalFormatting>
  <conditionalFormatting sqref="AL129:AN129">
    <cfRule type="cellIs" dxfId="642" priority="664" operator="greaterThan">
      <formula>0.03</formula>
    </cfRule>
    <cfRule type="cellIs" dxfId="641" priority="665" stopIfTrue="1" operator="lessThan">
      <formula>-0.03</formula>
    </cfRule>
  </conditionalFormatting>
  <conditionalFormatting sqref="AO129:AQ129">
    <cfRule type="cellIs" dxfId="640" priority="662" operator="greaterThan">
      <formula>0.03</formula>
    </cfRule>
    <cfRule type="cellIs" dxfId="639" priority="663" stopIfTrue="1" operator="lessThan">
      <formula>-0.03</formula>
    </cfRule>
  </conditionalFormatting>
  <conditionalFormatting sqref="AL124:AN124">
    <cfRule type="cellIs" dxfId="638" priority="660" operator="greaterThan">
      <formula>0.03</formula>
    </cfRule>
    <cfRule type="cellIs" dxfId="637" priority="661" stopIfTrue="1" operator="lessThan">
      <formula>-0.03</formula>
    </cfRule>
  </conditionalFormatting>
  <conditionalFormatting sqref="AO124:AQ124">
    <cfRule type="cellIs" dxfId="636" priority="658" operator="greaterThan">
      <formula>0.03</formula>
    </cfRule>
    <cfRule type="cellIs" dxfId="635" priority="659" stopIfTrue="1" operator="lessThan">
      <formula>-0.03</formula>
    </cfRule>
  </conditionalFormatting>
  <conditionalFormatting sqref="AL119:AN119">
    <cfRule type="cellIs" dxfId="634" priority="656" operator="greaterThan">
      <formula>0.03</formula>
    </cfRule>
    <cfRule type="cellIs" dxfId="633" priority="657" stopIfTrue="1" operator="lessThan">
      <formula>-0.03</formula>
    </cfRule>
  </conditionalFormatting>
  <conditionalFormatting sqref="AO119:AQ119">
    <cfRule type="cellIs" dxfId="632" priority="654" operator="greaterThan">
      <formula>0.03</formula>
    </cfRule>
    <cfRule type="cellIs" dxfId="631" priority="655" stopIfTrue="1" operator="lessThan">
      <formula>-0.03</formula>
    </cfRule>
  </conditionalFormatting>
  <conditionalFormatting sqref="AL114:AN114">
    <cfRule type="cellIs" dxfId="630" priority="652" operator="greaterThan">
      <formula>0.03</formula>
    </cfRule>
    <cfRule type="cellIs" dxfId="629" priority="653" stopIfTrue="1" operator="lessThan">
      <formula>-0.03</formula>
    </cfRule>
  </conditionalFormatting>
  <conditionalFormatting sqref="AO114:AQ114">
    <cfRule type="cellIs" dxfId="628" priority="650" operator="greaterThan">
      <formula>0.03</formula>
    </cfRule>
    <cfRule type="cellIs" dxfId="627" priority="651" stopIfTrue="1" operator="lessThan">
      <formula>-0.03</formula>
    </cfRule>
  </conditionalFormatting>
  <conditionalFormatting sqref="AL109:AN109">
    <cfRule type="cellIs" dxfId="626" priority="648" operator="greaterThan">
      <formula>0.03</formula>
    </cfRule>
    <cfRule type="cellIs" dxfId="625" priority="649" stopIfTrue="1" operator="lessThan">
      <formula>-0.03</formula>
    </cfRule>
  </conditionalFormatting>
  <conditionalFormatting sqref="AO109:AQ109">
    <cfRule type="cellIs" dxfId="624" priority="646" operator="greaterThan">
      <formula>0.03</formula>
    </cfRule>
    <cfRule type="cellIs" dxfId="623" priority="647" stopIfTrue="1" operator="lessThan">
      <formula>-0.03</formula>
    </cfRule>
  </conditionalFormatting>
  <conditionalFormatting sqref="AL104:AN104">
    <cfRule type="cellIs" dxfId="622" priority="644" operator="greaterThan">
      <formula>0.03</formula>
    </cfRule>
    <cfRule type="cellIs" dxfId="621" priority="645" stopIfTrue="1" operator="lessThan">
      <formula>-0.03</formula>
    </cfRule>
  </conditionalFormatting>
  <conditionalFormatting sqref="AO104:AQ104">
    <cfRule type="cellIs" dxfId="620" priority="642" operator="greaterThan">
      <formula>0.03</formula>
    </cfRule>
    <cfRule type="cellIs" dxfId="619" priority="643" stopIfTrue="1" operator="lessThan">
      <formula>-0.03</formula>
    </cfRule>
  </conditionalFormatting>
  <conditionalFormatting sqref="AL99:AN99">
    <cfRule type="cellIs" dxfId="618" priority="640" operator="greaterThan">
      <formula>0.03</formula>
    </cfRule>
    <cfRule type="cellIs" dxfId="617" priority="641" stopIfTrue="1" operator="lessThan">
      <formula>-0.03</formula>
    </cfRule>
  </conditionalFormatting>
  <conditionalFormatting sqref="AO99:AQ99">
    <cfRule type="cellIs" dxfId="616" priority="638" operator="greaterThan">
      <formula>0.03</formula>
    </cfRule>
    <cfRule type="cellIs" dxfId="615" priority="639" stopIfTrue="1" operator="lessThan">
      <formula>-0.03</formula>
    </cfRule>
  </conditionalFormatting>
  <conditionalFormatting sqref="AL94:AN94">
    <cfRule type="cellIs" dxfId="614" priority="636" operator="greaterThan">
      <formula>0.03</formula>
    </cfRule>
    <cfRule type="cellIs" dxfId="613" priority="637" stopIfTrue="1" operator="lessThan">
      <formula>-0.03</formula>
    </cfRule>
  </conditionalFormatting>
  <conditionalFormatting sqref="AO94:AQ94">
    <cfRule type="cellIs" dxfId="612" priority="634" operator="greaterThan">
      <formula>0.03</formula>
    </cfRule>
    <cfRule type="cellIs" dxfId="611" priority="635" stopIfTrue="1" operator="lessThan">
      <formula>-0.03</formula>
    </cfRule>
  </conditionalFormatting>
  <conditionalFormatting sqref="AL89:AN89">
    <cfRule type="cellIs" dxfId="610" priority="632" operator="greaterThan">
      <formula>0.03</formula>
    </cfRule>
    <cfRule type="cellIs" dxfId="609" priority="633" stopIfTrue="1" operator="lessThan">
      <formula>-0.03</formula>
    </cfRule>
  </conditionalFormatting>
  <conditionalFormatting sqref="AO89:AQ89">
    <cfRule type="cellIs" dxfId="608" priority="630" operator="greaterThan">
      <formula>0.03</formula>
    </cfRule>
    <cfRule type="cellIs" dxfId="607" priority="631" stopIfTrue="1" operator="lessThan">
      <formula>-0.03</formula>
    </cfRule>
  </conditionalFormatting>
  <conditionalFormatting sqref="AL84:AN84">
    <cfRule type="cellIs" dxfId="606" priority="628" operator="greaterThan">
      <formula>0.03</formula>
    </cfRule>
    <cfRule type="cellIs" dxfId="605" priority="629" stopIfTrue="1" operator="lessThan">
      <formula>-0.03</formula>
    </cfRule>
  </conditionalFormatting>
  <conditionalFormatting sqref="AO84:AQ84">
    <cfRule type="cellIs" dxfId="604" priority="626" operator="greaterThan">
      <formula>0.03</formula>
    </cfRule>
    <cfRule type="cellIs" dxfId="603" priority="627" stopIfTrue="1" operator="lessThan">
      <formula>-0.03</formula>
    </cfRule>
  </conditionalFormatting>
  <conditionalFormatting sqref="AL79:AN79">
    <cfRule type="cellIs" dxfId="602" priority="624" operator="greaterThan">
      <formula>0.03</formula>
    </cfRule>
    <cfRule type="cellIs" dxfId="601" priority="625" stopIfTrue="1" operator="lessThan">
      <formula>-0.03</formula>
    </cfRule>
  </conditionalFormatting>
  <conditionalFormatting sqref="AO79:AQ79">
    <cfRule type="cellIs" dxfId="600" priority="622" operator="greaterThan">
      <formula>0.03</formula>
    </cfRule>
    <cfRule type="cellIs" dxfId="599" priority="623" stopIfTrue="1" operator="lessThan">
      <formula>-0.03</formula>
    </cfRule>
  </conditionalFormatting>
  <conditionalFormatting sqref="AL74:AN74">
    <cfRule type="cellIs" dxfId="598" priority="620" operator="greaterThan">
      <formula>0.03</formula>
    </cfRule>
    <cfRule type="cellIs" dxfId="597" priority="621" stopIfTrue="1" operator="lessThan">
      <formula>-0.03</formula>
    </cfRule>
  </conditionalFormatting>
  <conditionalFormatting sqref="AO74:AQ74">
    <cfRule type="cellIs" dxfId="596" priority="618" operator="greaterThan">
      <formula>0.03</formula>
    </cfRule>
    <cfRule type="cellIs" dxfId="595" priority="619" stopIfTrue="1" operator="lessThan">
      <formula>-0.03</formula>
    </cfRule>
  </conditionalFormatting>
  <conditionalFormatting sqref="AL69:AN69">
    <cfRule type="cellIs" dxfId="594" priority="616" operator="greaterThan">
      <formula>0.03</formula>
    </cfRule>
    <cfRule type="cellIs" dxfId="593" priority="617" stopIfTrue="1" operator="lessThan">
      <formula>-0.03</formula>
    </cfRule>
  </conditionalFormatting>
  <conditionalFormatting sqref="AO69:AQ69">
    <cfRule type="cellIs" dxfId="592" priority="614" operator="greaterThan">
      <formula>0.03</formula>
    </cfRule>
    <cfRule type="cellIs" dxfId="591" priority="615" stopIfTrue="1" operator="lessThan">
      <formula>-0.03</formula>
    </cfRule>
  </conditionalFormatting>
  <conditionalFormatting sqref="AL64:AN64">
    <cfRule type="cellIs" dxfId="590" priority="612" operator="greaterThan">
      <formula>0.03</formula>
    </cfRule>
    <cfRule type="cellIs" dxfId="589" priority="613" stopIfTrue="1" operator="lessThan">
      <formula>-0.03</formula>
    </cfRule>
  </conditionalFormatting>
  <conditionalFormatting sqref="AO64:AQ64">
    <cfRule type="cellIs" dxfId="588" priority="610" operator="greaterThan">
      <formula>0.03</formula>
    </cfRule>
    <cfRule type="cellIs" dxfId="587" priority="611" stopIfTrue="1" operator="lessThan">
      <formula>-0.03</formula>
    </cfRule>
  </conditionalFormatting>
  <conditionalFormatting sqref="AL59:AN59">
    <cfRule type="cellIs" dxfId="586" priority="608" operator="greaterThan">
      <formula>0.03</formula>
    </cfRule>
    <cfRule type="cellIs" dxfId="585" priority="609" stopIfTrue="1" operator="lessThan">
      <formula>-0.03</formula>
    </cfRule>
  </conditionalFormatting>
  <conditionalFormatting sqref="AL54:AN54">
    <cfRule type="cellIs" dxfId="584" priority="604" operator="greaterThan">
      <formula>0.03</formula>
    </cfRule>
    <cfRule type="cellIs" dxfId="583" priority="605" stopIfTrue="1" operator="lessThan">
      <formula>-0.03</formula>
    </cfRule>
  </conditionalFormatting>
  <conditionalFormatting sqref="AO54:AQ54">
    <cfRule type="cellIs" dxfId="582" priority="602" operator="greaterThan">
      <formula>0.03</formula>
    </cfRule>
    <cfRule type="cellIs" dxfId="581" priority="603" stopIfTrue="1" operator="lessThan">
      <formula>-0.03</formula>
    </cfRule>
  </conditionalFormatting>
  <conditionalFormatting sqref="AL44:AN44">
    <cfRule type="cellIs" dxfId="580" priority="596" operator="greaterThan">
      <formula>0.03</formula>
    </cfRule>
    <cfRule type="cellIs" dxfId="579" priority="597" stopIfTrue="1" operator="lessThan">
      <formula>-0.03</formula>
    </cfRule>
  </conditionalFormatting>
  <conditionalFormatting sqref="AO44:AQ44">
    <cfRule type="cellIs" dxfId="578" priority="594" operator="greaterThan">
      <formula>0.03</formula>
    </cfRule>
    <cfRule type="cellIs" dxfId="577" priority="595" stopIfTrue="1" operator="lessThan">
      <formula>-0.03</formula>
    </cfRule>
  </conditionalFormatting>
  <conditionalFormatting sqref="AL39:AN39">
    <cfRule type="cellIs" dxfId="576" priority="592" operator="greaterThan">
      <formula>0.03</formula>
    </cfRule>
    <cfRule type="cellIs" dxfId="575" priority="593" stopIfTrue="1" operator="lessThan">
      <formula>-0.03</formula>
    </cfRule>
  </conditionalFormatting>
  <conditionalFormatting sqref="AL34:AN34">
    <cfRule type="cellIs" dxfId="574" priority="588" operator="greaterThan">
      <formula>0.03</formula>
    </cfRule>
    <cfRule type="cellIs" dxfId="573" priority="589" stopIfTrue="1" operator="lessThan">
      <formula>-0.03</formula>
    </cfRule>
  </conditionalFormatting>
  <conditionalFormatting sqref="AO34:AQ34">
    <cfRule type="cellIs" dxfId="572" priority="586" operator="greaterThan">
      <formula>0.03</formula>
    </cfRule>
    <cfRule type="cellIs" dxfId="571" priority="587" stopIfTrue="1" operator="lessThan">
      <formula>-0.03</formula>
    </cfRule>
  </conditionalFormatting>
  <conditionalFormatting sqref="AO29:AQ29">
    <cfRule type="cellIs" dxfId="570" priority="582" operator="greaterThan">
      <formula>0.03</formula>
    </cfRule>
    <cfRule type="cellIs" dxfId="569" priority="583" stopIfTrue="1" operator="lessThan">
      <formula>-0.03</formula>
    </cfRule>
  </conditionalFormatting>
  <conditionalFormatting sqref="AL19:AN19">
    <cfRule type="cellIs" dxfId="568" priority="576" operator="greaterThan">
      <formula>0.03</formula>
    </cfRule>
    <cfRule type="cellIs" dxfId="567" priority="577" stopIfTrue="1" operator="lessThan">
      <formula>-0.03</formula>
    </cfRule>
  </conditionalFormatting>
  <conditionalFormatting sqref="AL9:AN9">
    <cfRule type="cellIs" dxfId="566" priority="568" operator="greaterThan">
      <formula>0.03</formula>
    </cfRule>
    <cfRule type="cellIs" dxfId="565" priority="569" stopIfTrue="1" operator="lessThan">
      <formula>-0.03</formula>
    </cfRule>
  </conditionalFormatting>
  <conditionalFormatting sqref="AO9:AQ9">
    <cfRule type="cellIs" dxfId="564" priority="566" operator="greaterThan">
      <formula>0.03</formula>
    </cfRule>
    <cfRule type="cellIs" dxfId="563" priority="567" stopIfTrue="1" operator="lessThan">
      <formula>-0.03</formula>
    </cfRule>
  </conditionalFormatting>
  <conditionalFormatting sqref="AL4:AN4">
    <cfRule type="cellIs" dxfId="562" priority="564" operator="greaterThan">
      <formula>0.03</formula>
    </cfRule>
    <cfRule type="cellIs" dxfId="561" priority="565" stopIfTrue="1" operator="lessThan">
      <formula>-0.03</formula>
    </cfRule>
  </conditionalFormatting>
  <conditionalFormatting sqref="AF3:AW1048576">
    <cfRule type="cellIs" dxfId="560" priority="559" operator="greaterThan">
      <formula>0</formula>
    </cfRule>
    <cfRule type="cellIs" dxfId="559" priority="560" operator="lessThan">
      <formula>0</formula>
    </cfRule>
    <cfRule type="cellIs" dxfId="558" priority="561" operator="lessThan">
      <formula>0</formula>
    </cfRule>
  </conditionalFormatting>
  <conditionalFormatting sqref="AI8">
    <cfRule type="cellIs" dxfId="557" priority="557" operator="greaterThan">
      <formula>0.03</formula>
    </cfRule>
    <cfRule type="cellIs" dxfId="556" priority="558" stopIfTrue="1" operator="lessThan">
      <formula>-0.03</formula>
    </cfRule>
  </conditionalFormatting>
  <conditionalFormatting sqref="AI13">
    <cfRule type="cellIs" dxfId="555" priority="555" operator="greaterThan">
      <formula>0.03</formula>
    </cfRule>
    <cfRule type="cellIs" dxfId="554" priority="556" stopIfTrue="1" operator="lessThan">
      <formula>-0.03</formula>
    </cfRule>
  </conditionalFormatting>
  <conditionalFormatting sqref="AI13">
    <cfRule type="cellIs" dxfId="553" priority="553" operator="greaterThan">
      <formula>0.03</formula>
    </cfRule>
    <cfRule type="cellIs" dxfId="552" priority="554" stopIfTrue="1" operator="lessThan">
      <formula>-0.03</formula>
    </cfRule>
  </conditionalFormatting>
  <conditionalFormatting sqref="AI18">
    <cfRule type="cellIs" dxfId="551" priority="551" operator="greaterThan">
      <formula>0.03</formula>
    </cfRule>
    <cfRule type="cellIs" dxfId="550" priority="552" stopIfTrue="1" operator="lessThan">
      <formula>-0.03</formula>
    </cfRule>
  </conditionalFormatting>
  <conditionalFormatting sqref="AI18">
    <cfRule type="cellIs" dxfId="549" priority="549" operator="greaterThan">
      <formula>0.03</formula>
    </cfRule>
    <cfRule type="cellIs" dxfId="548" priority="550" stopIfTrue="1" operator="lessThan">
      <formula>-0.03</formula>
    </cfRule>
  </conditionalFormatting>
  <conditionalFormatting sqref="AI23">
    <cfRule type="cellIs" dxfId="547" priority="547" operator="greaterThan">
      <formula>0.03</formula>
    </cfRule>
    <cfRule type="cellIs" dxfId="546" priority="548" stopIfTrue="1" operator="lessThan">
      <formula>-0.03</formula>
    </cfRule>
  </conditionalFormatting>
  <conditionalFormatting sqref="AI23">
    <cfRule type="cellIs" dxfId="545" priority="545" operator="greaterThan">
      <formula>0.03</formula>
    </cfRule>
    <cfRule type="cellIs" dxfId="544" priority="546" stopIfTrue="1" operator="lessThan">
      <formula>-0.03</formula>
    </cfRule>
  </conditionalFormatting>
  <conditionalFormatting sqref="AI28">
    <cfRule type="cellIs" dxfId="543" priority="543" operator="greaterThan">
      <formula>0.03</formula>
    </cfRule>
    <cfRule type="cellIs" dxfId="542" priority="544" stopIfTrue="1" operator="lessThan">
      <formula>-0.03</formula>
    </cfRule>
  </conditionalFormatting>
  <conditionalFormatting sqref="AI28">
    <cfRule type="cellIs" dxfId="541" priority="541" operator="greaterThan">
      <formula>0.03</formula>
    </cfRule>
    <cfRule type="cellIs" dxfId="540" priority="542" stopIfTrue="1" operator="lessThan">
      <formula>-0.03</formula>
    </cfRule>
  </conditionalFormatting>
  <conditionalFormatting sqref="AI33">
    <cfRule type="cellIs" dxfId="539" priority="539" operator="greaterThan">
      <formula>0.03</formula>
    </cfRule>
    <cfRule type="cellIs" dxfId="538" priority="540" stopIfTrue="1" operator="lessThan">
      <formula>-0.03</formula>
    </cfRule>
  </conditionalFormatting>
  <conditionalFormatting sqref="AI33">
    <cfRule type="cellIs" dxfId="537" priority="537" operator="greaterThan">
      <formula>0.03</formula>
    </cfRule>
    <cfRule type="cellIs" dxfId="536" priority="538" stopIfTrue="1" operator="lessThan">
      <formula>-0.03</formula>
    </cfRule>
  </conditionalFormatting>
  <conditionalFormatting sqref="AI38">
    <cfRule type="cellIs" dxfId="535" priority="535" operator="greaterThan">
      <formula>0.03</formula>
    </cfRule>
    <cfRule type="cellIs" dxfId="534" priority="536" stopIfTrue="1" operator="lessThan">
      <formula>-0.03</formula>
    </cfRule>
  </conditionalFormatting>
  <conditionalFormatting sqref="AI38">
    <cfRule type="cellIs" dxfId="533" priority="533" operator="greaterThan">
      <formula>0.03</formula>
    </cfRule>
    <cfRule type="cellIs" dxfId="532" priority="534" stopIfTrue="1" operator="lessThan">
      <formula>-0.03</formula>
    </cfRule>
  </conditionalFormatting>
  <conditionalFormatting sqref="AI43">
    <cfRule type="cellIs" dxfId="531" priority="531" operator="greaterThan">
      <formula>0.03</formula>
    </cfRule>
    <cfRule type="cellIs" dxfId="530" priority="532" stopIfTrue="1" operator="lessThan">
      <formula>-0.03</formula>
    </cfRule>
  </conditionalFormatting>
  <conditionalFormatting sqref="AI43">
    <cfRule type="cellIs" dxfId="529" priority="529" operator="greaterThan">
      <formula>0.03</formula>
    </cfRule>
    <cfRule type="cellIs" dxfId="528" priority="530" stopIfTrue="1" operator="lessThan">
      <formula>-0.03</formula>
    </cfRule>
  </conditionalFormatting>
  <conditionalFormatting sqref="AI48">
    <cfRule type="cellIs" dxfId="527" priority="527" operator="greaterThan">
      <formula>0.03</formula>
    </cfRule>
    <cfRule type="cellIs" dxfId="526" priority="528" stopIfTrue="1" operator="lessThan">
      <formula>-0.03</formula>
    </cfRule>
  </conditionalFormatting>
  <conditionalFormatting sqref="AI48">
    <cfRule type="cellIs" dxfId="525" priority="525" operator="greaterThan">
      <formula>0.03</formula>
    </cfRule>
    <cfRule type="cellIs" dxfId="524" priority="526" stopIfTrue="1" operator="lessThan">
      <formula>-0.03</formula>
    </cfRule>
  </conditionalFormatting>
  <conditionalFormatting sqref="AI53">
    <cfRule type="cellIs" dxfId="523" priority="523" operator="greaterThan">
      <formula>0.03</formula>
    </cfRule>
    <cfRule type="cellIs" dxfId="522" priority="524" stopIfTrue="1" operator="lessThan">
      <formula>-0.03</formula>
    </cfRule>
  </conditionalFormatting>
  <conditionalFormatting sqref="AI53">
    <cfRule type="cellIs" dxfId="521" priority="521" operator="greaterThan">
      <formula>0.03</formula>
    </cfRule>
    <cfRule type="cellIs" dxfId="520" priority="522" stopIfTrue="1" operator="lessThan">
      <formula>-0.03</formula>
    </cfRule>
  </conditionalFormatting>
  <conditionalFormatting sqref="AI58">
    <cfRule type="cellIs" dxfId="519" priority="519" operator="greaterThan">
      <formula>0.03</formula>
    </cfRule>
    <cfRule type="cellIs" dxfId="518" priority="520" stopIfTrue="1" operator="lessThan">
      <formula>-0.03</formula>
    </cfRule>
  </conditionalFormatting>
  <conditionalFormatting sqref="AI58">
    <cfRule type="cellIs" dxfId="517" priority="517" operator="greaterThan">
      <formula>0.03</formula>
    </cfRule>
    <cfRule type="cellIs" dxfId="516" priority="518" stopIfTrue="1" operator="lessThan">
      <formula>-0.03</formula>
    </cfRule>
  </conditionalFormatting>
  <conditionalFormatting sqref="AI63">
    <cfRule type="cellIs" dxfId="515" priority="515" operator="greaterThan">
      <formula>0.03</formula>
    </cfRule>
    <cfRule type="cellIs" dxfId="514" priority="516" stopIfTrue="1" operator="lessThan">
      <formula>-0.03</formula>
    </cfRule>
  </conditionalFormatting>
  <conditionalFormatting sqref="AI63">
    <cfRule type="cellIs" dxfId="513" priority="513" operator="greaterThan">
      <formula>0.03</formula>
    </cfRule>
    <cfRule type="cellIs" dxfId="512" priority="514" stopIfTrue="1" operator="lessThan">
      <formula>-0.03</formula>
    </cfRule>
  </conditionalFormatting>
  <conditionalFormatting sqref="AI68">
    <cfRule type="cellIs" dxfId="511" priority="511" operator="greaterThan">
      <formula>0.03</formula>
    </cfRule>
    <cfRule type="cellIs" dxfId="510" priority="512" stopIfTrue="1" operator="lessThan">
      <formula>-0.03</formula>
    </cfRule>
  </conditionalFormatting>
  <conditionalFormatting sqref="AI68">
    <cfRule type="cellIs" dxfId="509" priority="509" operator="greaterThan">
      <formula>0.03</formula>
    </cfRule>
    <cfRule type="cellIs" dxfId="508" priority="510" stopIfTrue="1" operator="lessThan">
      <formula>-0.03</formula>
    </cfRule>
  </conditionalFormatting>
  <conditionalFormatting sqref="AI73">
    <cfRule type="cellIs" dxfId="507" priority="507" operator="greaterThan">
      <formula>0.03</formula>
    </cfRule>
    <cfRule type="cellIs" dxfId="506" priority="508" stopIfTrue="1" operator="lessThan">
      <formula>-0.03</formula>
    </cfRule>
  </conditionalFormatting>
  <conditionalFormatting sqref="AI73">
    <cfRule type="cellIs" dxfId="505" priority="505" operator="greaterThan">
      <formula>0.03</formula>
    </cfRule>
    <cfRule type="cellIs" dxfId="504" priority="506" stopIfTrue="1" operator="lessThan">
      <formula>-0.03</formula>
    </cfRule>
  </conditionalFormatting>
  <conditionalFormatting sqref="AI78">
    <cfRule type="cellIs" dxfId="503" priority="503" operator="greaterThan">
      <formula>0.03</formula>
    </cfRule>
    <cfRule type="cellIs" dxfId="502" priority="504" stopIfTrue="1" operator="lessThan">
      <formula>-0.03</formula>
    </cfRule>
  </conditionalFormatting>
  <conditionalFormatting sqref="AI78">
    <cfRule type="cellIs" dxfId="501" priority="501" operator="greaterThan">
      <formula>0.03</formula>
    </cfRule>
    <cfRule type="cellIs" dxfId="500" priority="502" stopIfTrue="1" operator="lessThan">
      <formula>-0.03</formula>
    </cfRule>
  </conditionalFormatting>
  <conditionalFormatting sqref="AI83">
    <cfRule type="cellIs" dxfId="499" priority="499" operator="greaterThan">
      <formula>0.03</formula>
    </cfRule>
    <cfRule type="cellIs" dxfId="498" priority="500" stopIfTrue="1" operator="lessThan">
      <formula>-0.03</formula>
    </cfRule>
  </conditionalFormatting>
  <conditionalFormatting sqref="AI83">
    <cfRule type="cellIs" dxfId="497" priority="497" operator="greaterThan">
      <formula>0.03</formula>
    </cfRule>
    <cfRule type="cellIs" dxfId="496" priority="498" stopIfTrue="1" operator="lessThan">
      <formula>-0.03</formula>
    </cfRule>
  </conditionalFormatting>
  <conditionalFormatting sqref="AI88">
    <cfRule type="cellIs" dxfId="495" priority="495" operator="greaterThan">
      <formula>0.03</formula>
    </cfRule>
    <cfRule type="cellIs" dxfId="494" priority="496" stopIfTrue="1" operator="lessThan">
      <formula>-0.03</formula>
    </cfRule>
  </conditionalFormatting>
  <conditionalFormatting sqref="AI88">
    <cfRule type="cellIs" dxfId="493" priority="493" operator="greaterThan">
      <formula>0.03</formula>
    </cfRule>
    <cfRule type="cellIs" dxfId="492" priority="494" stopIfTrue="1" operator="lessThan">
      <formula>-0.03</formula>
    </cfRule>
  </conditionalFormatting>
  <conditionalFormatting sqref="AI93">
    <cfRule type="cellIs" dxfId="491" priority="491" operator="greaterThan">
      <formula>0.03</formula>
    </cfRule>
    <cfRule type="cellIs" dxfId="490" priority="492" stopIfTrue="1" operator="lessThan">
      <formula>-0.03</formula>
    </cfRule>
  </conditionalFormatting>
  <conditionalFormatting sqref="AI93">
    <cfRule type="cellIs" dxfId="489" priority="489" operator="greaterThan">
      <formula>0.03</formula>
    </cfRule>
    <cfRule type="cellIs" dxfId="488" priority="490" stopIfTrue="1" operator="lessThan">
      <formula>-0.03</formula>
    </cfRule>
  </conditionalFormatting>
  <conditionalFormatting sqref="AI98">
    <cfRule type="cellIs" dxfId="487" priority="487" operator="greaterThan">
      <formula>0.03</formula>
    </cfRule>
    <cfRule type="cellIs" dxfId="486" priority="488" stopIfTrue="1" operator="lessThan">
      <formula>-0.03</formula>
    </cfRule>
  </conditionalFormatting>
  <conditionalFormatting sqref="AI98">
    <cfRule type="cellIs" dxfId="485" priority="485" operator="greaterThan">
      <formula>0.03</formula>
    </cfRule>
    <cfRule type="cellIs" dxfId="484" priority="486" stopIfTrue="1" operator="lessThan">
      <formula>-0.03</formula>
    </cfRule>
  </conditionalFormatting>
  <conditionalFormatting sqref="AI103">
    <cfRule type="cellIs" dxfId="483" priority="483" operator="greaterThan">
      <formula>0.03</formula>
    </cfRule>
    <cfRule type="cellIs" dxfId="482" priority="484" stopIfTrue="1" operator="lessThan">
      <formula>-0.03</formula>
    </cfRule>
  </conditionalFormatting>
  <conditionalFormatting sqref="AI103">
    <cfRule type="cellIs" dxfId="481" priority="481" operator="greaterThan">
      <formula>0.03</formula>
    </cfRule>
    <cfRule type="cellIs" dxfId="480" priority="482" stopIfTrue="1" operator="lessThan">
      <formula>-0.03</formula>
    </cfRule>
  </conditionalFormatting>
  <conditionalFormatting sqref="AI108">
    <cfRule type="cellIs" dxfId="479" priority="479" operator="greaterThan">
      <formula>0.03</formula>
    </cfRule>
    <cfRule type="cellIs" dxfId="478" priority="480" stopIfTrue="1" operator="lessThan">
      <formula>-0.03</formula>
    </cfRule>
  </conditionalFormatting>
  <conditionalFormatting sqref="AI108">
    <cfRule type="cellIs" dxfId="477" priority="477" operator="greaterThan">
      <formula>0.03</formula>
    </cfRule>
    <cfRule type="cellIs" dxfId="476" priority="478" stopIfTrue="1" operator="lessThan">
      <formula>-0.03</formula>
    </cfRule>
  </conditionalFormatting>
  <conditionalFormatting sqref="AI113">
    <cfRule type="cellIs" dxfId="475" priority="475" operator="greaterThan">
      <formula>0.03</formula>
    </cfRule>
    <cfRule type="cellIs" dxfId="474" priority="476" stopIfTrue="1" operator="lessThan">
      <formula>-0.03</formula>
    </cfRule>
  </conditionalFormatting>
  <conditionalFormatting sqref="AI113">
    <cfRule type="cellIs" dxfId="473" priority="473" operator="greaterThan">
      <formula>0.03</formula>
    </cfRule>
    <cfRule type="cellIs" dxfId="472" priority="474" stopIfTrue="1" operator="lessThan">
      <formula>-0.03</formula>
    </cfRule>
  </conditionalFormatting>
  <conditionalFormatting sqref="AI118">
    <cfRule type="cellIs" dxfId="471" priority="471" operator="greaterThan">
      <formula>0.03</formula>
    </cfRule>
    <cfRule type="cellIs" dxfId="470" priority="472" stopIfTrue="1" operator="lessThan">
      <formula>-0.03</formula>
    </cfRule>
  </conditionalFormatting>
  <conditionalFormatting sqref="AI118">
    <cfRule type="cellIs" dxfId="469" priority="469" operator="greaterThan">
      <formula>0.03</formula>
    </cfRule>
    <cfRule type="cellIs" dxfId="468" priority="470" stopIfTrue="1" operator="lessThan">
      <formula>-0.03</formula>
    </cfRule>
  </conditionalFormatting>
  <conditionalFormatting sqref="AI123">
    <cfRule type="cellIs" dxfId="467" priority="467" operator="greaterThan">
      <formula>0.03</formula>
    </cfRule>
    <cfRule type="cellIs" dxfId="466" priority="468" stopIfTrue="1" operator="lessThan">
      <formula>-0.03</formula>
    </cfRule>
  </conditionalFormatting>
  <conditionalFormatting sqref="AI123">
    <cfRule type="cellIs" dxfId="465" priority="465" operator="greaterThan">
      <formula>0.03</formula>
    </cfRule>
    <cfRule type="cellIs" dxfId="464" priority="466" stopIfTrue="1" operator="lessThan">
      <formula>-0.03</formula>
    </cfRule>
  </conditionalFormatting>
  <conditionalFormatting sqref="AI128">
    <cfRule type="cellIs" dxfId="463" priority="463" operator="greaterThan">
      <formula>0.03</formula>
    </cfRule>
    <cfRule type="cellIs" dxfId="462" priority="464" stopIfTrue="1" operator="lessThan">
      <formula>-0.03</formula>
    </cfRule>
  </conditionalFormatting>
  <conditionalFormatting sqref="AI128">
    <cfRule type="cellIs" dxfId="461" priority="461" operator="greaterThan">
      <formula>0.03</formula>
    </cfRule>
    <cfRule type="cellIs" dxfId="460" priority="462" stopIfTrue="1" operator="lessThan">
      <formula>-0.03</formula>
    </cfRule>
  </conditionalFormatting>
  <conditionalFormatting sqref="AO9">
    <cfRule type="cellIs" dxfId="459" priority="459" operator="greaterThan">
      <formula>0.03</formula>
    </cfRule>
    <cfRule type="cellIs" dxfId="458" priority="460" stopIfTrue="1" operator="lessThan">
      <formula>-0.03</formula>
    </cfRule>
  </conditionalFormatting>
  <conditionalFormatting sqref="AO14">
    <cfRule type="cellIs" dxfId="457" priority="457" operator="greaterThan">
      <formula>0.03</formula>
    </cfRule>
    <cfRule type="cellIs" dxfId="456" priority="458" stopIfTrue="1" operator="lessThan">
      <formula>-0.03</formula>
    </cfRule>
  </conditionalFormatting>
  <conditionalFormatting sqref="AO19">
    <cfRule type="cellIs" dxfId="455" priority="455" operator="greaterThan">
      <formula>0.03</formula>
    </cfRule>
    <cfRule type="cellIs" dxfId="454" priority="456" stopIfTrue="1" operator="lessThan">
      <formula>-0.03</formula>
    </cfRule>
  </conditionalFormatting>
  <conditionalFormatting sqref="AO24">
    <cfRule type="cellIs" dxfId="453" priority="453" operator="greaterThan">
      <formula>0.03</formula>
    </cfRule>
    <cfRule type="cellIs" dxfId="452" priority="454" stopIfTrue="1" operator="lessThan">
      <formula>-0.03</formula>
    </cfRule>
  </conditionalFormatting>
  <conditionalFormatting sqref="AO29">
    <cfRule type="cellIs" dxfId="451" priority="451" operator="greaterThan">
      <formula>0.03</formula>
    </cfRule>
    <cfRule type="cellIs" dxfId="450" priority="452" stopIfTrue="1" operator="lessThan">
      <formula>-0.03</formula>
    </cfRule>
  </conditionalFormatting>
  <conditionalFormatting sqref="AO34">
    <cfRule type="cellIs" dxfId="449" priority="449" operator="greaterThan">
      <formula>0.03</formula>
    </cfRule>
    <cfRule type="cellIs" dxfId="448" priority="450" stopIfTrue="1" operator="lessThan">
      <formula>-0.03</formula>
    </cfRule>
  </conditionalFormatting>
  <conditionalFormatting sqref="AO39">
    <cfRule type="cellIs" dxfId="447" priority="447" operator="greaterThan">
      <formula>0.03</formula>
    </cfRule>
    <cfRule type="cellIs" dxfId="446" priority="448" stopIfTrue="1" operator="lessThan">
      <formula>-0.03</formula>
    </cfRule>
  </conditionalFormatting>
  <conditionalFormatting sqref="AO44">
    <cfRule type="cellIs" dxfId="445" priority="445" operator="greaterThan">
      <formula>0.03</formula>
    </cfRule>
    <cfRule type="cellIs" dxfId="444" priority="446" stopIfTrue="1" operator="lessThan">
      <formula>-0.03</formula>
    </cfRule>
  </conditionalFormatting>
  <conditionalFormatting sqref="AO49">
    <cfRule type="cellIs" dxfId="443" priority="443" operator="greaterThan">
      <formula>0.03</formula>
    </cfRule>
    <cfRule type="cellIs" dxfId="442" priority="444" stopIfTrue="1" operator="lessThan">
      <formula>-0.03</formula>
    </cfRule>
  </conditionalFormatting>
  <conditionalFormatting sqref="AO54">
    <cfRule type="cellIs" dxfId="441" priority="441" operator="greaterThan">
      <formula>0.03</formula>
    </cfRule>
    <cfRule type="cellIs" dxfId="440" priority="442" stopIfTrue="1" operator="lessThan">
      <formula>-0.03</formula>
    </cfRule>
  </conditionalFormatting>
  <conditionalFormatting sqref="AO59">
    <cfRule type="cellIs" dxfId="439" priority="439" operator="greaterThan">
      <formula>0.03</formula>
    </cfRule>
    <cfRule type="cellIs" dxfId="438" priority="440" stopIfTrue="1" operator="lessThan">
      <formula>-0.03</formula>
    </cfRule>
  </conditionalFormatting>
  <conditionalFormatting sqref="AO64">
    <cfRule type="cellIs" dxfId="437" priority="437" operator="greaterThan">
      <formula>0.03</formula>
    </cfRule>
    <cfRule type="cellIs" dxfId="436" priority="438" stopIfTrue="1" operator="lessThan">
      <formula>-0.03</formula>
    </cfRule>
  </conditionalFormatting>
  <conditionalFormatting sqref="AO69">
    <cfRule type="cellIs" dxfId="435" priority="435" operator="greaterThan">
      <formula>0.03</formula>
    </cfRule>
    <cfRule type="cellIs" dxfId="434" priority="436" stopIfTrue="1" operator="lessThan">
      <formula>-0.03</formula>
    </cfRule>
  </conditionalFormatting>
  <conditionalFormatting sqref="AO74">
    <cfRule type="cellIs" dxfId="433" priority="433" operator="greaterThan">
      <formula>0.03</formula>
    </cfRule>
    <cfRule type="cellIs" dxfId="432" priority="434" stopIfTrue="1" operator="lessThan">
      <formula>-0.03</formula>
    </cfRule>
  </conditionalFormatting>
  <conditionalFormatting sqref="AO79">
    <cfRule type="cellIs" dxfId="431" priority="431" operator="greaterThan">
      <formula>0.03</formula>
    </cfRule>
    <cfRule type="cellIs" dxfId="430" priority="432" stopIfTrue="1" operator="lessThan">
      <formula>-0.03</formula>
    </cfRule>
  </conditionalFormatting>
  <conditionalFormatting sqref="AO84">
    <cfRule type="cellIs" dxfId="429" priority="429" operator="greaterThan">
      <formula>0.03</formula>
    </cfRule>
    <cfRule type="cellIs" dxfId="428" priority="430" stopIfTrue="1" operator="lessThan">
      <formula>-0.03</formula>
    </cfRule>
  </conditionalFormatting>
  <conditionalFormatting sqref="AO89">
    <cfRule type="cellIs" dxfId="427" priority="427" operator="greaterThan">
      <formula>0.03</formula>
    </cfRule>
    <cfRule type="cellIs" dxfId="426" priority="428" stopIfTrue="1" operator="lessThan">
      <formula>-0.03</formula>
    </cfRule>
  </conditionalFormatting>
  <conditionalFormatting sqref="AO94">
    <cfRule type="cellIs" dxfId="425" priority="425" operator="greaterThan">
      <formula>0.03</formula>
    </cfRule>
    <cfRule type="cellIs" dxfId="424" priority="426" stopIfTrue="1" operator="lessThan">
      <formula>-0.03</formula>
    </cfRule>
  </conditionalFormatting>
  <conditionalFormatting sqref="AO99">
    <cfRule type="cellIs" dxfId="423" priority="423" operator="greaterThan">
      <formula>0.03</formula>
    </cfRule>
    <cfRule type="cellIs" dxfId="422" priority="424" stopIfTrue="1" operator="lessThan">
      <formula>-0.03</formula>
    </cfRule>
  </conditionalFormatting>
  <conditionalFormatting sqref="AO104">
    <cfRule type="cellIs" dxfId="421" priority="421" operator="greaterThan">
      <formula>0.03</formula>
    </cfRule>
    <cfRule type="cellIs" dxfId="420" priority="422" stopIfTrue="1" operator="lessThan">
      <formula>-0.03</formula>
    </cfRule>
  </conditionalFormatting>
  <conditionalFormatting sqref="AO109">
    <cfRule type="cellIs" dxfId="419" priority="419" operator="greaterThan">
      <formula>0.03</formula>
    </cfRule>
    <cfRule type="cellIs" dxfId="418" priority="420" stopIfTrue="1" operator="lessThan">
      <formula>-0.03</formula>
    </cfRule>
  </conditionalFormatting>
  <conditionalFormatting sqref="AO114">
    <cfRule type="cellIs" dxfId="417" priority="417" operator="greaterThan">
      <formula>0.03</formula>
    </cfRule>
    <cfRule type="cellIs" dxfId="416" priority="418" stopIfTrue="1" operator="lessThan">
      <formula>-0.03</formula>
    </cfRule>
  </conditionalFormatting>
  <conditionalFormatting sqref="AO119">
    <cfRule type="cellIs" dxfId="415" priority="415" operator="greaterThan">
      <formula>0.03</formula>
    </cfRule>
    <cfRule type="cellIs" dxfId="414" priority="416" stopIfTrue="1" operator="lessThan">
      <formula>-0.03</formula>
    </cfRule>
  </conditionalFormatting>
  <conditionalFormatting sqref="AO124">
    <cfRule type="cellIs" dxfId="413" priority="413" operator="greaterThan">
      <formula>0.03</formula>
    </cfRule>
    <cfRule type="cellIs" dxfId="412" priority="414" stopIfTrue="1" operator="lessThan">
      <formula>-0.03</formula>
    </cfRule>
  </conditionalFormatting>
  <conditionalFormatting sqref="AO129">
    <cfRule type="cellIs" dxfId="411" priority="411" operator="greaterThan">
      <formula>0.03</formula>
    </cfRule>
    <cfRule type="cellIs" dxfId="410" priority="412" stopIfTrue="1" operator="lessThan">
      <formula>-0.03</formula>
    </cfRule>
  </conditionalFormatting>
  <conditionalFormatting sqref="AU8">
    <cfRule type="cellIs" dxfId="409" priority="409" operator="greaterThan">
      <formula>0.03</formula>
    </cfRule>
    <cfRule type="cellIs" dxfId="408" priority="410" stopIfTrue="1" operator="lessThan">
      <formula>-0.03</formula>
    </cfRule>
  </conditionalFormatting>
  <conditionalFormatting sqref="AU13">
    <cfRule type="cellIs" dxfId="407" priority="407" operator="greaterThan">
      <formula>0.03</formula>
    </cfRule>
    <cfRule type="cellIs" dxfId="406" priority="408" stopIfTrue="1" operator="lessThan">
      <formula>-0.03</formula>
    </cfRule>
  </conditionalFormatting>
  <conditionalFormatting sqref="AU18">
    <cfRule type="cellIs" dxfId="405" priority="405" operator="greaterThan">
      <formula>0.03</formula>
    </cfRule>
    <cfRule type="cellIs" dxfId="404" priority="406" stopIfTrue="1" operator="lessThan">
      <formula>-0.03</formula>
    </cfRule>
  </conditionalFormatting>
  <conditionalFormatting sqref="AU23">
    <cfRule type="cellIs" dxfId="403" priority="403" operator="greaterThan">
      <formula>0.03</formula>
    </cfRule>
    <cfRule type="cellIs" dxfId="402" priority="404" stopIfTrue="1" operator="lessThan">
      <formula>-0.03</formula>
    </cfRule>
  </conditionalFormatting>
  <conditionalFormatting sqref="AU28">
    <cfRule type="cellIs" dxfId="401" priority="401" operator="greaterThan">
      <formula>0.03</formula>
    </cfRule>
    <cfRule type="cellIs" dxfId="400" priority="402" stopIfTrue="1" operator="lessThan">
      <formula>-0.03</formula>
    </cfRule>
  </conditionalFormatting>
  <conditionalFormatting sqref="AU33">
    <cfRule type="cellIs" dxfId="399" priority="399" operator="greaterThan">
      <formula>0.03</formula>
    </cfRule>
    <cfRule type="cellIs" dxfId="398" priority="400" stopIfTrue="1" operator="lessThan">
      <formula>-0.03</formula>
    </cfRule>
  </conditionalFormatting>
  <conditionalFormatting sqref="AU38">
    <cfRule type="cellIs" dxfId="397" priority="397" operator="greaterThan">
      <formula>0.03</formula>
    </cfRule>
    <cfRule type="cellIs" dxfId="396" priority="398" stopIfTrue="1" operator="lessThan">
      <formula>-0.03</formula>
    </cfRule>
  </conditionalFormatting>
  <conditionalFormatting sqref="AU43">
    <cfRule type="cellIs" dxfId="395" priority="395" operator="greaterThan">
      <formula>0.03</formula>
    </cfRule>
    <cfRule type="cellIs" dxfId="394" priority="396" stopIfTrue="1" operator="lessThan">
      <formula>-0.03</formula>
    </cfRule>
  </conditionalFormatting>
  <conditionalFormatting sqref="AU48">
    <cfRule type="cellIs" dxfId="393" priority="393" operator="greaterThan">
      <formula>0.03</formula>
    </cfRule>
    <cfRule type="cellIs" dxfId="392" priority="394" stopIfTrue="1" operator="lessThan">
      <formula>-0.03</formula>
    </cfRule>
  </conditionalFormatting>
  <conditionalFormatting sqref="AU53">
    <cfRule type="cellIs" dxfId="391" priority="391" operator="greaterThan">
      <formula>0.03</formula>
    </cfRule>
    <cfRule type="cellIs" dxfId="390" priority="392" stopIfTrue="1" operator="lessThan">
      <formula>-0.03</formula>
    </cfRule>
  </conditionalFormatting>
  <conditionalFormatting sqref="AU58">
    <cfRule type="cellIs" dxfId="389" priority="389" operator="greaterThan">
      <formula>0.03</formula>
    </cfRule>
    <cfRule type="cellIs" dxfId="388" priority="390" stopIfTrue="1" operator="lessThan">
      <formula>-0.03</formula>
    </cfRule>
  </conditionalFormatting>
  <conditionalFormatting sqref="AU63">
    <cfRule type="cellIs" dxfId="387" priority="387" operator="greaterThan">
      <formula>0.03</formula>
    </cfRule>
    <cfRule type="cellIs" dxfId="386" priority="388" stopIfTrue="1" operator="lessThan">
      <formula>-0.03</formula>
    </cfRule>
  </conditionalFormatting>
  <conditionalFormatting sqref="AU68">
    <cfRule type="cellIs" dxfId="385" priority="385" operator="greaterThan">
      <formula>0.03</formula>
    </cfRule>
    <cfRule type="cellIs" dxfId="384" priority="386" stopIfTrue="1" operator="lessThan">
      <formula>-0.03</formula>
    </cfRule>
  </conditionalFormatting>
  <conditionalFormatting sqref="AU73">
    <cfRule type="cellIs" dxfId="383" priority="383" operator="greaterThan">
      <formula>0.03</formula>
    </cfRule>
    <cfRule type="cellIs" dxfId="382" priority="384" stopIfTrue="1" operator="lessThan">
      <formula>-0.03</formula>
    </cfRule>
  </conditionalFormatting>
  <conditionalFormatting sqref="AU78">
    <cfRule type="cellIs" dxfId="381" priority="381" operator="greaterThan">
      <formula>0.03</formula>
    </cfRule>
    <cfRule type="cellIs" dxfId="380" priority="382" stopIfTrue="1" operator="lessThan">
      <formula>-0.03</formula>
    </cfRule>
  </conditionalFormatting>
  <conditionalFormatting sqref="AU83">
    <cfRule type="cellIs" dxfId="379" priority="379" operator="greaterThan">
      <formula>0.03</formula>
    </cfRule>
    <cfRule type="cellIs" dxfId="378" priority="380" stopIfTrue="1" operator="lessThan">
      <formula>-0.03</formula>
    </cfRule>
  </conditionalFormatting>
  <conditionalFormatting sqref="AU88">
    <cfRule type="cellIs" dxfId="377" priority="377" operator="greaterThan">
      <formula>0.03</formula>
    </cfRule>
    <cfRule type="cellIs" dxfId="376" priority="378" stopIfTrue="1" operator="lessThan">
      <formula>-0.03</formula>
    </cfRule>
  </conditionalFormatting>
  <conditionalFormatting sqref="AU93">
    <cfRule type="cellIs" dxfId="375" priority="375" operator="greaterThan">
      <formula>0.03</formula>
    </cfRule>
    <cfRule type="cellIs" dxfId="374" priority="376" stopIfTrue="1" operator="lessThan">
      <formula>-0.03</formula>
    </cfRule>
  </conditionalFormatting>
  <conditionalFormatting sqref="AU98">
    <cfRule type="cellIs" dxfId="373" priority="373" operator="greaterThan">
      <formula>0.03</formula>
    </cfRule>
    <cfRule type="cellIs" dxfId="372" priority="374" stopIfTrue="1" operator="lessThan">
      <formula>-0.03</formula>
    </cfRule>
  </conditionalFormatting>
  <conditionalFormatting sqref="AU103">
    <cfRule type="cellIs" dxfId="371" priority="371" operator="greaterThan">
      <formula>0.03</formula>
    </cfRule>
    <cfRule type="cellIs" dxfId="370" priority="372" stopIfTrue="1" operator="lessThan">
      <formula>-0.03</formula>
    </cfRule>
  </conditionalFormatting>
  <conditionalFormatting sqref="AU108">
    <cfRule type="cellIs" dxfId="369" priority="369" operator="greaterThan">
      <formula>0.03</formula>
    </cfRule>
    <cfRule type="cellIs" dxfId="368" priority="370" stopIfTrue="1" operator="lessThan">
      <formula>-0.03</formula>
    </cfRule>
  </conditionalFormatting>
  <conditionalFormatting sqref="AU113">
    <cfRule type="cellIs" dxfId="367" priority="367" operator="greaterThan">
      <formula>0.03</formula>
    </cfRule>
    <cfRule type="cellIs" dxfId="366" priority="368" stopIfTrue="1" operator="lessThan">
      <formula>-0.03</formula>
    </cfRule>
  </conditionalFormatting>
  <conditionalFormatting sqref="AU118">
    <cfRule type="cellIs" dxfId="365" priority="365" operator="greaterThan">
      <formula>0.03</formula>
    </cfRule>
    <cfRule type="cellIs" dxfId="364" priority="366" stopIfTrue="1" operator="lessThan">
      <formula>-0.03</formula>
    </cfRule>
  </conditionalFormatting>
  <conditionalFormatting sqref="AU123">
    <cfRule type="cellIs" dxfId="363" priority="363" operator="greaterThan">
      <formula>0.03</formula>
    </cfRule>
    <cfRule type="cellIs" dxfId="362" priority="364" stopIfTrue="1" operator="lessThan">
      <formula>-0.03</formula>
    </cfRule>
  </conditionalFormatting>
  <conditionalFormatting sqref="AU128">
    <cfRule type="cellIs" dxfId="361" priority="361" operator="greaterThan">
      <formula>0.03</formula>
    </cfRule>
    <cfRule type="cellIs" dxfId="360" priority="362" stopIfTrue="1" operator="lessThan">
      <formula>-0.03</formula>
    </cfRule>
  </conditionalFormatting>
  <conditionalFormatting sqref="AG73">
    <cfRule type="cellIs" dxfId="359" priority="359" operator="equal">
      <formula>0</formula>
    </cfRule>
    <cfRule type="cellIs" dxfId="358" priority="360" operator="equal">
      <formula>0</formula>
    </cfRule>
  </conditionalFormatting>
  <conditionalFormatting sqref="AP9">
    <cfRule type="cellIs" dxfId="357" priority="357" operator="greaterThan">
      <formula>0.03</formula>
    </cfRule>
    <cfRule type="cellIs" dxfId="356" priority="358" stopIfTrue="1" operator="lessThan">
      <formula>-0.03</formula>
    </cfRule>
  </conditionalFormatting>
  <conditionalFormatting sqref="AP14">
    <cfRule type="cellIs" dxfId="355" priority="355" operator="greaterThan">
      <formula>0.03</formula>
    </cfRule>
    <cfRule type="cellIs" dxfId="354" priority="356" stopIfTrue="1" operator="lessThan">
      <formula>-0.03</formula>
    </cfRule>
  </conditionalFormatting>
  <conditionalFormatting sqref="AP19">
    <cfRule type="cellIs" dxfId="353" priority="353" operator="greaterThan">
      <formula>0.03</formula>
    </cfRule>
    <cfRule type="cellIs" dxfId="352" priority="354" stopIfTrue="1" operator="lessThan">
      <formula>-0.03</formula>
    </cfRule>
  </conditionalFormatting>
  <conditionalFormatting sqref="AP24">
    <cfRule type="cellIs" dxfId="351" priority="351" operator="greaterThan">
      <formula>0.03</formula>
    </cfRule>
    <cfRule type="cellIs" dxfId="350" priority="352" stopIfTrue="1" operator="lessThan">
      <formula>-0.03</formula>
    </cfRule>
  </conditionalFormatting>
  <conditionalFormatting sqref="AP29">
    <cfRule type="cellIs" dxfId="349" priority="349" operator="greaterThan">
      <formula>0.03</formula>
    </cfRule>
    <cfRule type="cellIs" dxfId="348" priority="350" stopIfTrue="1" operator="lessThan">
      <formula>-0.03</formula>
    </cfRule>
  </conditionalFormatting>
  <conditionalFormatting sqref="AP34">
    <cfRule type="cellIs" dxfId="347" priority="347" operator="greaterThan">
      <formula>0.03</formula>
    </cfRule>
    <cfRule type="cellIs" dxfId="346" priority="348" stopIfTrue="1" operator="lessThan">
      <formula>-0.03</formula>
    </cfRule>
  </conditionalFormatting>
  <conditionalFormatting sqref="AP39">
    <cfRule type="cellIs" dxfId="345" priority="345" operator="greaterThan">
      <formula>0.03</formula>
    </cfRule>
    <cfRule type="cellIs" dxfId="344" priority="346" stopIfTrue="1" operator="lessThan">
      <formula>-0.03</formula>
    </cfRule>
  </conditionalFormatting>
  <conditionalFormatting sqref="AP44">
    <cfRule type="cellIs" dxfId="343" priority="343" operator="greaterThan">
      <formula>0.03</formula>
    </cfRule>
    <cfRule type="cellIs" dxfId="342" priority="344" stopIfTrue="1" operator="lessThan">
      <formula>-0.03</formula>
    </cfRule>
  </conditionalFormatting>
  <conditionalFormatting sqref="AP49">
    <cfRule type="cellIs" dxfId="341" priority="341" operator="greaterThan">
      <formula>0.03</formula>
    </cfRule>
    <cfRule type="cellIs" dxfId="340" priority="342" stopIfTrue="1" operator="lessThan">
      <formula>-0.03</formula>
    </cfRule>
  </conditionalFormatting>
  <conditionalFormatting sqref="AP54">
    <cfRule type="cellIs" dxfId="339" priority="339" operator="greaterThan">
      <formula>0.03</formula>
    </cfRule>
    <cfRule type="cellIs" dxfId="338" priority="340" stopIfTrue="1" operator="lessThan">
      <formula>-0.03</formula>
    </cfRule>
  </conditionalFormatting>
  <conditionalFormatting sqref="AP59">
    <cfRule type="cellIs" dxfId="337" priority="337" operator="greaterThan">
      <formula>0.03</formula>
    </cfRule>
    <cfRule type="cellIs" dxfId="336" priority="338" stopIfTrue="1" operator="lessThan">
      <formula>-0.03</formula>
    </cfRule>
  </conditionalFormatting>
  <conditionalFormatting sqref="AP64">
    <cfRule type="cellIs" dxfId="335" priority="335" operator="greaterThan">
      <formula>0.03</formula>
    </cfRule>
    <cfRule type="cellIs" dxfId="334" priority="336" stopIfTrue="1" operator="lessThan">
      <formula>-0.03</formula>
    </cfRule>
  </conditionalFormatting>
  <conditionalFormatting sqref="AP69">
    <cfRule type="cellIs" dxfId="333" priority="333" operator="greaterThan">
      <formula>0.03</formula>
    </cfRule>
    <cfRule type="cellIs" dxfId="332" priority="334" stopIfTrue="1" operator="lessThan">
      <formula>-0.03</formula>
    </cfRule>
  </conditionalFormatting>
  <conditionalFormatting sqref="AP74">
    <cfRule type="cellIs" dxfId="331" priority="331" operator="greaterThan">
      <formula>0.03</formula>
    </cfRule>
    <cfRule type="cellIs" dxfId="330" priority="332" stopIfTrue="1" operator="lessThan">
      <formula>-0.03</formula>
    </cfRule>
  </conditionalFormatting>
  <conditionalFormatting sqref="AP79">
    <cfRule type="cellIs" dxfId="329" priority="329" operator="greaterThan">
      <formula>0.03</formula>
    </cfRule>
    <cfRule type="cellIs" dxfId="328" priority="330" stopIfTrue="1" operator="lessThan">
      <formula>-0.03</formula>
    </cfRule>
  </conditionalFormatting>
  <conditionalFormatting sqref="AP84">
    <cfRule type="cellIs" dxfId="327" priority="327" operator="greaterThan">
      <formula>0.03</formula>
    </cfRule>
    <cfRule type="cellIs" dxfId="326" priority="328" stopIfTrue="1" operator="lessThan">
      <formula>-0.03</formula>
    </cfRule>
  </conditionalFormatting>
  <conditionalFormatting sqref="AP89">
    <cfRule type="cellIs" dxfId="325" priority="325" operator="greaterThan">
      <formula>0.03</formula>
    </cfRule>
    <cfRule type="cellIs" dxfId="324" priority="326" stopIfTrue="1" operator="lessThan">
      <formula>-0.03</formula>
    </cfRule>
  </conditionalFormatting>
  <conditionalFormatting sqref="AP94">
    <cfRule type="cellIs" dxfId="323" priority="323" operator="greaterThan">
      <formula>0.03</formula>
    </cfRule>
    <cfRule type="cellIs" dxfId="322" priority="324" stopIfTrue="1" operator="lessThan">
      <formula>-0.03</formula>
    </cfRule>
  </conditionalFormatting>
  <conditionalFormatting sqref="AP99">
    <cfRule type="cellIs" dxfId="321" priority="321" operator="greaterThan">
      <formula>0.03</formula>
    </cfRule>
    <cfRule type="cellIs" dxfId="320" priority="322" stopIfTrue="1" operator="lessThan">
      <formula>-0.03</formula>
    </cfRule>
  </conditionalFormatting>
  <conditionalFormatting sqref="AP104">
    <cfRule type="cellIs" dxfId="319" priority="319" operator="greaterThan">
      <formula>0.03</formula>
    </cfRule>
    <cfRule type="cellIs" dxfId="318" priority="320" stopIfTrue="1" operator="lessThan">
      <formula>-0.03</formula>
    </cfRule>
  </conditionalFormatting>
  <conditionalFormatting sqref="AP109">
    <cfRule type="cellIs" dxfId="317" priority="317" operator="greaterThan">
      <formula>0.03</formula>
    </cfRule>
    <cfRule type="cellIs" dxfId="316" priority="318" stopIfTrue="1" operator="lessThan">
      <formula>-0.03</formula>
    </cfRule>
  </conditionalFormatting>
  <conditionalFormatting sqref="AP114">
    <cfRule type="cellIs" dxfId="315" priority="315" operator="greaterThan">
      <formula>0.03</formula>
    </cfRule>
    <cfRule type="cellIs" dxfId="314" priority="316" stopIfTrue="1" operator="lessThan">
      <formula>-0.03</formula>
    </cfRule>
  </conditionalFormatting>
  <conditionalFormatting sqref="AP119">
    <cfRule type="cellIs" dxfId="313" priority="313" operator="greaterThan">
      <formula>0.03</formula>
    </cfRule>
    <cfRule type="cellIs" dxfId="312" priority="314" stopIfTrue="1" operator="lessThan">
      <formula>-0.03</formula>
    </cfRule>
  </conditionalFormatting>
  <conditionalFormatting sqref="AP124">
    <cfRule type="cellIs" dxfId="311" priority="311" operator="greaterThan">
      <formula>0.03</formula>
    </cfRule>
    <cfRule type="cellIs" dxfId="310" priority="312" stopIfTrue="1" operator="lessThan">
      <formula>-0.03</formula>
    </cfRule>
  </conditionalFormatting>
  <conditionalFormatting sqref="AP129">
    <cfRule type="cellIs" dxfId="309" priority="309" operator="greaterThan">
      <formula>0.03</formula>
    </cfRule>
    <cfRule type="cellIs" dxfId="308" priority="310" stopIfTrue="1" operator="lessThan">
      <formula>-0.03</formula>
    </cfRule>
  </conditionalFormatting>
  <conditionalFormatting sqref="AI8:AK8">
    <cfRule type="cellIs" dxfId="307" priority="307" operator="greaterThan">
      <formula>0.03</formula>
    </cfRule>
    <cfRule type="cellIs" dxfId="306" priority="308" stopIfTrue="1" operator="lessThan">
      <formula>-0.03</formula>
    </cfRule>
  </conditionalFormatting>
  <conditionalFormatting sqref="AF8:AH8">
    <cfRule type="cellIs" dxfId="305" priority="305" operator="greaterThan">
      <formula>0.03</formula>
    </cfRule>
    <cfRule type="cellIs" dxfId="304" priority="306" stopIfTrue="1" operator="lessThan">
      <formula>-0.03</formula>
    </cfRule>
  </conditionalFormatting>
  <conditionalFormatting sqref="AI13:AK13">
    <cfRule type="cellIs" dxfId="303" priority="303" operator="greaterThan">
      <formula>0.03</formula>
    </cfRule>
    <cfRule type="cellIs" dxfId="302" priority="304" stopIfTrue="1" operator="lessThan">
      <formula>-0.03</formula>
    </cfRule>
  </conditionalFormatting>
  <conditionalFormatting sqref="AF13:AH13">
    <cfRule type="cellIs" dxfId="301" priority="301" operator="greaterThan">
      <formula>0.03</formula>
    </cfRule>
    <cfRule type="cellIs" dxfId="300" priority="302" stopIfTrue="1" operator="lessThan">
      <formula>-0.03</formula>
    </cfRule>
  </conditionalFormatting>
  <conditionalFormatting sqref="AI18:AK18">
    <cfRule type="cellIs" dxfId="299" priority="299" operator="greaterThan">
      <formula>0.03</formula>
    </cfRule>
    <cfRule type="cellIs" dxfId="298" priority="300" stopIfTrue="1" operator="lessThan">
      <formula>-0.03</formula>
    </cfRule>
  </conditionalFormatting>
  <conditionalFormatting sqref="AF18:AH18">
    <cfRule type="cellIs" dxfId="297" priority="297" operator="greaterThan">
      <formula>0.03</formula>
    </cfRule>
    <cfRule type="cellIs" dxfId="296" priority="298" stopIfTrue="1" operator="lessThan">
      <formula>-0.03</formula>
    </cfRule>
  </conditionalFormatting>
  <conditionalFormatting sqref="AI23:AK23">
    <cfRule type="cellIs" dxfId="295" priority="295" operator="greaterThan">
      <formula>0.03</formula>
    </cfRule>
    <cfRule type="cellIs" dxfId="294" priority="296" stopIfTrue="1" operator="lessThan">
      <formula>-0.03</formula>
    </cfRule>
  </conditionalFormatting>
  <conditionalFormatting sqref="AF23:AH23">
    <cfRule type="cellIs" dxfId="293" priority="293" operator="greaterThan">
      <formula>0.03</formula>
    </cfRule>
    <cfRule type="cellIs" dxfId="292" priority="294" stopIfTrue="1" operator="lessThan">
      <formula>-0.03</formula>
    </cfRule>
  </conditionalFormatting>
  <conditionalFormatting sqref="AI28:AK28">
    <cfRule type="cellIs" dxfId="291" priority="291" operator="greaterThan">
      <formula>0.03</formula>
    </cfRule>
    <cfRule type="cellIs" dxfId="290" priority="292" stopIfTrue="1" operator="lessThan">
      <formula>-0.03</formula>
    </cfRule>
  </conditionalFormatting>
  <conditionalFormatting sqref="AF28:AH28">
    <cfRule type="cellIs" dxfId="289" priority="289" operator="greaterThan">
      <formula>0.03</formula>
    </cfRule>
    <cfRule type="cellIs" dxfId="288" priority="290" stopIfTrue="1" operator="lessThan">
      <formula>-0.03</formula>
    </cfRule>
  </conditionalFormatting>
  <conditionalFormatting sqref="AI33:AK33">
    <cfRule type="cellIs" dxfId="287" priority="287" operator="greaterThan">
      <formula>0.03</formula>
    </cfRule>
    <cfRule type="cellIs" dxfId="286" priority="288" stopIfTrue="1" operator="lessThan">
      <formula>-0.03</formula>
    </cfRule>
  </conditionalFormatting>
  <conditionalFormatting sqref="AF33:AH33">
    <cfRule type="cellIs" dxfId="285" priority="285" operator="greaterThan">
      <formula>0.03</formula>
    </cfRule>
    <cfRule type="cellIs" dxfId="284" priority="286" stopIfTrue="1" operator="lessThan">
      <formula>-0.03</formula>
    </cfRule>
  </conditionalFormatting>
  <conditionalFormatting sqref="AI38:AK38">
    <cfRule type="cellIs" dxfId="283" priority="283" operator="greaterThan">
      <formula>0.03</formula>
    </cfRule>
    <cfRule type="cellIs" dxfId="282" priority="284" stopIfTrue="1" operator="lessThan">
      <formula>-0.03</formula>
    </cfRule>
  </conditionalFormatting>
  <conditionalFormatting sqref="AF38:AH38">
    <cfRule type="cellIs" dxfId="281" priority="281" operator="greaterThan">
      <formula>0.03</formula>
    </cfRule>
    <cfRule type="cellIs" dxfId="280" priority="282" stopIfTrue="1" operator="lessThan">
      <formula>-0.03</formula>
    </cfRule>
  </conditionalFormatting>
  <conditionalFormatting sqref="AI43:AK43">
    <cfRule type="cellIs" dxfId="279" priority="279" operator="greaterThan">
      <formula>0.03</formula>
    </cfRule>
    <cfRule type="cellIs" dxfId="278" priority="280" stopIfTrue="1" operator="lessThan">
      <formula>-0.03</formula>
    </cfRule>
  </conditionalFormatting>
  <conditionalFormatting sqref="AF43:AH43">
    <cfRule type="cellIs" dxfId="277" priority="277" operator="greaterThan">
      <formula>0.03</formula>
    </cfRule>
    <cfRule type="cellIs" dxfId="276" priority="278" stopIfTrue="1" operator="lessThan">
      <formula>-0.03</formula>
    </cfRule>
  </conditionalFormatting>
  <conditionalFormatting sqref="AI48:AK48">
    <cfRule type="cellIs" dxfId="275" priority="275" operator="greaterThan">
      <formula>0.03</formula>
    </cfRule>
    <cfRule type="cellIs" dxfId="274" priority="276" stopIfTrue="1" operator="lessThan">
      <formula>-0.03</formula>
    </cfRule>
  </conditionalFormatting>
  <conditionalFormatting sqref="AF48:AH48">
    <cfRule type="cellIs" dxfId="273" priority="273" operator="greaterThan">
      <formula>0.03</formula>
    </cfRule>
    <cfRule type="cellIs" dxfId="272" priority="274" stopIfTrue="1" operator="lessThan">
      <formula>-0.03</formula>
    </cfRule>
  </conditionalFormatting>
  <conditionalFormatting sqref="AI53:AK53">
    <cfRule type="cellIs" dxfId="271" priority="271" operator="greaterThan">
      <formula>0.03</formula>
    </cfRule>
    <cfRule type="cellIs" dxfId="270" priority="272" stopIfTrue="1" operator="lessThan">
      <formula>-0.03</formula>
    </cfRule>
  </conditionalFormatting>
  <conditionalFormatting sqref="AF53:AH53">
    <cfRule type="cellIs" dxfId="269" priority="269" operator="greaterThan">
      <formula>0.03</formula>
    </cfRule>
    <cfRule type="cellIs" dxfId="268" priority="270" stopIfTrue="1" operator="lessThan">
      <formula>-0.03</formula>
    </cfRule>
  </conditionalFormatting>
  <conditionalFormatting sqref="AI58:AK58">
    <cfRule type="cellIs" dxfId="267" priority="267" operator="greaterThan">
      <formula>0.03</formula>
    </cfRule>
    <cfRule type="cellIs" dxfId="266" priority="268" stopIfTrue="1" operator="lessThan">
      <formula>-0.03</formula>
    </cfRule>
  </conditionalFormatting>
  <conditionalFormatting sqref="AF58:AH58">
    <cfRule type="cellIs" dxfId="265" priority="265" operator="greaterThan">
      <formula>0.03</formula>
    </cfRule>
    <cfRule type="cellIs" dxfId="264" priority="266" stopIfTrue="1" operator="lessThan">
      <formula>-0.03</formula>
    </cfRule>
  </conditionalFormatting>
  <conditionalFormatting sqref="AI63:AK63">
    <cfRule type="cellIs" dxfId="263" priority="263" operator="greaterThan">
      <formula>0.03</formula>
    </cfRule>
    <cfRule type="cellIs" dxfId="262" priority="264" stopIfTrue="1" operator="lessThan">
      <formula>-0.03</formula>
    </cfRule>
  </conditionalFormatting>
  <conditionalFormatting sqref="AF63:AH63">
    <cfRule type="cellIs" dxfId="261" priority="261" operator="greaterThan">
      <formula>0.03</formula>
    </cfRule>
    <cfRule type="cellIs" dxfId="260" priority="262" stopIfTrue="1" operator="lessThan">
      <formula>-0.03</formula>
    </cfRule>
  </conditionalFormatting>
  <conditionalFormatting sqref="AI68:AK68">
    <cfRule type="cellIs" dxfId="259" priority="259" operator="greaterThan">
      <formula>0.03</formula>
    </cfRule>
    <cfRule type="cellIs" dxfId="258" priority="260" stopIfTrue="1" operator="lessThan">
      <formula>-0.03</formula>
    </cfRule>
  </conditionalFormatting>
  <conditionalFormatting sqref="AF68:AH68">
    <cfRule type="cellIs" dxfId="257" priority="257" operator="greaterThan">
      <formula>0.03</formula>
    </cfRule>
    <cfRule type="cellIs" dxfId="256" priority="258" stopIfTrue="1" operator="lessThan">
      <formula>-0.03</formula>
    </cfRule>
  </conditionalFormatting>
  <conditionalFormatting sqref="AI73:AK73">
    <cfRule type="cellIs" dxfId="255" priority="255" operator="greaterThan">
      <formula>0.03</formula>
    </cfRule>
    <cfRule type="cellIs" dxfId="254" priority="256" stopIfTrue="1" operator="lessThan">
      <formula>-0.03</formula>
    </cfRule>
  </conditionalFormatting>
  <conditionalFormatting sqref="AF73:AH73">
    <cfRule type="cellIs" dxfId="253" priority="253" operator="greaterThan">
      <formula>0.03</formula>
    </cfRule>
    <cfRule type="cellIs" dxfId="252" priority="254" stopIfTrue="1" operator="lessThan">
      <formula>-0.03</formula>
    </cfRule>
  </conditionalFormatting>
  <conditionalFormatting sqref="AI78:AK78">
    <cfRule type="cellIs" dxfId="251" priority="251" operator="greaterThan">
      <formula>0.03</formula>
    </cfRule>
    <cfRule type="cellIs" dxfId="250" priority="252" stopIfTrue="1" operator="lessThan">
      <formula>-0.03</formula>
    </cfRule>
  </conditionalFormatting>
  <conditionalFormatting sqref="AF78:AH78">
    <cfRule type="cellIs" dxfId="249" priority="249" operator="greaterThan">
      <formula>0.03</formula>
    </cfRule>
    <cfRule type="cellIs" dxfId="248" priority="250" stopIfTrue="1" operator="lessThan">
      <formula>-0.03</formula>
    </cfRule>
  </conditionalFormatting>
  <conditionalFormatting sqref="AI83:AK83">
    <cfRule type="cellIs" dxfId="247" priority="247" operator="greaterThan">
      <formula>0.03</formula>
    </cfRule>
    <cfRule type="cellIs" dxfId="246" priority="248" stopIfTrue="1" operator="lessThan">
      <formula>-0.03</formula>
    </cfRule>
  </conditionalFormatting>
  <conditionalFormatting sqref="AF83:AH83">
    <cfRule type="cellIs" dxfId="245" priority="245" operator="greaterThan">
      <formula>0.03</formula>
    </cfRule>
    <cfRule type="cellIs" dxfId="244" priority="246" stopIfTrue="1" operator="lessThan">
      <formula>-0.03</formula>
    </cfRule>
  </conditionalFormatting>
  <conditionalFormatting sqref="AI88:AK88">
    <cfRule type="cellIs" dxfId="243" priority="243" operator="greaterThan">
      <formula>0.03</formula>
    </cfRule>
    <cfRule type="cellIs" dxfId="242" priority="244" stopIfTrue="1" operator="lessThan">
      <formula>-0.03</formula>
    </cfRule>
  </conditionalFormatting>
  <conditionalFormatting sqref="AF88:AH88">
    <cfRule type="cellIs" dxfId="241" priority="241" operator="greaterThan">
      <formula>0.03</formula>
    </cfRule>
    <cfRule type="cellIs" dxfId="240" priority="242" stopIfTrue="1" operator="lessThan">
      <formula>-0.03</formula>
    </cfRule>
  </conditionalFormatting>
  <conditionalFormatting sqref="AI93:AK93">
    <cfRule type="cellIs" dxfId="239" priority="239" operator="greaterThan">
      <formula>0.03</formula>
    </cfRule>
    <cfRule type="cellIs" dxfId="238" priority="240" stopIfTrue="1" operator="lessThan">
      <formula>-0.03</formula>
    </cfRule>
  </conditionalFormatting>
  <conditionalFormatting sqref="AF93:AH93">
    <cfRule type="cellIs" dxfId="237" priority="237" operator="greaterThan">
      <formula>0.03</formula>
    </cfRule>
    <cfRule type="cellIs" dxfId="236" priority="238" stopIfTrue="1" operator="lessThan">
      <formula>-0.03</formula>
    </cfRule>
  </conditionalFormatting>
  <conditionalFormatting sqref="AI98:AK98">
    <cfRule type="cellIs" dxfId="235" priority="235" operator="greaterThan">
      <formula>0.03</formula>
    </cfRule>
    <cfRule type="cellIs" dxfId="234" priority="236" stopIfTrue="1" operator="lessThan">
      <formula>-0.03</formula>
    </cfRule>
  </conditionalFormatting>
  <conditionalFormatting sqref="AF98:AH98">
    <cfRule type="cellIs" dxfId="233" priority="233" operator="greaterThan">
      <formula>0.03</formula>
    </cfRule>
    <cfRule type="cellIs" dxfId="232" priority="234" stopIfTrue="1" operator="lessThan">
      <formula>-0.03</formula>
    </cfRule>
  </conditionalFormatting>
  <conditionalFormatting sqref="AI103:AK103">
    <cfRule type="cellIs" dxfId="231" priority="231" operator="greaterThan">
      <formula>0.03</formula>
    </cfRule>
    <cfRule type="cellIs" dxfId="230" priority="232" stopIfTrue="1" operator="lessThan">
      <formula>-0.03</formula>
    </cfRule>
  </conditionalFormatting>
  <conditionalFormatting sqref="AF103:AH103">
    <cfRule type="cellIs" dxfId="229" priority="229" operator="greaterThan">
      <formula>0.03</formula>
    </cfRule>
    <cfRule type="cellIs" dxfId="228" priority="230" stopIfTrue="1" operator="lessThan">
      <formula>-0.03</formula>
    </cfRule>
  </conditionalFormatting>
  <conditionalFormatting sqref="AI108:AK108">
    <cfRule type="cellIs" dxfId="227" priority="227" operator="greaterThan">
      <formula>0.03</formula>
    </cfRule>
    <cfRule type="cellIs" dxfId="226" priority="228" stopIfTrue="1" operator="lessThan">
      <formula>-0.03</formula>
    </cfRule>
  </conditionalFormatting>
  <conditionalFormatting sqref="AF108:AH108">
    <cfRule type="cellIs" dxfId="225" priority="225" operator="greaterThan">
      <formula>0.03</formula>
    </cfRule>
    <cfRule type="cellIs" dxfId="224" priority="226" stopIfTrue="1" operator="lessThan">
      <formula>-0.03</formula>
    </cfRule>
  </conditionalFormatting>
  <conditionalFormatting sqref="AI113:AK113">
    <cfRule type="cellIs" dxfId="223" priority="223" operator="greaterThan">
      <formula>0.03</formula>
    </cfRule>
    <cfRule type="cellIs" dxfId="222" priority="224" stopIfTrue="1" operator="lessThan">
      <formula>-0.03</formula>
    </cfRule>
  </conditionalFormatting>
  <conditionalFormatting sqref="AF113:AH113">
    <cfRule type="cellIs" dxfId="221" priority="221" operator="greaterThan">
      <formula>0.03</formula>
    </cfRule>
    <cfRule type="cellIs" dxfId="220" priority="222" stopIfTrue="1" operator="lessThan">
      <formula>-0.03</formula>
    </cfRule>
  </conditionalFormatting>
  <conditionalFormatting sqref="AI118:AK118">
    <cfRule type="cellIs" dxfId="219" priority="219" operator="greaterThan">
      <formula>0.03</formula>
    </cfRule>
    <cfRule type="cellIs" dxfId="218" priority="220" stopIfTrue="1" operator="lessThan">
      <formula>-0.03</formula>
    </cfRule>
  </conditionalFormatting>
  <conditionalFormatting sqref="AF118:AH118">
    <cfRule type="cellIs" dxfId="217" priority="217" operator="greaterThan">
      <formula>0.03</formula>
    </cfRule>
    <cfRule type="cellIs" dxfId="216" priority="218" stopIfTrue="1" operator="lessThan">
      <formula>-0.03</formula>
    </cfRule>
  </conditionalFormatting>
  <conditionalFormatting sqref="AI123:AK123">
    <cfRule type="cellIs" dxfId="215" priority="215" operator="greaterThan">
      <formula>0.03</formula>
    </cfRule>
    <cfRule type="cellIs" dxfId="214" priority="216" stopIfTrue="1" operator="lessThan">
      <formula>-0.03</formula>
    </cfRule>
  </conditionalFormatting>
  <conditionalFormatting sqref="AF123:AH123">
    <cfRule type="cellIs" dxfId="213" priority="213" operator="greaterThan">
      <formula>0.03</formula>
    </cfRule>
    <cfRule type="cellIs" dxfId="212" priority="214" stopIfTrue="1" operator="lessThan">
      <formula>-0.03</formula>
    </cfRule>
  </conditionalFormatting>
  <conditionalFormatting sqref="AI128:AK128">
    <cfRule type="cellIs" dxfId="211" priority="211" operator="greaterThan">
      <formula>0.03</formula>
    </cfRule>
    <cfRule type="cellIs" dxfId="210" priority="212" stopIfTrue="1" operator="lessThan">
      <formula>-0.03</formula>
    </cfRule>
  </conditionalFormatting>
  <conditionalFormatting sqref="AF128:AH128">
    <cfRule type="cellIs" dxfId="209" priority="209" operator="greaterThan">
      <formula>0.03</formula>
    </cfRule>
    <cfRule type="cellIs" dxfId="208" priority="210" stopIfTrue="1" operator="lessThan">
      <formula>-0.03</formula>
    </cfRule>
  </conditionalFormatting>
  <conditionalFormatting sqref="AO9:AQ9">
    <cfRule type="cellIs" dxfId="207" priority="205" operator="greaterThan">
      <formula>0.03</formula>
    </cfRule>
    <cfRule type="cellIs" dxfId="206" priority="206" stopIfTrue="1" operator="lessThan">
      <formula>-0.03</formula>
    </cfRule>
  </conditionalFormatting>
  <conditionalFormatting sqref="AL9:AN9">
    <cfRule type="cellIs" dxfId="205" priority="207" operator="greaterThan">
      <formula>0.03</formula>
    </cfRule>
    <cfRule type="cellIs" dxfId="204" priority="208" stopIfTrue="1" operator="lessThan">
      <formula>-0.03</formula>
    </cfRule>
  </conditionalFormatting>
  <conditionalFormatting sqref="AO14:AQ14">
    <cfRule type="cellIs" dxfId="203" priority="201" operator="greaterThan">
      <formula>0.03</formula>
    </cfRule>
    <cfRule type="cellIs" dxfId="202" priority="202" stopIfTrue="1" operator="lessThan">
      <formula>-0.03</formula>
    </cfRule>
  </conditionalFormatting>
  <conditionalFormatting sqref="AL14:AN14">
    <cfRule type="cellIs" dxfId="201" priority="203" operator="greaterThan">
      <formula>0.03</formula>
    </cfRule>
    <cfRule type="cellIs" dxfId="200" priority="204" stopIfTrue="1" operator="lessThan">
      <formula>-0.03</formula>
    </cfRule>
  </conditionalFormatting>
  <conditionalFormatting sqref="AO19:AQ19">
    <cfRule type="cellIs" dxfId="199" priority="197" operator="greaterThan">
      <formula>0.03</formula>
    </cfRule>
    <cfRule type="cellIs" dxfId="198" priority="198" stopIfTrue="1" operator="lessThan">
      <formula>-0.03</formula>
    </cfRule>
  </conditionalFormatting>
  <conditionalFormatting sqref="AL19:AN19">
    <cfRule type="cellIs" dxfId="197" priority="199" operator="greaterThan">
      <formula>0.03</formula>
    </cfRule>
    <cfRule type="cellIs" dxfId="196" priority="200" stopIfTrue="1" operator="lessThan">
      <formula>-0.03</formula>
    </cfRule>
  </conditionalFormatting>
  <conditionalFormatting sqref="AO24:AQ24">
    <cfRule type="cellIs" dxfId="195" priority="193" operator="greaterThan">
      <formula>0.03</formula>
    </cfRule>
    <cfRule type="cellIs" dxfId="194" priority="194" stopIfTrue="1" operator="lessThan">
      <formula>-0.03</formula>
    </cfRule>
  </conditionalFormatting>
  <conditionalFormatting sqref="AL24:AN24">
    <cfRule type="cellIs" dxfId="193" priority="195" operator="greaterThan">
      <formula>0.03</formula>
    </cfRule>
    <cfRule type="cellIs" dxfId="192" priority="196" stopIfTrue="1" operator="lessThan">
      <formula>-0.03</formula>
    </cfRule>
  </conditionalFormatting>
  <conditionalFormatting sqref="AO29:AQ29">
    <cfRule type="cellIs" dxfId="191" priority="189" operator="greaterThan">
      <formula>0.03</formula>
    </cfRule>
    <cfRule type="cellIs" dxfId="190" priority="190" stopIfTrue="1" operator="lessThan">
      <formula>-0.03</formula>
    </cfRule>
  </conditionalFormatting>
  <conditionalFormatting sqref="AL29:AN29">
    <cfRule type="cellIs" dxfId="189" priority="191" operator="greaterThan">
      <formula>0.03</formula>
    </cfRule>
    <cfRule type="cellIs" dxfId="188" priority="192" stopIfTrue="1" operator="lessThan">
      <formula>-0.03</formula>
    </cfRule>
  </conditionalFormatting>
  <conditionalFormatting sqref="AO34:AQ34">
    <cfRule type="cellIs" dxfId="187" priority="185" operator="greaterThan">
      <formula>0.03</formula>
    </cfRule>
    <cfRule type="cellIs" dxfId="186" priority="186" stopIfTrue="1" operator="lessThan">
      <formula>-0.03</formula>
    </cfRule>
  </conditionalFormatting>
  <conditionalFormatting sqref="AL34:AN34">
    <cfRule type="cellIs" dxfId="185" priority="187" operator="greaterThan">
      <formula>0.03</formula>
    </cfRule>
    <cfRule type="cellIs" dxfId="184" priority="188" stopIfTrue="1" operator="lessThan">
      <formula>-0.03</formula>
    </cfRule>
  </conditionalFormatting>
  <conditionalFormatting sqref="AO39:AQ39">
    <cfRule type="cellIs" dxfId="183" priority="181" operator="greaterThan">
      <formula>0.03</formula>
    </cfRule>
    <cfRule type="cellIs" dxfId="182" priority="182" stopIfTrue="1" operator="lessThan">
      <formula>-0.03</formula>
    </cfRule>
  </conditionalFormatting>
  <conditionalFormatting sqref="AL39:AN39">
    <cfRule type="cellIs" dxfId="181" priority="183" operator="greaterThan">
      <formula>0.03</formula>
    </cfRule>
    <cfRule type="cellIs" dxfId="180" priority="184" stopIfTrue="1" operator="lessThan">
      <formula>-0.03</formula>
    </cfRule>
  </conditionalFormatting>
  <conditionalFormatting sqref="AO44:AQ44">
    <cfRule type="cellIs" dxfId="179" priority="177" operator="greaterThan">
      <formula>0.03</formula>
    </cfRule>
    <cfRule type="cellIs" dxfId="178" priority="178" stopIfTrue="1" operator="lessThan">
      <formula>-0.03</formula>
    </cfRule>
  </conditionalFormatting>
  <conditionalFormatting sqref="AL44:AN44">
    <cfRule type="cellIs" dxfId="177" priority="179" operator="greaterThan">
      <formula>0.03</formula>
    </cfRule>
    <cfRule type="cellIs" dxfId="176" priority="180" stopIfTrue="1" operator="lessThan">
      <formula>-0.03</formula>
    </cfRule>
  </conditionalFormatting>
  <conditionalFormatting sqref="AO49:AQ49">
    <cfRule type="cellIs" dxfId="175" priority="173" operator="greaterThan">
      <formula>0.03</formula>
    </cfRule>
    <cfRule type="cellIs" dxfId="174" priority="174" stopIfTrue="1" operator="lessThan">
      <formula>-0.03</formula>
    </cfRule>
  </conditionalFormatting>
  <conditionalFormatting sqref="AL49:AN49">
    <cfRule type="cellIs" dxfId="173" priority="175" operator="greaterThan">
      <formula>0.03</formula>
    </cfRule>
    <cfRule type="cellIs" dxfId="172" priority="176" stopIfTrue="1" operator="lessThan">
      <formula>-0.03</formula>
    </cfRule>
  </conditionalFormatting>
  <conditionalFormatting sqref="AO54:AQ54">
    <cfRule type="cellIs" dxfId="171" priority="169" operator="greaterThan">
      <formula>0.03</formula>
    </cfRule>
    <cfRule type="cellIs" dxfId="170" priority="170" stopIfTrue="1" operator="lessThan">
      <formula>-0.03</formula>
    </cfRule>
  </conditionalFormatting>
  <conditionalFormatting sqref="AL54:AN54">
    <cfRule type="cellIs" dxfId="169" priority="171" operator="greaterThan">
      <formula>0.03</formula>
    </cfRule>
    <cfRule type="cellIs" dxfId="168" priority="172" stopIfTrue="1" operator="lessThan">
      <formula>-0.03</formula>
    </cfRule>
  </conditionalFormatting>
  <conditionalFormatting sqref="AO59:AQ59">
    <cfRule type="cellIs" dxfId="167" priority="165" operator="greaterThan">
      <formula>0.03</formula>
    </cfRule>
    <cfRule type="cellIs" dxfId="166" priority="166" stopIfTrue="1" operator="lessThan">
      <formula>-0.03</formula>
    </cfRule>
  </conditionalFormatting>
  <conditionalFormatting sqref="AL59:AN59">
    <cfRule type="cellIs" dxfId="165" priority="167" operator="greaterThan">
      <formula>0.03</formula>
    </cfRule>
    <cfRule type="cellIs" dxfId="164" priority="168" stopIfTrue="1" operator="lessThan">
      <formula>-0.03</formula>
    </cfRule>
  </conditionalFormatting>
  <conditionalFormatting sqref="AO64:AQ64">
    <cfRule type="cellIs" dxfId="163" priority="161" operator="greaterThan">
      <formula>0.03</formula>
    </cfRule>
    <cfRule type="cellIs" dxfId="162" priority="162" stopIfTrue="1" operator="lessThan">
      <formula>-0.03</formula>
    </cfRule>
  </conditionalFormatting>
  <conditionalFormatting sqref="AL64:AN64">
    <cfRule type="cellIs" dxfId="161" priority="163" operator="greaterThan">
      <formula>0.03</formula>
    </cfRule>
    <cfRule type="cellIs" dxfId="160" priority="164" stopIfTrue="1" operator="lessThan">
      <formula>-0.03</formula>
    </cfRule>
  </conditionalFormatting>
  <conditionalFormatting sqref="AO69:AQ69">
    <cfRule type="cellIs" dxfId="159" priority="157" operator="greaterThan">
      <formula>0.03</formula>
    </cfRule>
    <cfRule type="cellIs" dxfId="158" priority="158" stopIfTrue="1" operator="lessThan">
      <formula>-0.03</formula>
    </cfRule>
  </conditionalFormatting>
  <conditionalFormatting sqref="AL69:AN69">
    <cfRule type="cellIs" dxfId="157" priority="159" operator="greaterThan">
      <formula>0.03</formula>
    </cfRule>
    <cfRule type="cellIs" dxfId="156" priority="160" stopIfTrue="1" operator="lessThan">
      <formula>-0.03</formula>
    </cfRule>
  </conditionalFormatting>
  <conditionalFormatting sqref="AO74:AQ74">
    <cfRule type="cellIs" dxfId="155" priority="153" operator="greaterThan">
      <formula>0.03</formula>
    </cfRule>
    <cfRule type="cellIs" dxfId="154" priority="154" stopIfTrue="1" operator="lessThan">
      <formula>-0.03</formula>
    </cfRule>
  </conditionalFormatting>
  <conditionalFormatting sqref="AL74:AN74">
    <cfRule type="cellIs" dxfId="153" priority="155" operator="greaterThan">
      <formula>0.03</formula>
    </cfRule>
    <cfRule type="cellIs" dxfId="152" priority="156" stopIfTrue="1" operator="lessThan">
      <formula>-0.03</formula>
    </cfRule>
  </conditionalFormatting>
  <conditionalFormatting sqref="AO79:AQ79">
    <cfRule type="cellIs" dxfId="151" priority="149" operator="greaterThan">
      <formula>0.03</formula>
    </cfRule>
    <cfRule type="cellIs" dxfId="150" priority="150" stopIfTrue="1" operator="lessThan">
      <formula>-0.03</formula>
    </cfRule>
  </conditionalFormatting>
  <conditionalFormatting sqref="AL79:AN79">
    <cfRule type="cellIs" dxfId="149" priority="151" operator="greaterThan">
      <formula>0.03</formula>
    </cfRule>
    <cfRule type="cellIs" dxfId="148" priority="152" stopIfTrue="1" operator="lessThan">
      <formula>-0.03</formula>
    </cfRule>
  </conditionalFormatting>
  <conditionalFormatting sqref="AO84:AQ84">
    <cfRule type="cellIs" dxfId="147" priority="145" operator="greaterThan">
      <formula>0.03</formula>
    </cfRule>
    <cfRule type="cellIs" dxfId="146" priority="146" stopIfTrue="1" operator="lessThan">
      <formula>-0.03</formula>
    </cfRule>
  </conditionalFormatting>
  <conditionalFormatting sqref="AL84:AN84">
    <cfRule type="cellIs" dxfId="145" priority="147" operator="greaterThan">
      <formula>0.03</formula>
    </cfRule>
    <cfRule type="cellIs" dxfId="144" priority="148" stopIfTrue="1" operator="lessThan">
      <formula>-0.03</formula>
    </cfRule>
  </conditionalFormatting>
  <conditionalFormatting sqref="AO89:AQ89">
    <cfRule type="cellIs" dxfId="143" priority="141" operator="greaterThan">
      <formula>0.03</formula>
    </cfRule>
    <cfRule type="cellIs" dxfId="142" priority="142" stopIfTrue="1" operator="lessThan">
      <formula>-0.03</formula>
    </cfRule>
  </conditionalFormatting>
  <conditionalFormatting sqref="AL89:AN89">
    <cfRule type="cellIs" dxfId="141" priority="143" operator="greaterThan">
      <formula>0.03</formula>
    </cfRule>
    <cfRule type="cellIs" dxfId="140" priority="144" stopIfTrue="1" operator="lessThan">
      <formula>-0.03</formula>
    </cfRule>
  </conditionalFormatting>
  <conditionalFormatting sqref="AO94:AQ94">
    <cfRule type="cellIs" dxfId="139" priority="137" operator="greaterThan">
      <formula>0.03</formula>
    </cfRule>
    <cfRule type="cellIs" dxfId="138" priority="138" stopIfTrue="1" operator="lessThan">
      <formula>-0.03</formula>
    </cfRule>
  </conditionalFormatting>
  <conditionalFormatting sqref="AL94:AN94">
    <cfRule type="cellIs" dxfId="137" priority="139" operator="greaterThan">
      <formula>0.03</formula>
    </cfRule>
    <cfRule type="cellIs" dxfId="136" priority="140" stopIfTrue="1" operator="lessThan">
      <formula>-0.03</formula>
    </cfRule>
  </conditionalFormatting>
  <conditionalFormatting sqref="AO99:AQ99">
    <cfRule type="cellIs" dxfId="135" priority="133" operator="greaterThan">
      <formula>0.03</formula>
    </cfRule>
    <cfRule type="cellIs" dxfId="134" priority="134" stopIfTrue="1" operator="lessThan">
      <formula>-0.03</formula>
    </cfRule>
  </conditionalFormatting>
  <conditionalFormatting sqref="AL99:AN99">
    <cfRule type="cellIs" dxfId="133" priority="135" operator="greaterThan">
      <formula>0.03</formula>
    </cfRule>
    <cfRule type="cellIs" dxfId="132" priority="136" stopIfTrue="1" operator="lessThan">
      <formula>-0.03</formula>
    </cfRule>
  </conditionalFormatting>
  <conditionalFormatting sqref="AO104:AQ104">
    <cfRule type="cellIs" dxfId="131" priority="129" operator="greaterThan">
      <formula>0.03</formula>
    </cfRule>
    <cfRule type="cellIs" dxfId="130" priority="130" stopIfTrue="1" operator="lessThan">
      <formula>-0.03</formula>
    </cfRule>
  </conditionalFormatting>
  <conditionalFormatting sqref="AL104:AN104">
    <cfRule type="cellIs" dxfId="129" priority="131" operator="greaterThan">
      <formula>0.03</formula>
    </cfRule>
    <cfRule type="cellIs" dxfId="128" priority="132" stopIfTrue="1" operator="lessThan">
      <formula>-0.03</formula>
    </cfRule>
  </conditionalFormatting>
  <conditionalFormatting sqref="AO109:AQ109">
    <cfRule type="cellIs" dxfId="127" priority="125" operator="greaterThan">
      <formula>0.03</formula>
    </cfRule>
    <cfRule type="cellIs" dxfId="126" priority="126" stopIfTrue="1" operator="lessThan">
      <formula>-0.03</formula>
    </cfRule>
  </conditionalFormatting>
  <conditionalFormatting sqref="AL109:AN109">
    <cfRule type="cellIs" dxfId="125" priority="127" operator="greaterThan">
      <formula>0.03</formula>
    </cfRule>
    <cfRule type="cellIs" dxfId="124" priority="128" stopIfTrue="1" operator="lessThan">
      <formula>-0.03</formula>
    </cfRule>
  </conditionalFormatting>
  <conditionalFormatting sqref="AO114:AQ114">
    <cfRule type="cellIs" dxfId="123" priority="121" operator="greaterThan">
      <formula>0.03</formula>
    </cfRule>
    <cfRule type="cellIs" dxfId="122" priority="122" stopIfTrue="1" operator="lessThan">
      <formula>-0.03</formula>
    </cfRule>
  </conditionalFormatting>
  <conditionalFormatting sqref="AL114:AN114">
    <cfRule type="cellIs" dxfId="121" priority="123" operator="greaterThan">
      <formula>0.03</formula>
    </cfRule>
    <cfRule type="cellIs" dxfId="120" priority="124" stopIfTrue="1" operator="lessThan">
      <formula>-0.03</formula>
    </cfRule>
  </conditionalFormatting>
  <conditionalFormatting sqref="AO119:AQ119">
    <cfRule type="cellIs" dxfId="119" priority="117" operator="greaterThan">
      <formula>0.03</formula>
    </cfRule>
    <cfRule type="cellIs" dxfId="118" priority="118" stopIfTrue="1" operator="lessThan">
      <formula>-0.03</formula>
    </cfRule>
  </conditionalFormatting>
  <conditionalFormatting sqref="AL119:AN119">
    <cfRule type="cellIs" dxfId="117" priority="119" operator="greaterThan">
      <formula>0.03</formula>
    </cfRule>
    <cfRule type="cellIs" dxfId="116" priority="120" stopIfTrue="1" operator="lessThan">
      <formula>-0.03</formula>
    </cfRule>
  </conditionalFormatting>
  <conditionalFormatting sqref="AO124:AQ124">
    <cfRule type="cellIs" dxfId="115" priority="113" operator="greaterThan">
      <formula>0.03</formula>
    </cfRule>
    <cfRule type="cellIs" dxfId="114" priority="114" stopIfTrue="1" operator="lessThan">
      <formula>-0.03</formula>
    </cfRule>
  </conditionalFormatting>
  <conditionalFormatting sqref="AL124:AN124">
    <cfRule type="cellIs" dxfId="113" priority="115" operator="greaterThan">
      <formula>0.03</formula>
    </cfRule>
    <cfRule type="cellIs" dxfId="112" priority="116" stopIfTrue="1" operator="lessThan">
      <formula>-0.03</formula>
    </cfRule>
  </conditionalFormatting>
  <conditionalFormatting sqref="AO129:AQ129">
    <cfRule type="cellIs" dxfId="111" priority="109" operator="greaterThan">
      <formula>0.03</formula>
    </cfRule>
    <cfRule type="cellIs" dxfId="110" priority="110" stopIfTrue="1" operator="lessThan">
      <formula>-0.03</formula>
    </cfRule>
  </conditionalFormatting>
  <conditionalFormatting sqref="AL129:AN129">
    <cfRule type="cellIs" dxfId="109" priority="111" operator="greaterThan">
      <formula>0.03</formula>
    </cfRule>
    <cfRule type="cellIs" dxfId="108" priority="112" stopIfTrue="1" operator="lessThan">
      <formula>-0.03</formula>
    </cfRule>
  </conditionalFormatting>
  <conditionalFormatting sqref="AU8:AW8">
    <cfRule type="cellIs" dxfId="107" priority="107" operator="greaterThan">
      <formula>0.03</formula>
    </cfRule>
    <cfRule type="cellIs" dxfId="106" priority="108" stopIfTrue="1" operator="lessThan">
      <formula>-0.03</formula>
    </cfRule>
  </conditionalFormatting>
  <conditionalFormatting sqref="AR8:AT8">
    <cfRule type="cellIs" dxfId="105" priority="105" operator="greaterThan">
      <formula>0.03</formula>
    </cfRule>
    <cfRule type="cellIs" dxfId="104" priority="106" stopIfTrue="1" operator="lessThan">
      <formula>-0.03</formula>
    </cfRule>
  </conditionalFormatting>
  <conditionalFormatting sqref="AU13:AW13">
    <cfRule type="cellIs" dxfId="103" priority="103" operator="greaterThan">
      <formula>0.03</formula>
    </cfRule>
    <cfRule type="cellIs" dxfId="102" priority="104" stopIfTrue="1" operator="lessThan">
      <formula>-0.03</formula>
    </cfRule>
  </conditionalFormatting>
  <conditionalFormatting sqref="AR13:AT13">
    <cfRule type="cellIs" dxfId="101" priority="101" operator="greaterThan">
      <formula>0.03</formula>
    </cfRule>
    <cfRule type="cellIs" dxfId="100" priority="102" stopIfTrue="1" operator="lessThan">
      <formula>-0.03</formula>
    </cfRule>
  </conditionalFormatting>
  <conditionalFormatting sqref="AU18:AW18">
    <cfRule type="cellIs" dxfId="99" priority="99" operator="greaterThan">
      <formula>0.03</formula>
    </cfRule>
    <cfRule type="cellIs" dxfId="98" priority="100" stopIfTrue="1" operator="lessThan">
      <formula>-0.03</formula>
    </cfRule>
  </conditionalFormatting>
  <conditionalFormatting sqref="AR18:AT18">
    <cfRule type="cellIs" dxfId="97" priority="97" operator="greaterThan">
      <formula>0.03</formula>
    </cfRule>
    <cfRule type="cellIs" dxfId="96" priority="98" stopIfTrue="1" operator="lessThan">
      <formula>-0.03</formula>
    </cfRule>
  </conditionalFormatting>
  <conditionalFormatting sqref="AU23:AW23">
    <cfRule type="cellIs" dxfId="95" priority="95" operator="greaterThan">
      <formula>0.03</formula>
    </cfRule>
    <cfRule type="cellIs" dxfId="94" priority="96" stopIfTrue="1" operator="lessThan">
      <formula>-0.03</formula>
    </cfRule>
  </conditionalFormatting>
  <conditionalFormatting sqref="AR23:AT23">
    <cfRule type="cellIs" dxfId="93" priority="93" operator="greaterThan">
      <formula>0.03</formula>
    </cfRule>
    <cfRule type="cellIs" dxfId="92" priority="94" stopIfTrue="1" operator="lessThan">
      <formula>-0.03</formula>
    </cfRule>
  </conditionalFormatting>
  <conditionalFormatting sqref="AU28:AW28">
    <cfRule type="cellIs" dxfId="91" priority="91" operator="greaterThan">
      <formula>0.03</formula>
    </cfRule>
    <cfRule type="cellIs" dxfId="90" priority="92" stopIfTrue="1" operator="lessThan">
      <formula>-0.03</formula>
    </cfRule>
  </conditionalFormatting>
  <conditionalFormatting sqref="AR28:AT28">
    <cfRule type="cellIs" dxfId="89" priority="89" operator="greaterThan">
      <formula>0.03</formula>
    </cfRule>
    <cfRule type="cellIs" dxfId="88" priority="90" stopIfTrue="1" operator="lessThan">
      <formula>-0.03</formula>
    </cfRule>
  </conditionalFormatting>
  <conditionalFormatting sqref="AU33:AW33">
    <cfRule type="cellIs" dxfId="87" priority="87" operator="greaterThan">
      <formula>0.03</formula>
    </cfRule>
    <cfRule type="cellIs" dxfId="86" priority="88" stopIfTrue="1" operator="lessThan">
      <formula>-0.03</formula>
    </cfRule>
  </conditionalFormatting>
  <conditionalFormatting sqref="AR33:AT33">
    <cfRule type="cellIs" dxfId="85" priority="85" operator="greaterThan">
      <formula>0.03</formula>
    </cfRule>
    <cfRule type="cellIs" dxfId="84" priority="86" stopIfTrue="1" operator="lessThan">
      <formula>-0.03</formula>
    </cfRule>
  </conditionalFormatting>
  <conditionalFormatting sqref="AU38:AW38">
    <cfRule type="cellIs" dxfId="83" priority="83" operator="greaterThan">
      <formula>0.03</formula>
    </cfRule>
    <cfRule type="cellIs" dxfId="82" priority="84" stopIfTrue="1" operator="lessThan">
      <formula>-0.03</formula>
    </cfRule>
  </conditionalFormatting>
  <conditionalFormatting sqref="AR38:AT38">
    <cfRule type="cellIs" dxfId="81" priority="81" operator="greaterThan">
      <formula>0.03</formula>
    </cfRule>
    <cfRule type="cellIs" dxfId="80" priority="82" stopIfTrue="1" operator="lessThan">
      <formula>-0.03</formula>
    </cfRule>
  </conditionalFormatting>
  <conditionalFormatting sqref="AU43:AW43">
    <cfRule type="cellIs" dxfId="79" priority="79" operator="greaterThan">
      <formula>0.03</formula>
    </cfRule>
    <cfRule type="cellIs" dxfId="78" priority="80" stopIfTrue="1" operator="lessThan">
      <formula>-0.03</formula>
    </cfRule>
  </conditionalFormatting>
  <conditionalFormatting sqref="AR43:AT43">
    <cfRule type="cellIs" dxfId="77" priority="77" operator="greaterThan">
      <formula>0.03</formula>
    </cfRule>
    <cfRule type="cellIs" dxfId="76" priority="78" stopIfTrue="1" operator="lessThan">
      <formula>-0.03</formula>
    </cfRule>
  </conditionalFormatting>
  <conditionalFormatting sqref="AU48:AW48">
    <cfRule type="cellIs" dxfId="75" priority="75" operator="greaterThan">
      <formula>0.03</formula>
    </cfRule>
    <cfRule type="cellIs" dxfId="74" priority="76" stopIfTrue="1" operator="lessThan">
      <formula>-0.03</formula>
    </cfRule>
  </conditionalFormatting>
  <conditionalFormatting sqref="AR48:AT48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AU53:AW53">
    <cfRule type="cellIs" dxfId="71" priority="71" operator="greaterThan">
      <formula>0.03</formula>
    </cfRule>
    <cfRule type="cellIs" dxfId="70" priority="72" stopIfTrue="1" operator="lessThan">
      <formula>-0.03</formula>
    </cfRule>
  </conditionalFormatting>
  <conditionalFormatting sqref="AR53:AT53">
    <cfRule type="cellIs" dxfId="69" priority="69" operator="greaterThan">
      <formula>0.03</formula>
    </cfRule>
    <cfRule type="cellIs" dxfId="68" priority="70" stopIfTrue="1" operator="lessThan">
      <formula>-0.03</formula>
    </cfRule>
  </conditionalFormatting>
  <conditionalFormatting sqref="AU58:AW58">
    <cfRule type="cellIs" dxfId="67" priority="67" operator="greaterThan">
      <formula>0.03</formula>
    </cfRule>
    <cfRule type="cellIs" dxfId="66" priority="68" stopIfTrue="1" operator="lessThan">
      <formula>-0.03</formula>
    </cfRule>
  </conditionalFormatting>
  <conditionalFormatting sqref="AR58:AT58">
    <cfRule type="cellIs" dxfId="65" priority="65" operator="greaterThan">
      <formula>0.03</formula>
    </cfRule>
    <cfRule type="cellIs" dxfId="64" priority="66" stopIfTrue="1" operator="lessThan">
      <formula>-0.03</formula>
    </cfRule>
  </conditionalFormatting>
  <conditionalFormatting sqref="AU63:AW63">
    <cfRule type="cellIs" dxfId="63" priority="63" operator="greaterThan">
      <formula>0.03</formula>
    </cfRule>
    <cfRule type="cellIs" dxfId="62" priority="64" stopIfTrue="1" operator="lessThan">
      <formula>-0.03</formula>
    </cfRule>
  </conditionalFormatting>
  <conditionalFormatting sqref="AR63:AT63">
    <cfRule type="cellIs" dxfId="61" priority="61" operator="greaterThan">
      <formula>0.03</formula>
    </cfRule>
    <cfRule type="cellIs" dxfId="60" priority="62" stopIfTrue="1" operator="lessThan">
      <formula>-0.03</formula>
    </cfRule>
  </conditionalFormatting>
  <conditionalFormatting sqref="AU68:AW68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AR68:AT68">
    <cfRule type="cellIs" dxfId="57" priority="57" operator="greaterThan">
      <formula>0.03</formula>
    </cfRule>
    <cfRule type="cellIs" dxfId="56" priority="58" stopIfTrue="1" operator="lessThan">
      <formula>-0.03</formula>
    </cfRule>
  </conditionalFormatting>
  <conditionalFormatting sqref="AU78:AW78">
    <cfRule type="cellIs" dxfId="55" priority="55" operator="greaterThan">
      <formula>0.03</formula>
    </cfRule>
    <cfRule type="cellIs" dxfId="54" priority="56" stopIfTrue="1" operator="lessThan">
      <formula>-0.03</formula>
    </cfRule>
  </conditionalFormatting>
  <conditionalFormatting sqref="AR78:AT78">
    <cfRule type="cellIs" dxfId="53" priority="53" operator="greaterThan">
      <formula>0.03</formula>
    </cfRule>
    <cfRule type="cellIs" dxfId="52" priority="54" stopIfTrue="1" operator="lessThan">
      <formula>-0.03</formula>
    </cfRule>
  </conditionalFormatting>
  <conditionalFormatting sqref="AU83:AW83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AR83:AT83">
    <cfRule type="cellIs" dxfId="49" priority="49" operator="greaterThan">
      <formula>0.03</formula>
    </cfRule>
    <cfRule type="cellIs" dxfId="48" priority="50" stopIfTrue="1" operator="lessThan">
      <formula>-0.03</formula>
    </cfRule>
  </conditionalFormatting>
  <conditionalFormatting sqref="AU88:AW88">
    <cfRule type="cellIs" dxfId="47" priority="47" operator="greaterThan">
      <formula>0.03</formula>
    </cfRule>
    <cfRule type="cellIs" dxfId="46" priority="48" stopIfTrue="1" operator="lessThan">
      <formula>-0.03</formula>
    </cfRule>
  </conditionalFormatting>
  <conditionalFormatting sqref="AR88:AT88">
    <cfRule type="cellIs" dxfId="45" priority="45" operator="greaterThan">
      <formula>0.03</formula>
    </cfRule>
    <cfRule type="cellIs" dxfId="44" priority="46" stopIfTrue="1" operator="lessThan">
      <formula>-0.03</formula>
    </cfRule>
  </conditionalFormatting>
  <conditionalFormatting sqref="AU93:AW93">
    <cfRule type="cellIs" dxfId="43" priority="43" operator="greaterThan">
      <formula>0.03</formula>
    </cfRule>
    <cfRule type="cellIs" dxfId="42" priority="44" stopIfTrue="1" operator="lessThan">
      <formula>-0.03</formula>
    </cfRule>
  </conditionalFormatting>
  <conditionalFormatting sqref="AR93:AT93">
    <cfRule type="cellIs" dxfId="41" priority="41" operator="greaterThan">
      <formula>0.03</formula>
    </cfRule>
    <cfRule type="cellIs" dxfId="40" priority="42" stopIfTrue="1" operator="lessThan">
      <formula>-0.03</formula>
    </cfRule>
  </conditionalFormatting>
  <conditionalFormatting sqref="AU98:AW98">
    <cfRule type="cellIs" dxfId="39" priority="39" operator="greaterThan">
      <formula>0.03</formula>
    </cfRule>
    <cfRule type="cellIs" dxfId="38" priority="40" stopIfTrue="1" operator="lessThan">
      <formula>-0.03</formula>
    </cfRule>
  </conditionalFormatting>
  <conditionalFormatting sqref="AR98:AT98">
    <cfRule type="cellIs" dxfId="37" priority="37" operator="greaterThan">
      <formula>0.03</formula>
    </cfRule>
    <cfRule type="cellIs" dxfId="36" priority="38" stopIfTrue="1" operator="lessThan">
      <formula>-0.03</formula>
    </cfRule>
  </conditionalFormatting>
  <conditionalFormatting sqref="AU103:AW103">
    <cfRule type="cellIs" dxfId="35" priority="35" operator="greaterThan">
      <formula>0.03</formula>
    </cfRule>
    <cfRule type="cellIs" dxfId="34" priority="36" stopIfTrue="1" operator="lessThan">
      <formula>-0.03</formula>
    </cfRule>
  </conditionalFormatting>
  <conditionalFormatting sqref="AR103:AT103">
    <cfRule type="cellIs" dxfId="33" priority="33" operator="greaterThan">
      <formula>0.03</formula>
    </cfRule>
    <cfRule type="cellIs" dxfId="32" priority="34" stopIfTrue="1" operator="lessThan">
      <formula>-0.03</formula>
    </cfRule>
  </conditionalFormatting>
  <conditionalFormatting sqref="AU108:AW108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AR108:AT108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AU113:AW11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AR113:AT11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AU118:AW118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AR118:AT118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AU123:AW123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AR123:AT123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AU128:AW128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AR128:AT128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AF93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AF93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L94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AL9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AR93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AR93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AAA_-0.01</vt:lpstr>
      <vt:lpstr>AAA_-0.001~-0.01</vt:lpstr>
      <vt:lpstr>AAA_copy</vt:lpstr>
      <vt:lpstr>AAA_temp</vt:lpstr>
      <vt:lpstr>AAA_平均_-0.01</vt:lpstr>
      <vt:lpstr>AAA_平均_copy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Wenrui Lv</cp:lastModifiedBy>
  <dcterms:created xsi:type="dcterms:W3CDTF">2011-06-30T00:09:01Z</dcterms:created>
  <dcterms:modified xsi:type="dcterms:W3CDTF">2025-01-15T03:12:09Z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TitusGUID">
    <vt:lpwstr>202bb8b5-c496-4aad-94dd-0528cd977255</vt:lpwstr>
  </property>
  <property fmtid="{D5CDD505-2E9C-101B-9397-08002B2CF9AE}" pid="4" name="CTP_TimeStamp">
    <vt:lpwstr>2018-04-23 23:26:23Z</vt:lpwstr>
  </property>
  <property fmtid="{D5CDD505-2E9C-101B-9397-08002B2CF9AE}" pid="5" name="CTP_BU">
    <vt:lpwstr>NA</vt:lpwstr>
  </property>
  <property fmtid="{D5CDD505-2E9C-101B-9397-08002B2CF9AE}" pid="6" name="CTP_IDSID">
    <vt:lpwstr>NA</vt:lpwstr>
  </property>
  <property fmtid="{D5CDD505-2E9C-101B-9397-08002B2CF9AE}" pid="7" name="CTP_WWID">
    <vt:lpwstr>NA</vt:lpwstr>
  </property>
  <property fmtid="{D5CDD505-2E9C-101B-9397-08002B2CF9AE}" pid="8" name="CTPClassification">
    <vt:lpwstr>CTP_NT</vt:lpwstr>
  </property>
  <property fmtid="{D5CDD505-2E9C-101B-9397-08002B2CF9AE}" pid="9" name="_readonly">
    <vt:lpwstr/>
  </property>
  <property fmtid="{D5CDD505-2E9C-101B-9397-08002B2CF9AE}" pid="10" name="_change">
    <vt:lpwstr/>
  </property>
  <property fmtid="{D5CDD505-2E9C-101B-9397-08002B2CF9AE}" pid="11" name="_full-control">
    <vt:lpwstr/>
  </property>
  <property fmtid="{D5CDD505-2E9C-101B-9397-08002B2CF9AE}" pid="12" name="sflag">
    <vt:lpwstr>1652860685</vt:lpwstr>
  </property>
</Properties>
</file>
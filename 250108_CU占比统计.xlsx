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G:\杂料\26_lwr毕业论文\科研三\2_多数据对比\"/>
    </mc:Choice>
  </mc:AlternateContent>
  <xr:revisionPtr revIDLastSave="0" documentId="13_ncr:1_{A00B92DE-2DF0-482F-809B-877A1C580F7E}" xr6:coauthVersionLast="47" xr6:coauthVersionMax="47" xr10:uidLastSave="{00000000-0000-0000-0000-000000000000}"/>
  <bookViews>
    <workbookView xWindow="29610" yWindow="15" windowWidth="28110" windowHeight="16440" xr2:uid="{00000000-000D-0000-FFFF-FFFF00000000}"/>
  </bookViews>
  <sheets>
    <sheet name="250108_CU占比统计" sheetId="2" r:id="rId1"/>
    <sheet name="250108_函数参数选择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8" i="4" l="1"/>
  <c r="P129" i="4"/>
  <c r="P127" i="4"/>
  <c r="P43" i="4"/>
  <c r="P124" i="4"/>
  <c r="P123" i="4"/>
  <c r="P90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K132" i="2" l="1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<sst xmlns="http://schemas.openxmlformats.org/spreadsheetml/2006/main" count="1460" uniqueCount="620">
  <si>
    <t>A1_0_Campfire_3840x2160_22_30_5.1_10bit_420_bt709_videoRange</t>
  </si>
  <si>
    <t>10</t>
  </si>
  <si>
    <t>52144</t>
  </si>
  <si>
    <t>A1_0_Campfire_3840x2160_27_30_5.1_10bit_420_bt709_videoRange</t>
  </si>
  <si>
    <t>9</t>
  </si>
  <si>
    <t>33637</t>
  </si>
  <si>
    <t>A1_0_Campfire_3840x2160_32_30_5.1_10bit_420_bt709_videoRange</t>
  </si>
  <si>
    <t>18724</t>
  </si>
  <si>
    <t>A1_0_Campfire_3840x2160_37_30_5.1_10bit_420_bt709_videoRange</t>
  </si>
  <si>
    <t>15</t>
  </si>
  <si>
    <t>12138</t>
  </si>
  <si>
    <t>A1_0_Campfire_3840x2160_42_30_5.1_10bit_420_bt709_videoRange</t>
  </si>
  <si>
    <t>0</t>
  </si>
  <si>
    <t>7595</t>
  </si>
  <si>
    <t>A1_1_FoodMarket4_3840x2160_22_60_5.1_10bit_420</t>
  </si>
  <si>
    <t>6856</t>
  </si>
  <si>
    <t>A1_1_FoodMarket4_3840x2160_27_60_5.1_10bit_420</t>
  </si>
  <si>
    <t>5112</t>
  </si>
  <si>
    <t>A1_1_FoodMarket4_3840x2160_32_60_5.1_10bit_420</t>
  </si>
  <si>
    <t>4135</t>
  </si>
  <si>
    <t>A1_1_FoodMarket4_3840x2160_37_60_5.1_10bit_420</t>
  </si>
  <si>
    <t>3078</t>
  </si>
  <si>
    <t>A1_1_FoodMarket4_3840x2160_42_60_5.1_10bit_420</t>
  </si>
  <si>
    <t>2326</t>
  </si>
  <si>
    <t>A1_2_Tango2_3840x2160_22_60_5.1_10bit_420</t>
  </si>
  <si>
    <t>20056</t>
  </si>
  <si>
    <t>A1_2_Tango2_3840x2160_27_60_5.1_10bit_420</t>
  </si>
  <si>
    <t>8940</t>
  </si>
  <si>
    <t>A1_2_Tango2_3840x2160_32_60_5.1_10bit_420</t>
  </si>
  <si>
    <t>6726</t>
  </si>
  <si>
    <t>A1_2_Tango2_3840x2160_37_60_5.1_10bit_420</t>
  </si>
  <si>
    <t>4956</t>
  </si>
  <si>
    <t>A1_2_Tango2_3840x2160_42_60_5.1_10bit_420</t>
  </si>
  <si>
    <t>3580</t>
  </si>
  <si>
    <t>A2_0_CatRobot_3840x2160_22_60_5.1_10_709_420</t>
  </si>
  <si>
    <t>38810</t>
  </si>
  <si>
    <t>A2_0_CatRobot_3840x2160_27_60_5.1_10_709_420</t>
  </si>
  <si>
    <t>25406</t>
  </si>
  <si>
    <t>A2_0_CatRobot_3840x2160_32_60_5.1_10_709_420</t>
  </si>
  <si>
    <t>17774</t>
  </si>
  <si>
    <t>A2_0_CatRobot_3840x2160_37_60_5.1_10_709_420</t>
  </si>
  <si>
    <t>1</t>
  </si>
  <si>
    <t>11893</t>
  </si>
  <si>
    <t>A2_0_CatRobot_3840x2160_42_60_5.1_10_709_420</t>
  </si>
  <si>
    <t>7784</t>
  </si>
  <si>
    <t>A2_1_DaylightRoad2_3840x2160_22_60_5.1_10bit_420</t>
  </si>
  <si>
    <t>62672</t>
  </si>
  <si>
    <t>A2_1_DaylightRoad2_3840x2160_27_60_5.1_10bit_420</t>
  </si>
  <si>
    <t>35445</t>
  </si>
  <si>
    <t>A2_1_DaylightRoad2_3840x2160_32_60_5.1_10bit_420</t>
  </si>
  <si>
    <t>A2_1_DaylightRoad2_3840x2160_37_60_5.1_10bit_420</t>
  </si>
  <si>
    <t>15677</t>
  </si>
  <si>
    <t>A2_1_DaylightRoad2_3840x2160_42_60_5.1_10bit_420</t>
  </si>
  <si>
    <t>9134</t>
  </si>
  <si>
    <t>A2_2_ParkRunning3_3840x2160_22_50_5.1_10bit_420</t>
  </si>
  <si>
    <t>22065</t>
  </si>
  <si>
    <t>A2_2_ParkRunning3_3840x2160_27_50_5.1_10bit_420</t>
  </si>
  <si>
    <t>21046</t>
  </si>
  <si>
    <t>A2_2_ParkRunning3_3840x2160_32_50_5.1_10bit_420</t>
  </si>
  <si>
    <t>17444</t>
  </si>
  <si>
    <t>A2_2_ParkRunning3_3840x2160_37_50_5.1_10bit_420</t>
  </si>
  <si>
    <t>14060</t>
  </si>
  <si>
    <t>A2_2_ParkRunning3_3840x2160_42_50_5.1_10bit_420</t>
  </si>
  <si>
    <t>10161</t>
  </si>
  <si>
    <t>B_0_BasketballDrive_1920x1080_22_50_3.1</t>
  </si>
  <si>
    <t>9865</t>
  </si>
  <si>
    <t>B_0_BasketballDrive_1920x1080_27_50_3.1</t>
  </si>
  <si>
    <t>6735</t>
  </si>
  <si>
    <t>B_0_BasketballDrive_1920x1080_32_50_3.1</t>
  </si>
  <si>
    <t>5241</t>
  </si>
  <si>
    <t>B_0_BasketballDrive_1920x1080_37_50_3.1</t>
  </si>
  <si>
    <t>3508</t>
  </si>
  <si>
    <t>B_0_BasketballDrive_1920x1080_42_50_3.1</t>
  </si>
  <si>
    <t>2402</t>
  </si>
  <si>
    <t>B_1_BQTerrace_1920x1080_22_60_4.1</t>
  </si>
  <si>
    <t>3</t>
  </si>
  <si>
    <t>27703</t>
  </si>
  <si>
    <t>B_1_BQTerrace_1920x1080_27_60_4.1</t>
  </si>
  <si>
    <t>2</t>
  </si>
  <si>
    <t>22559</t>
  </si>
  <si>
    <t>B_1_BQTerrace_1920x1080_32_60_4.1</t>
  </si>
  <si>
    <t>18141</t>
  </si>
  <si>
    <t>B_1_BQTerrace_1920x1080_37_60_4.1</t>
  </si>
  <si>
    <t>12848</t>
  </si>
  <si>
    <t>B_1_BQTerrace_1920x1080_42_60_4.1</t>
  </si>
  <si>
    <t>5</t>
  </si>
  <si>
    <t>8313</t>
  </si>
  <si>
    <t>B_2_Cactus_1920x1080_22_50_4.1</t>
  </si>
  <si>
    <t>18046</t>
  </si>
  <si>
    <t>B_2_Cactus_1920x1080_27_50_4.1</t>
  </si>
  <si>
    <t>14134</t>
  </si>
  <si>
    <t>B_2_Cactus_1920x1080_32_50_4.1</t>
  </si>
  <si>
    <t>10955</t>
  </si>
  <si>
    <t>B_2_Cactus_1920x1080_37_50_4.1</t>
  </si>
  <si>
    <t>7345</t>
  </si>
  <si>
    <t>B_2_Cactus_1920x1080_42_50_4.1</t>
  </si>
  <si>
    <t>4689</t>
  </si>
  <si>
    <t>B_3_MarketPlace_1920x1080_22_60_4.1_10bit_420</t>
  </si>
  <si>
    <t>9244</t>
  </si>
  <si>
    <t>B_3_MarketPlace_1920x1080_27_60_4.1_10bit_420</t>
  </si>
  <si>
    <t>7649</t>
  </si>
  <si>
    <t>B_3_MarketPlace_1920x1080_32_60_4.1_10bit_420</t>
  </si>
  <si>
    <t>5726</t>
  </si>
  <si>
    <t>B_3_MarketPlace_1920x1080_37_60_4.1_10bit_420</t>
  </si>
  <si>
    <t>3899</t>
  </si>
  <si>
    <t>B_3_MarketPlace_1920x1080_42_60_4.1_10bit_420</t>
  </si>
  <si>
    <t>2271</t>
  </si>
  <si>
    <t>B_4_RitualDance_1920x1080_22_60_4.1_10bit_420</t>
  </si>
  <si>
    <t>8057</t>
  </si>
  <si>
    <t>B_4_RitualDance_1920x1080_27_60_4.1_10bit_420</t>
  </si>
  <si>
    <t>6105</t>
  </si>
  <si>
    <t>B_4_RitualDance_1920x1080_32_60_4.1_10bit_420</t>
  </si>
  <si>
    <t>4628</t>
  </si>
  <si>
    <t>B_4_RitualDance_1920x1080_37_60_4.1_10bit_420</t>
  </si>
  <si>
    <t>3085</t>
  </si>
  <si>
    <t>B_4_RitualDance_1920x1080_42_60_4.1_10bit_420</t>
  </si>
  <si>
    <t>2239</t>
  </si>
  <si>
    <t>C_0_BasketballDrill_832x480_22_50_3.1</t>
  </si>
  <si>
    <t>9372</t>
  </si>
  <si>
    <t>C_0_BasketballDrill_832x480_27_50_3.1</t>
  </si>
  <si>
    <t>5851</t>
  </si>
  <si>
    <t>C_0_BasketballDrill_832x480_32_50_3.1</t>
  </si>
  <si>
    <t>3301</t>
  </si>
  <si>
    <t>C_0_BasketballDrill_832x480_37_50_3.1</t>
  </si>
  <si>
    <t>1998</t>
  </si>
  <si>
    <t>C_0_BasketballDrill_832x480_42_50_3.1</t>
  </si>
  <si>
    <t>1205</t>
  </si>
  <si>
    <t>C_1_BQMall_832x480_22_60_3.1</t>
  </si>
  <si>
    <t>5966</t>
  </si>
  <si>
    <t>C_1_BQMall_832x480_27_60_3.1</t>
  </si>
  <si>
    <t>4932</t>
  </si>
  <si>
    <t>C_1_BQMall_832x480_32_60_3.1</t>
  </si>
  <si>
    <t>3885</t>
  </si>
  <si>
    <t>C_1_BQMall_832x480_37_60_3.1</t>
  </si>
  <si>
    <t>2829</t>
  </si>
  <si>
    <t>C_1_BQMall_832x480_42_60_3.1</t>
  </si>
  <si>
    <t>1806</t>
  </si>
  <si>
    <t>C_2_PartyScene_832x480_22_50_3.1</t>
  </si>
  <si>
    <t>8666</t>
  </si>
  <si>
    <t>C_2_PartyScene_832x480_27_50_3.1</t>
  </si>
  <si>
    <t>7786</t>
  </si>
  <si>
    <t>C_2_PartyScene_832x480_32_50_3.1</t>
  </si>
  <si>
    <t>6450</t>
  </si>
  <si>
    <t>C_2_PartyScene_832x480_37_50_3.1</t>
  </si>
  <si>
    <t>4913</t>
  </si>
  <si>
    <t>C_2_PartyScene_832x480_42_50_3.1</t>
  </si>
  <si>
    <t>3233</t>
  </si>
  <si>
    <t>C_3_RaceHorses_832x480_22_30_2</t>
  </si>
  <si>
    <t>4700</t>
  </si>
  <si>
    <t>C_3_RaceHorses_832x480_27_30_2</t>
  </si>
  <si>
    <t>3947</t>
  </si>
  <si>
    <t>C_3_RaceHorses_832x480_32_30_2</t>
  </si>
  <si>
    <t>3262</t>
  </si>
  <si>
    <t>C_3_RaceHorses_832x480_37_30_2</t>
  </si>
  <si>
    <t>2436</t>
  </si>
  <si>
    <t>C_3_RaceHorses_832x480_42_30_2</t>
  </si>
  <si>
    <t>1569</t>
  </si>
  <si>
    <t>D_0_BasketballPass_416x240_22_50_2.1</t>
  </si>
  <si>
    <t>1297</t>
  </si>
  <si>
    <t>D_0_BasketballPass_416x240_27_50_2.1</t>
  </si>
  <si>
    <t>1073</t>
  </si>
  <si>
    <t>D_0_BasketballPass_416x240_32_50_2.1</t>
  </si>
  <si>
    <t>880</t>
  </si>
  <si>
    <t>D_0_BasketballPass_416x240_37_50_2.1</t>
  </si>
  <si>
    <t>605</t>
  </si>
  <si>
    <t>D_0_BasketballPass_416x240_42_50_2.1</t>
  </si>
  <si>
    <t>378</t>
  </si>
  <si>
    <t>D_1_BlowingBubbles_416x240_22_50_2.1</t>
  </si>
  <si>
    <t>1893</t>
  </si>
  <si>
    <t>D_1_BlowingBubbles_416x240_27_50_2.1</t>
  </si>
  <si>
    <t>1651</t>
  </si>
  <si>
    <t>D_1_BlowingBubbles_416x240_32_50_2.1</t>
  </si>
  <si>
    <t>1358</t>
  </si>
  <si>
    <t>D_1_BlowingBubbles_416x240_37_50_2.1</t>
  </si>
  <si>
    <t>865</t>
  </si>
  <si>
    <t>D_1_BlowingBubbles_416x240_42_50_2.1</t>
  </si>
  <si>
    <t>503</t>
  </si>
  <si>
    <t>D_2_BQSquare_416x240_22_60_2.1</t>
  </si>
  <si>
    <t>2735</t>
  </si>
  <si>
    <t>D_2_BQSquare_416x240_27_60_2.1</t>
  </si>
  <si>
    <t>2205</t>
  </si>
  <si>
    <t>D_2_BQSquare_416x240_32_60_2.1</t>
  </si>
  <si>
    <t>1708</t>
  </si>
  <si>
    <t>D_2_BQSquare_416x240_37_60_2.1</t>
  </si>
  <si>
    <t>1386</t>
  </si>
  <si>
    <t>D_2_BQSquare_416x240_42_60_2.1</t>
  </si>
  <si>
    <t>1035</t>
  </si>
  <si>
    <t>D_3_RaceHorses_416x240_22_30_2</t>
  </si>
  <si>
    <t>1586</t>
  </si>
  <si>
    <t>D_3_RaceHorses_416x240_27_30_2</t>
  </si>
  <si>
    <t>1406</t>
  </si>
  <si>
    <t>D_3_RaceHorses_416x240_32_30_2</t>
  </si>
  <si>
    <t>1191</t>
  </si>
  <si>
    <t>D_3_RaceHorses_416x240_37_30_2</t>
  </si>
  <si>
    <t>888</t>
  </si>
  <si>
    <t>D_3_RaceHorses_416x240_42_30_2</t>
  </si>
  <si>
    <t>593</t>
  </si>
  <si>
    <t>E_0_FourPeople_1280x720_22_60_4</t>
  </si>
  <si>
    <t>7351</t>
  </si>
  <si>
    <t>E_0_FourPeople_1280x720_27_60_4</t>
  </si>
  <si>
    <t>6237</t>
  </si>
  <si>
    <t>E_0_FourPeople_1280x720_32_60_4</t>
  </si>
  <si>
    <t>4789</t>
  </si>
  <si>
    <t>E_0_FourPeople_1280x720_37_60_4</t>
  </si>
  <si>
    <t>3436</t>
  </si>
  <si>
    <t>E_0_FourPeople_1280x720_42_60_4</t>
  </si>
  <si>
    <t>2252</t>
  </si>
  <si>
    <t>E_1_Johnny_1280x720_22_60_4</t>
  </si>
  <si>
    <t>4152</t>
  </si>
  <si>
    <t>E_1_Johnny_1280x720_27_60_4</t>
  </si>
  <si>
    <t>3466</t>
  </si>
  <si>
    <t>E_1_Johnny_1280x720_32_60_4</t>
  </si>
  <si>
    <t>2734</t>
  </si>
  <si>
    <t>E_1_Johnny_1280x720_37_60_4</t>
  </si>
  <si>
    <t>1877</t>
  </si>
  <si>
    <t>E_1_Johnny_1280x720_42_60_4</t>
  </si>
  <si>
    <t>1355</t>
  </si>
  <si>
    <t>E_2_KristenAndSara_1280x720_22_60_4</t>
  </si>
  <si>
    <t>4622</t>
  </si>
  <si>
    <t>E_2_KristenAndSara_1280x720_27_60_4</t>
  </si>
  <si>
    <t>4007</t>
  </si>
  <si>
    <t>E_2_KristenAndSara_1280x720_32_60_4</t>
  </si>
  <si>
    <t>3232</t>
  </si>
  <si>
    <t>E_2_KristenAndSara_1280x720_37_60_4</t>
  </si>
  <si>
    <t>2560</t>
  </si>
  <si>
    <t>E_2_KristenAndSara_1280x720_42_60_4</t>
  </si>
  <si>
    <t>1808</t>
  </si>
  <si>
    <t>F_0_ArenaOfValor_1920x1080_22_60_4.1_8bit_420</t>
  </si>
  <si>
    <t>4</t>
  </si>
  <si>
    <t>28265</t>
  </si>
  <si>
    <t>F_0_ArenaOfValor_1920x1080_27_60_4.1_8bit_420</t>
  </si>
  <si>
    <t>21337</t>
  </si>
  <si>
    <t>F_0_ArenaOfValor_1920x1080_32_60_4.1_8bit_420</t>
  </si>
  <si>
    <t>14786</t>
  </si>
  <si>
    <t>F_0_ArenaOfValor_1920x1080_37_60_4.1_8bit_420</t>
  </si>
  <si>
    <t>9742</t>
  </si>
  <si>
    <t>F_0_ArenaOfValor_1920x1080_42_60_4.1_8bit_420</t>
  </si>
  <si>
    <t>5792</t>
  </si>
  <si>
    <t>F_1_BasketballDrillText_832x480_22_50_3.1</t>
  </si>
  <si>
    <t>8456</t>
  </si>
  <si>
    <t>F_1_BasketballDrillText_832x480_27_50_3.1</t>
  </si>
  <si>
    <t>5107</t>
  </si>
  <si>
    <t>F_1_BasketballDrillText_832x480_32_50_3.1</t>
  </si>
  <si>
    <t>3154</t>
  </si>
  <si>
    <t>F_1_BasketballDrillText_832x480_37_50_3.1</t>
  </si>
  <si>
    <t>1983</t>
  </si>
  <si>
    <t>F_1_BasketballDrillText_832x480_42_50_3.1</t>
  </si>
  <si>
    <t>1301</t>
  </si>
  <si>
    <t>F_2_SlideEditing_1280x720_22_30_3.1</t>
  </si>
  <si>
    <t>7927</t>
  </si>
  <si>
    <t>F_2_SlideEditing_1280x720_27_30_3.1</t>
  </si>
  <si>
    <t>7</t>
  </si>
  <si>
    <t>6563</t>
  </si>
  <si>
    <t>F_2_SlideEditing_1280x720_32_30_3.1</t>
  </si>
  <si>
    <t>5210</t>
  </si>
  <si>
    <t>F_2_SlideEditing_1280x720_37_30_3.1</t>
  </si>
  <si>
    <t>4309</t>
  </si>
  <si>
    <t>F_2_SlideEditing_1280x720_42_30_3.1</t>
  </si>
  <si>
    <t>3825</t>
  </si>
  <si>
    <t>F_3_SlideShow_1280x720_22_20_3.1</t>
  </si>
  <si>
    <t>26</t>
  </si>
  <si>
    <t>4860</t>
  </si>
  <si>
    <t>F_3_SlideShow_1280x720_27_20_3.1</t>
  </si>
  <si>
    <t>20</t>
  </si>
  <si>
    <t>4190</t>
  </si>
  <si>
    <t>F_3_SlideShow_1280x720_32_20_3.1</t>
  </si>
  <si>
    <t>23</t>
  </si>
  <si>
    <t>3530</t>
  </si>
  <si>
    <t>F_3_SlideShow_1280x720_37_20_3.1</t>
  </si>
  <si>
    <t>2948</t>
  </si>
  <si>
    <t>F_3_SlideShow_1280x720_42_20_3.1</t>
  </si>
  <si>
    <t>13</t>
  </si>
  <si>
    <t>2455</t>
  </si>
  <si>
    <t>Sequence</t>
    <phoneticPr fontId="1" type="noConversion"/>
  </si>
  <si>
    <t>使用所提方法的CU数</t>
    <phoneticPr fontId="1" type="noConversion"/>
  </si>
  <si>
    <t>CU总数</t>
    <phoneticPr fontId="1" type="noConversion"/>
  </si>
  <si>
    <t>CU占比</t>
    <phoneticPr fontId="1" type="noConversion"/>
  </si>
  <si>
    <t>0426_luma_-0.01</t>
    <phoneticPr fontId="1" type="noConversion"/>
  </si>
  <si>
    <t>0430_-0.001~-0.01</t>
    <phoneticPr fontId="1" type="noConversion"/>
  </si>
  <si>
    <t>38</t>
  </si>
  <si>
    <t>52439</t>
  </si>
  <si>
    <t>0 0 0 0 0 0 0 0 0 38</t>
  </si>
  <si>
    <t>8</t>
  </si>
  <si>
    <t>33509</t>
  </si>
  <si>
    <t>0 0 0 0 0 0 0 0 0 8</t>
  </si>
  <si>
    <t>19251</t>
  </si>
  <si>
    <t>12315</t>
  </si>
  <si>
    <t>0 0 0 0 0 0 0 0 0 10</t>
  </si>
  <si>
    <t>7795</t>
  </si>
  <si>
    <t>0 0 0 0 0 0 0 0 0 4</t>
  </si>
  <si>
    <t>7127</t>
  </si>
  <si>
    <t>0 0 0 0 0 0 0 0 0 0</t>
  </si>
  <si>
    <t>5029</t>
  </si>
  <si>
    <t>4141</t>
  </si>
  <si>
    <t>3068</t>
  </si>
  <si>
    <t>1 0 0 0 0 0 0 0 0 0</t>
  </si>
  <si>
    <t>2317</t>
  </si>
  <si>
    <t>20006</t>
  </si>
  <si>
    <t>0 0 0 0 0 0 0 0 0 1</t>
  </si>
  <si>
    <t>9096</t>
  </si>
  <si>
    <t>6689</t>
  </si>
  <si>
    <t>4811</t>
  </si>
  <si>
    <t>3591</t>
  </si>
  <si>
    <t>38694</t>
  </si>
  <si>
    <t>6</t>
  </si>
  <si>
    <t>25674</t>
  </si>
  <si>
    <t>0 0 0 0 0 0 0 0 0 6</t>
  </si>
  <si>
    <t>18197</t>
  </si>
  <si>
    <t>0 0 0 0 0 0 0 0 0 2</t>
  </si>
  <si>
    <t>11963</t>
  </si>
  <si>
    <t>7648</t>
  </si>
  <si>
    <t>63619</t>
  </si>
  <si>
    <t>0 0 0 0 0 0 0 0 0 7</t>
  </si>
  <si>
    <t>35543</t>
  </si>
  <si>
    <t>0 0 0 0 0 0 0 0 0 5</t>
  </si>
  <si>
    <t>24391</t>
  </si>
  <si>
    <t>15872</t>
  </si>
  <si>
    <t>9103</t>
  </si>
  <si>
    <t>22280</t>
  </si>
  <si>
    <t>21100</t>
  </si>
  <si>
    <t>17646</t>
  </si>
  <si>
    <t>13984</t>
  </si>
  <si>
    <t>10460</t>
  </si>
  <si>
    <t>9558</t>
  </si>
  <si>
    <t>0 0 0 0 0 1 0 0 0 0</t>
  </si>
  <si>
    <t>6819</t>
  </si>
  <si>
    <t>5482</t>
  </si>
  <si>
    <t>3661</t>
  </si>
  <si>
    <t>2388</t>
  </si>
  <si>
    <t>27748</t>
  </si>
  <si>
    <t>22722</t>
  </si>
  <si>
    <t>17824</t>
  </si>
  <si>
    <t>12702</t>
  </si>
  <si>
    <t>0 0 0 0 0 0 0 0 0 3</t>
  </si>
  <si>
    <t>8206</t>
  </si>
  <si>
    <t>17959</t>
  </si>
  <si>
    <t>0 0 0 0 0 0 1 0 0 5</t>
  </si>
  <si>
    <t>14381</t>
  </si>
  <si>
    <t>10881</t>
  </si>
  <si>
    <t>7715</t>
  </si>
  <si>
    <t>4802</t>
  </si>
  <si>
    <t>9528</t>
  </si>
  <si>
    <t>7757</t>
  </si>
  <si>
    <t>5769</t>
  </si>
  <si>
    <t>3708</t>
  </si>
  <si>
    <t>2312</t>
  </si>
  <si>
    <t>8038</t>
  </si>
  <si>
    <t>6227</t>
  </si>
  <si>
    <t>4612</t>
  </si>
  <si>
    <t>3172</t>
  </si>
  <si>
    <t>2067</t>
  </si>
  <si>
    <t>9146</t>
  </si>
  <si>
    <t>6072</t>
  </si>
  <si>
    <t>3286</t>
  </si>
  <si>
    <t>1947</t>
  </si>
  <si>
    <t>1144</t>
  </si>
  <si>
    <t>6068</t>
  </si>
  <si>
    <t>4980</t>
  </si>
  <si>
    <t>4040</t>
  </si>
  <si>
    <t>2930</t>
  </si>
  <si>
    <t>1747</t>
  </si>
  <si>
    <t>8630</t>
  </si>
  <si>
    <t>7720</t>
  </si>
  <si>
    <t>6500</t>
  </si>
  <si>
    <t>4873</t>
  </si>
  <si>
    <t>3178</t>
  </si>
  <si>
    <t>0 0 0 0 0 1 0 0 0 1</t>
  </si>
  <si>
    <t>4651</t>
  </si>
  <si>
    <t>3909</t>
  </si>
  <si>
    <t>3267</t>
  </si>
  <si>
    <t>2500</t>
  </si>
  <si>
    <t>0 0 0 0 0 0 1 0 0 0</t>
  </si>
  <si>
    <t>1615</t>
  </si>
  <si>
    <t>1338</t>
  </si>
  <si>
    <t>1016</t>
  </si>
  <si>
    <t>814</t>
  </si>
  <si>
    <t>637</t>
  </si>
  <si>
    <t>376</t>
  </si>
  <si>
    <t>1895</t>
  </si>
  <si>
    <t>1757</t>
  </si>
  <si>
    <t>1319</t>
  </si>
  <si>
    <t>870</t>
  </si>
  <si>
    <t>513</t>
  </si>
  <si>
    <t>2736</t>
  </si>
  <si>
    <t>1702</t>
  </si>
  <si>
    <t>1450</t>
  </si>
  <si>
    <t>1053</t>
  </si>
  <si>
    <t>0 0 0 0 0 0 1 0 0 1</t>
  </si>
  <si>
    <t>1590</t>
  </si>
  <si>
    <t>1432</t>
  </si>
  <si>
    <t>1179</t>
  </si>
  <si>
    <t>933</t>
  </si>
  <si>
    <t>621</t>
  </si>
  <si>
    <t>7387</t>
  </si>
  <si>
    <t>5932</t>
  </si>
  <si>
    <t>4853</t>
  </si>
  <si>
    <t>3456</t>
  </si>
  <si>
    <t>2261</t>
  </si>
  <si>
    <t>4102</t>
  </si>
  <si>
    <t>3418</t>
  </si>
  <si>
    <t>2795</t>
  </si>
  <si>
    <t>1884</t>
  </si>
  <si>
    <t>1346</t>
  </si>
  <si>
    <t>4585</t>
  </si>
  <si>
    <t>3998</t>
  </si>
  <si>
    <t>3349</t>
  </si>
  <si>
    <t>2442</t>
  </si>
  <si>
    <t>1840</t>
  </si>
  <si>
    <t>46</t>
  </si>
  <si>
    <t>28226</t>
  </si>
  <si>
    <t>0 0 0 0 0 0 0 0 0 46</t>
  </si>
  <si>
    <t>22</t>
  </si>
  <si>
    <t>21585</t>
  </si>
  <si>
    <t>0 0 0 0 0 0 0 0 0 22</t>
  </si>
  <si>
    <t>14</t>
  </si>
  <si>
    <t>14734</t>
  </si>
  <si>
    <t>0 0 0 0 0 0 0 0 0 14</t>
  </si>
  <si>
    <t>10008</t>
  </si>
  <si>
    <t>5839</t>
  </si>
  <si>
    <t>8417</t>
  </si>
  <si>
    <t>5193</t>
  </si>
  <si>
    <t>3026</t>
  </si>
  <si>
    <t>1993</t>
  </si>
  <si>
    <t>1272</t>
  </si>
  <si>
    <t>115</t>
  </si>
  <si>
    <t>8035</t>
  </si>
  <si>
    <t>0 0 0 0 0 1 0 0 0 114</t>
  </si>
  <si>
    <t>79</t>
  </si>
  <si>
    <t>6514</t>
  </si>
  <si>
    <t>0 0 0 0 0 0 1 0 0 78</t>
  </si>
  <si>
    <t>39</t>
  </si>
  <si>
    <t>0 0 0 0 0 0 0 0 0 39</t>
  </si>
  <si>
    <t>4385</t>
  </si>
  <si>
    <t>11</t>
  </si>
  <si>
    <t>3908</t>
  </si>
  <si>
    <t>0 0 0 0 0 0 1 0 0 10</t>
  </si>
  <si>
    <t>28</t>
  </si>
  <si>
    <t>4779</t>
  </si>
  <si>
    <t>0 0 0 0 0 1 0 0 0 27</t>
  </si>
  <si>
    <t>21</t>
  </si>
  <si>
    <t>0 0 0 0 0 0 1 0 0 20</t>
  </si>
  <si>
    <t>18</t>
  </si>
  <si>
    <t>3480</t>
  </si>
  <si>
    <t>0 0 0 0 0 0 0 0 0 18</t>
  </si>
  <si>
    <t>3007</t>
  </si>
  <si>
    <t>2551</t>
  </si>
  <si>
    <t>129</t>
  </si>
  <si>
    <t>52097</t>
  </si>
  <si>
    <t>133</t>
  </si>
  <si>
    <t>33584</t>
  </si>
  <si>
    <t>60</t>
  </si>
  <si>
    <t>19006</t>
  </si>
  <si>
    <t>40</t>
  </si>
  <si>
    <t>12189</t>
  </si>
  <si>
    <t>7641</t>
  </si>
  <si>
    <t>6787</t>
  </si>
  <si>
    <t>5322</t>
  </si>
  <si>
    <t>3995</t>
  </si>
  <si>
    <t>3058</t>
  </si>
  <si>
    <t>19775</t>
  </si>
  <si>
    <t>8957</t>
  </si>
  <si>
    <t>6746</t>
  </si>
  <si>
    <t>5010</t>
  </si>
  <si>
    <t>3694</t>
  </si>
  <si>
    <t>50</t>
  </si>
  <si>
    <t>38427</t>
  </si>
  <si>
    <t>64</t>
  </si>
  <si>
    <t>25346</t>
  </si>
  <si>
    <t>59</t>
  </si>
  <si>
    <t>18134</t>
  </si>
  <si>
    <t>48</t>
  </si>
  <si>
    <t>11975</t>
  </si>
  <si>
    <t>27</t>
  </si>
  <si>
    <t>7790</t>
  </si>
  <si>
    <t>86</t>
  </si>
  <si>
    <t>62176</t>
  </si>
  <si>
    <t>88</t>
  </si>
  <si>
    <t>35775</t>
  </si>
  <si>
    <t>53</t>
  </si>
  <si>
    <t>24331</t>
  </si>
  <si>
    <t>15786</t>
  </si>
  <si>
    <t>29</t>
  </si>
  <si>
    <t>9151</t>
  </si>
  <si>
    <t>19</t>
  </si>
  <si>
    <t>22044</t>
  </si>
  <si>
    <t>20958</t>
  </si>
  <si>
    <t>17904</t>
  </si>
  <si>
    <t>14160</t>
  </si>
  <si>
    <t>10273</t>
  </si>
  <si>
    <t>9693</t>
  </si>
  <si>
    <t>12</t>
  </si>
  <si>
    <t>6933</t>
  </si>
  <si>
    <t>5044</t>
  </si>
  <si>
    <t>3637</t>
  </si>
  <si>
    <t>2358</t>
  </si>
  <si>
    <t>56</t>
  </si>
  <si>
    <t>27646</t>
  </si>
  <si>
    <t>71</t>
  </si>
  <si>
    <t>22653</t>
  </si>
  <si>
    <t>18024</t>
  </si>
  <si>
    <t>51</t>
  </si>
  <si>
    <t>13089</t>
  </si>
  <si>
    <t>47</t>
  </si>
  <si>
    <t>8191</t>
  </si>
  <si>
    <t>35</t>
  </si>
  <si>
    <t>18407</t>
  </si>
  <si>
    <t>14404</t>
  </si>
  <si>
    <t>10998</t>
  </si>
  <si>
    <t>30</t>
  </si>
  <si>
    <t>7542</t>
  </si>
  <si>
    <t>17</t>
  </si>
  <si>
    <t>5028</t>
  </si>
  <si>
    <t>9046</t>
  </si>
  <si>
    <t>7532</t>
  </si>
  <si>
    <t>5618</t>
  </si>
  <si>
    <t>3953</t>
  </si>
  <si>
    <t>2305</t>
  </si>
  <si>
    <t>16</t>
  </si>
  <si>
    <t>8188</t>
  </si>
  <si>
    <t>6103</t>
  </si>
  <si>
    <t>4501</t>
  </si>
  <si>
    <t>3222</t>
  </si>
  <si>
    <t>2258</t>
  </si>
  <si>
    <t>5943</t>
  </si>
  <si>
    <t>3189</t>
  </si>
  <si>
    <t>1982</t>
  </si>
  <si>
    <t>1279</t>
  </si>
  <si>
    <t>6192</t>
  </si>
  <si>
    <t>43</t>
  </si>
  <si>
    <t>4918</t>
  </si>
  <si>
    <t>3911</t>
  </si>
  <si>
    <t>2877</t>
  </si>
  <si>
    <t>1691</t>
  </si>
  <si>
    <t>94</t>
  </si>
  <si>
    <t>8677</t>
  </si>
  <si>
    <t>92</t>
  </si>
  <si>
    <t>7608</t>
  </si>
  <si>
    <t>65</t>
  </si>
  <si>
    <t>6437</t>
  </si>
  <si>
    <t>58</t>
  </si>
  <si>
    <t>4933</t>
  </si>
  <si>
    <t>3149</t>
  </si>
  <si>
    <t>4570</t>
  </si>
  <si>
    <t>4201</t>
  </si>
  <si>
    <t>3522</t>
  </si>
  <si>
    <t>2528</t>
  </si>
  <si>
    <t>1634</t>
  </si>
  <si>
    <t>1366</t>
  </si>
  <si>
    <t>1105</t>
  </si>
  <si>
    <t>837</t>
  </si>
  <si>
    <t>584</t>
  </si>
  <si>
    <t>410</t>
  </si>
  <si>
    <t>1957</t>
  </si>
  <si>
    <t>1685</t>
  </si>
  <si>
    <t>1300</t>
  </si>
  <si>
    <t>901</t>
  </si>
  <si>
    <t>510</t>
  </si>
  <si>
    <t>2776</t>
  </si>
  <si>
    <t>2210</t>
  </si>
  <si>
    <t>1784</t>
  </si>
  <si>
    <t>1398</t>
  </si>
  <si>
    <t>1066</t>
  </si>
  <si>
    <t>1549</t>
  </si>
  <si>
    <t>1433</t>
  </si>
  <si>
    <t>1257</t>
  </si>
  <si>
    <t>960</t>
  </si>
  <si>
    <t>596</t>
  </si>
  <si>
    <t>7550</t>
  </si>
  <si>
    <t>6039</t>
  </si>
  <si>
    <t>4907</t>
  </si>
  <si>
    <t>3374</t>
  </si>
  <si>
    <t>2347</t>
  </si>
  <si>
    <t>4248</t>
  </si>
  <si>
    <t>3452</t>
  </si>
  <si>
    <t>2611</t>
  </si>
  <si>
    <t>1925</t>
  </si>
  <si>
    <t>4481</t>
  </si>
  <si>
    <t>3967</t>
  </si>
  <si>
    <t>3334</t>
  </si>
  <si>
    <t>2482</t>
  </si>
  <si>
    <t>1866</t>
  </si>
  <si>
    <t>188</t>
  </si>
  <si>
    <t>28506</t>
  </si>
  <si>
    <t>140</t>
  </si>
  <si>
    <t>21015</t>
  </si>
  <si>
    <t>81</t>
  </si>
  <si>
    <t>14871</t>
  </si>
  <si>
    <t>80</t>
  </si>
  <si>
    <t>10034</t>
  </si>
  <si>
    <t>5716</t>
  </si>
  <si>
    <t>8382</t>
  </si>
  <si>
    <t>5222</t>
  </si>
  <si>
    <t>2934</t>
  </si>
  <si>
    <t>2022</t>
  </si>
  <si>
    <t>1235</t>
  </si>
  <si>
    <t>391</t>
  </si>
  <si>
    <t>8262</t>
  </si>
  <si>
    <t>257</t>
  </si>
  <si>
    <t>6499</t>
  </si>
  <si>
    <t>181</t>
  </si>
  <si>
    <t>5182</t>
  </si>
  <si>
    <t>4427</t>
  </si>
  <si>
    <t>3871</t>
  </si>
  <si>
    <t>125</t>
  </si>
  <si>
    <t>4770</t>
  </si>
  <si>
    <t>108</t>
  </si>
  <si>
    <t>4076</t>
  </si>
  <si>
    <t>87</t>
  </si>
  <si>
    <t>3477</t>
  </si>
  <si>
    <t>83</t>
  </si>
  <si>
    <t>2973</t>
  </si>
  <si>
    <t>2422</t>
  </si>
  <si>
    <t>函数参数使用</t>
    <phoneticPr fontId="1" type="noConversion"/>
  </si>
  <si>
    <t>0426_copy</t>
    <phoneticPr fontId="1" type="noConversion"/>
  </si>
  <si>
    <t>Cu总数</t>
    <phoneticPr fontId="1" type="noConversion"/>
  </si>
  <si>
    <t>最终选择的参数值</t>
    <phoneticPr fontId="1" type="noConversion"/>
  </si>
  <si>
    <t>参数为-0.01占所有参数的比例</t>
    <phoneticPr fontId="1" type="noConversion"/>
  </si>
  <si>
    <t>函数参数取值选择</t>
    <phoneticPr fontId="1" type="noConversion"/>
  </si>
  <si>
    <t>,-0.006,-0.01</t>
    <phoneticPr fontId="1" type="noConversion"/>
  </si>
  <si>
    <t>,-0.007,-0.01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</si>
</sst>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/>
    <xf numFmtId="0" fontId="0" fillId="5" borderId="0" xfId="0" applyFill="1"/>
    <xf numFmtId="9" fontId="0" fillId="5" borderId="0" xfId="0" applyNumberFormat="1" applyFill="1"/>
    <xf numFmtId="9" fontId="0" fillId="4" borderId="0" xfId="0" applyNumberFormat="1" applyFill="1"/>
    <xf numFmtId="0" fontId="0" fillId="4" borderId="0" xfId="0" applyFill="1"/>
    <xf numFmtId="10" fontId="0" fillId="4" borderId="0" xfId="0" applyNumberFormat="1" applyFill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8A03-A265-478E-9506-0ADAA7C8F2C2}">
  <dimension ref="A1:K132"/>
  <sheetViews>
    <sheetView tabSelected="1" topLeftCell="A118" zoomScale="85" zoomScaleNormal="85" workbookViewId="0">
      <selection activeCell="H2" sqref="H1:H1048576"/>
    </sheetView>
  </sheetViews>
  <sheetFormatPr defaultRowHeight="14.25" x14ac:dyDescent="0.2"/>
  <cols>
    <col min="1" max="1" width="61.625" style="4" bestFit="1" customWidth="1"/>
    <col min="2" max="2" width="20" style="4" bestFit="1" customWidth="1"/>
    <col min="3" max="3" width="7.75" style="5" bestFit="1" customWidth="1"/>
    <col min="4" max="4" width="7.75" style="4" bestFit="1" customWidth="1"/>
    <col min="5" max="5" width="20" bestFit="1" customWidth="1"/>
    <col min="6" max="7" width="7.75" bestFit="1" customWidth="1"/>
    <col min="8" max="8" width="18.875" bestFit="1" customWidth="1"/>
    <col min="9" max="9" width="20" bestFit="1" customWidth="1"/>
    <col min="10" max="11" width="7.75" bestFit="1" customWidth="1"/>
  </cols>
  <sheetData>
    <row r="1" spans="1:11" x14ac:dyDescent="0.2">
      <c r="A1" s="12" t="s">
        <v>277</v>
      </c>
      <c r="B1" s="12"/>
      <c r="C1" s="12"/>
      <c r="D1" s="12"/>
      <c r="E1" s="13" t="s">
        <v>278</v>
      </c>
      <c r="F1" s="13"/>
      <c r="G1" s="13"/>
      <c r="H1" s="13"/>
      <c r="I1" s="14" t="s">
        <v>613</v>
      </c>
      <c r="J1" s="14"/>
      <c r="K1" s="14"/>
    </row>
    <row r="2" spans="1:11" x14ac:dyDescent="0.2">
      <c r="A2" s="2" t="s">
        <v>273</v>
      </c>
      <c r="B2" s="2" t="s">
        <v>274</v>
      </c>
      <c r="C2" s="2" t="s">
        <v>275</v>
      </c>
      <c r="D2" s="3" t="s">
        <v>276</v>
      </c>
      <c r="E2" s="2" t="s">
        <v>274</v>
      </c>
      <c r="F2" s="2" t="s">
        <v>275</v>
      </c>
      <c r="G2" s="3" t="s">
        <v>276</v>
      </c>
      <c r="H2" s="2" t="s">
        <v>612</v>
      </c>
      <c r="I2" s="2" t="s">
        <v>274</v>
      </c>
      <c r="J2" s="2" t="s">
        <v>275</v>
      </c>
      <c r="K2" s="3" t="s">
        <v>276</v>
      </c>
    </row>
    <row r="3" spans="1:11" x14ac:dyDescent="0.2">
      <c r="A3" s="4" t="s">
        <v>0</v>
      </c>
      <c r="B3" s="4" t="s">
        <v>1</v>
      </c>
      <c r="C3" s="4" t="s">
        <v>2</v>
      </c>
      <c r="D3" s="5">
        <f>B3/C3</f>
        <v>1.9177661859466093E-4</v>
      </c>
      <c r="E3" s="4" t="s">
        <v>279</v>
      </c>
      <c r="F3" s="4" t="s">
        <v>280</v>
      </c>
      <c r="G3" s="5">
        <f>E3/F3</f>
        <v>7.2465149983790694E-4</v>
      </c>
      <c r="H3" s="4" t="s">
        <v>281</v>
      </c>
      <c r="I3" s="4" t="s">
        <v>446</v>
      </c>
      <c r="J3" s="4" t="s">
        <v>447</v>
      </c>
      <c r="K3" s="5">
        <f>I3/J3</f>
        <v>2.4761502581722556E-3</v>
      </c>
    </row>
    <row r="4" spans="1:11" x14ac:dyDescent="0.2">
      <c r="A4" s="4" t="s">
        <v>3</v>
      </c>
      <c r="B4" s="4" t="s">
        <v>4</v>
      </c>
      <c r="C4" s="4" t="s">
        <v>5</v>
      </c>
      <c r="D4" s="5">
        <f t="shared" ref="D4:D67" si="0">B4/C4</f>
        <v>2.6756250557421888E-4</v>
      </c>
      <c r="E4" s="4" t="s">
        <v>282</v>
      </c>
      <c r="F4" s="4" t="s">
        <v>283</v>
      </c>
      <c r="G4" s="5">
        <f t="shared" ref="G4:G67" si="1">E4/F4</f>
        <v>2.3874183055298576E-4</v>
      </c>
      <c r="H4" s="4" t="s">
        <v>284</v>
      </c>
      <c r="I4" s="4" t="s">
        <v>448</v>
      </c>
      <c r="J4" s="4" t="s">
        <v>449</v>
      </c>
      <c r="K4" s="5">
        <f t="shared" ref="K4:K67" si="2">I4/J4</f>
        <v>3.9602191519771323E-3</v>
      </c>
    </row>
    <row r="5" spans="1:11" x14ac:dyDescent="0.2">
      <c r="A5" s="4" t="s">
        <v>6</v>
      </c>
      <c r="B5" s="4" t="s">
        <v>1</v>
      </c>
      <c r="C5" s="4" t="s">
        <v>7</v>
      </c>
      <c r="D5" s="5">
        <f t="shared" si="0"/>
        <v>5.3407391582995086E-4</v>
      </c>
      <c r="E5" s="4" t="s">
        <v>282</v>
      </c>
      <c r="F5" s="4" t="s">
        <v>285</v>
      </c>
      <c r="G5" s="5">
        <f t="shared" si="1"/>
        <v>4.1556282790504391E-4</v>
      </c>
      <c r="H5" s="4" t="s">
        <v>284</v>
      </c>
      <c r="I5" s="4" t="s">
        <v>450</v>
      </c>
      <c r="J5" s="4" t="s">
        <v>451</v>
      </c>
      <c r="K5" s="5">
        <f t="shared" si="2"/>
        <v>3.156897821740503E-3</v>
      </c>
    </row>
    <row r="6" spans="1:11" x14ac:dyDescent="0.2">
      <c r="A6" s="4" t="s">
        <v>8</v>
      </c>
      <c r="B6" s="4" t="s">
        <v>9</v>
      </c>
      <c r="C6" s="4" t="s">
        <v>10</v>
      </c>
      <c r="D6" s="5">
        <f t="shared" si="0"/>
        <v>1.235788433020267E-3</v>
      </c>
      <c r="E6" s="4" t="s">
        <v>1</v>
      </c>
      <c r="F6" s="4" t="s">
        <v>286</v>
      </c>
      <c r="G6" s="5">
        <f t="shared" si="1"/>
        <v>8.1201786439301664E-4</v>
      </c>
      <c r="H6" s="4" t="s">
        <v>287</v>
      </c>
      <c r="I6" s="4" t="s">
        <v>452</v>
      </c>
      <c r="J6" s="4" t="s">
        <v>453</v>
      </c>
      <c r="K6" s="5">
        <f t="shared" si="2"/>
        <v>3.2816473869882682E-3</v>
      </c>
    </row>
    <row r="7" spans="1:11" x14ac:dyDescent="0.2">
      <c r="A7" s="4" t="s">
        <v>11</v>
      </c>
      <c r="B7" s="4" t="s">
        <v>12</v>
      </c>
      <c r="C7" s="4" t="s">
        <v>13</v>
      </c>
      <c r="D7" s="5">
        <f t="shared" si="0"/>
        <v>0</v>
      </c>
      <c r="E7" s="4" t="s">
        <v>228</v>
      </c>
      <c r="F7" s="4" t="s">
        <v>288</v>
      </c>
      <c r="G7" s="5">
        <f t="shared" si="1"/>
        <v>5.1314945477870435E-4</v>
      </c>
      <c r="H7" s="4" t="s">
        <v>289</v>
      </c>
      <c r="I7" s="4" t="s">
        <v>414</v>
      </c>
      <c r="J7" s="4" t="s">
        <v>454</v>
      </c>
      <c r="K7" s="5">
        <f t="shared" si="2"/>
        <v>1.8322209134929983E-3</v>
      </c>
    </row>
    <row r="8" spans="1:11" x14ac:dyDescent="0.2">
      <c r="A8" s="4" t="s">
        <v>14</v>
      </c>
      <c r="B8" s="4" t="s">
        <v>12</v>
      </c>
      <c r="C8" s="4" t="s">
        <v>15</v>
      </c>
      <c r="D8" s="5">
        <f t="shared" si="0"/>
        <v>0</v>
      </c>
      <c r="E8" s="4" t="s">
        <v>12</v>
      </c>
      <c r="F8" s="4" t="s">
        <v>290</v>
      </c>
      <c r="G8" s="5">
        <f t="shared" si="1"/>
        <v>0</v>
      </c>
      <c r="H8" s="4" t="s">
        <v>291</v>
      </c>
      <c r="I8" s="4" t="s">
        <v>85</v>
      </c>
      <c r="J8" s="4" t="s">
        <v>455</v>
      </c>
      <c r="K8" s="5">
        <f t="shared" si="2"/>
        <v>7.3670251952261676E-4</v>
      </c>
    </row>
    <row r="9" spans="1:11" x14ac:dyDescent="0.2">
      <c r="A9" s="4" t="s">
        <v>16</v>
      </c>
      <c r="B9" s="4" t="s">
        <v>12</v>
      </c>
      <c r="C9" s="4" t="s">
        <v>17</v>
      </c>
      <c r="D9" s="5">
        <f t="shared" si="0"/>
        <v>0</v>
      </c>
      <c r="E9" s="4" t="s">
        <v>12</v>
      </c>
      <c r="F9" s="4" t="s">
        <v>292</v>
      </c>
      <c r="G9" s="5">
        <f t="shared" si="1"/>
        <v>0</v>
      </c>
      <c r="H9" s="4" t="s">
        <v>291</v>
      </c>
      <c r="I9" s="4" t="s">
        <v>41</v>
      </c>
      <c r="J9" s="4" t="s">
        <v>456</v>
      </c>
      <c r="K9" s="5">
        <f t="shared" si="2"/>
        <v>1.8789928598271326E-4</v>
      </c>
    </row>
    <row r="10" spans="1:11" x14ac:dyDescent="0.2">
      <c r="A10" s="4" t="s">
        <v>18</v>
      </c>
      <c r="B10" s="4" t="s">
        <v>12</v>
      </c>
      <c r="C10" s="4" t="s">
        <v>19</v>
      </c>
      <c r="D10" s="5">
        <f t="shared" si="0"/>
        <v>0</v>
      </c>
      <c r="E10" s="4" t="s">
        <v>12</v>
      </c>
      <c r="F10" s="4" t="s">
        <v>293</v>
      </c>
      <c r="G10" s="5">
        <f t="shared" si="1"/>
        <v>0</v>
      </c>
      <c r="H10" s="4" t="s">
        <v>291</v>
      </c>
      <c r="I10" s="4" t="s">
        <v>85</v>
      </c>
      <c r="J10" s="4" t="s">
        <v>457</v>
      </c>
      <c r="K10" s="5">
        <f t="shared" si="2"/>
        <v>1.2515644555694619E-3</v>
      </c>
    </row>
    <row r="11" spans="1:11" x14ac:dyDescent="0.2">
      <c r="A11" s="4" t="s">
        <v>20</v>
      </c>
      <c r="B11" s="4" t="s">
        <v>12</v>
      </c>
      <c r="C11" s="4" t="s">
        <v>21</v>
      </c>
      <c r="D11" s="5">
        <f t="shared" si="0"/>
        <v>0</v>
      </c>
      <c r="E11" s="4" t="s">
        <v>41</v>
      </c>
      <c r="F11" s="4" t="s">
        <v>294</v>
      </c>
      <c r="G11" s="5">
        <f t="shared" si="1"/>
        <v>3.2594524119947848E-4</v>
      </c>
      <c r="H11" s="4" t="s">
        <v>295</v>
      </c>
      <c r="I11" s="4" t="s">
        <v>78</v>
      </c>
      <c r="J11" s="4" t="s">
        <v>458</v>
      </c>
      <c r="K11" s="5">
        <f t="shared" si="2"/>
        <v>6.5402223675604975E-4</v>
      </c>
    </row>
    <row r="12" spans="1:11" x14ac:dyDescent="0.2">
      <c r="A12" s="4" t="s">
        <v>22</v>
      </c>
      <c r="B12" s="4" t="s">
        <v>12</v>
      </c>
      <c r="C12" s="4" t="s">
        <v>23</v>
      </c>
      <c r="D12" s="5">
        <f t="shared" si="0"/>
        <v>0</v>
      </c>
      <c r="E12" s="4" t="s">
        <v>12</v>
      </c>
      <c r="F12" s="4" t="s">
        <v>296</v>
      </c>
      <c r="G12" s="5">
        <f t="shared" si="1"/>
        <v>0</v>
      </c>
      <c r="H12" s="4" t="s">
        <v>291</v>
      </c>
      <c r="I12" s="4" t="s">
        <v>12</v>
      </c>
      <c r="J12" s="4" t="s">
        <v>23</v>
      </c>
      <c r="K12" s="5">
        <f t="shared" si="2"/>
        <v>0</v>
      </c>
    </row>
    <row r="13" spans="1:11" x14ac:dyDescent="0.2">
      <c r="A13" s="4" t="s">
        <v>24</v>
      </c>
      <c r="B13" s="4" t="s">
        <v>12</v>
      </c>
      <c r="C13" s="4" t="s">
        <v>25</v>
      </c>
      <c r="D13" s="5">
        <f t="shared" si="0"/>
        <v>0</v>
      </c>
      <c r="E13" s="4" t="s">
        <v>41</v>
      </c>
      <c r="F13" s="4" t="s">
        <v>297</v>
      </c>
      <c r="G13" s="5">
        <f t="shared" si="1"/>
        <v>4.9985004498650404E-5</v>
      </c>
      <c r="H13" s="4" t="s">
        <v>298</v>
      </c>
      <c r="I13" s="4" t="s">
        <v>282</v>
      </c>
      <c r="J13" s="4" t="s">
        <v>459</v>
      </c>
      <c r="K13" s="5">
        <f t="shared" si="2"/>
        <v>4.0455120101137802E-4</v>
      </c>
    </row>
    <row r="14" spans="1:11" x14ac:dyDescent="0.2">
      <c r="A14" s="4" t="s">
        <v>26</v>
      </c>
      <c r="B14" s="4" t="s">
        <v>12</v>
      </c>
      <c r="C14" s="4" t="s">
        <v>27</v>
      </c>
      <c r="D14" s="5">
        <f t="shared" si="0"/>
        <v>0</v>
      </c>
      <c r="E14" s="4" t="s">
        <v>12</v>
      </c>
      <c r="F14" s="4" t="s">
        <v>299</v>
      </c>
      <c r="G14" s="5">
        <f t="shared" si="1"/>
        <v>0</v>
      </c>
      <c r="H14" s="4" t="s">
        <v>291</v>
      </c>
      <c r="I14" s="4" t="s">
        <v>282</v>
      </c>
      <c r="J14" s="4" t="s">
        <v>460</v>
      </c>
      <c r="K14" s="5">
        <f t="shared" si="2"/>
        <v>8.9315619068884675E-4</v>
      </c>
    </row>
    <row r="15" spans="1:11" x14ac:dyDescent="0.2">
      <c r="A15" s="4" t="s">
        <v>28</v>
      </c>
      <c r="B15" s="4" t="s">
        <v>12</v>
      </c>
      <c r="C15" s="4" t="s">
        <v>29</v>
      </c>
      <c r="D15" s="5">
        <f t="shared" si="0"/>
        <v>0</v>
      </c>
      <c r="E15" s="4" t="s">
        <v>12</v>
      </c>
      <c r="F15" s="4" t="s">
        <v>300</v>
      </c>
      <c r="G15" s="5">
        <f t="shared" si="1"/>
        <v>0</v>
      </c>
      <c r="H15" s="4" t="s">
        <v>291</v>
      </c>
      <c r="I15" s="4" t="s">
        <v>78</v>
      </c>
      <c r="J15" s="4" t="s">
        <v>461</v>
      </c>
      <c r="K15" s="5">
        <f t="shared" si="2"/>
        <v>2.9647198339756892E-4</v>
      </c>
    </row>
    <row r="16" spans="1:11" x14ac:dyDescent="0.2">
      <c r="A16" s="4" t="s">
        <v>30</v>
      </c>
      <c r="B16" s="4" t="s">
        <v>12</v>
      </c>
      <c r="C16" s="4" t="s">
        <v>31</v>
      </c>
      <c r="D16" s="5">
        <f t="shared" si="0"/>
        <v>0</v>
      </c>
      <c r="E16" s="4" t="s">
        <v>12</v>
      </c>
      <c r="F16" s="4" t="s">
        <v>301</v>
      </c>
      <c r="G16" s="5">
        <f t="shared" si="1"/>
        <v>0</v>
      </c>
      <c r="H16" s="4" t="s">
        <v>291</v>
      </c>
      <c r="I16" s="4" t="s">
        <v>78</v>
      </c>
      <c r="J16" s="4" t="s">
        <v>462</v>
      </c>
      <c r="K16" s="5">
        <f t="shared" si="2"/>
        <v>3.992015968063872E-4</v>
      </c>
    </row>
    <row r="17" spans="1:11" x14ac:dyDescent="0.2">
      <c r="A17" s="4" t="s">
        <v>32</v>
      </c>
      <c r="B17" s="4" t="s">
        <v>12</v>
      </c>
      <c r="C17" s="4" t="s">
        <v>33</v>
      </c>
      <c r="D17" s="5">
        <f t="shared" si="0"/>
        <v>0</v>
      </c>
      <c r="E17" s="4" t="s">
        <v>12</v>
      </c>
      <c r="F17" s="4" t="s">
        <v>302</v>
      </c>
      <c r="G17" s="5">
        <f t="shared" si="1"/>
        <v>0</v>
      </c>
      <c r="H17" s="4" t="s">
        <v>291</v>
      </c>
      <c r="I17" s="4" t="s">
        <v>41</v>
      </c>
      <c r="J17" s="4" t="s">
        <v>463</v>
      </c>
      <c r="K17" s="5">
        <f t="shared" si="2"/>
        <v>2.7070925825663239E-4</v>
      </c>
    </row>
    <row r="18" spans="1:11" x14ac:dyDescent="0.2">
      <c r="A18" s="4" t="s">
        <v>34</v>
      </c>
      <c r="B18" s="4" t="s">
        <v>12</v>
      </c>
      <c r="C18" s="4" t="s">
        <v>35</v>
      </c>
      <c r="D18" s="5">
        <f t="shared" si="0"/>
        <v>0</v>
      </c>
      <c r="E18" s="4" t="s">
        <v>282</v>
      </c>
      <c r="F18" s="4" t="s">
        <v>303</v>
      </c>
      <c r="G18" s="5">
        <f t="shared" si="1"/>
        <v>2.0675040057890112E-4</v>
      </c>
      <c r="H18" s="4" t="s">
        <v>284</v>
      </c>
      <c r="I18" s="4" t="s">
        <v>464</v>
      </c>
      <c r="J18" s="4" t="s">
        <v>465</v>
      </c>
      <c r="K18" s="5">
        <f t="shared" si="2"/>
        <v>1.3011684492674422E-3</v>
      </c>
    </row>
    <row r="19" spans="1:11" x14ac:dyDescent="0.2">
      <c r="A19" s="4" t="s">
        <v>36</v>
      </c>
      <c r="B19" s="4" t="s">
        <v>12</v>
      </c>
      <c r="C19" s="4" t="s">
        <v>37</v>
      </c>
      <c r="D19" s="5">
        <f t="shared" si="0"/>
        <v>0</v>
      </c>
      <c r="E19" s="4" t="s">
        <v>304</v>
      </c>
      <c r="F19" s="4" t="s">
        <v>305</v>
      </c>
      <c r="G19" s="5">
        <f t="shared" si="1"/>
        <v>2.3369946249123628E-4</v>
      </c>
      <c r="H19" s="4" t="s">
        <v>306</v>
      </c>
      <c r="I19" s="4" t="s">
        <v>466</v>
      </c>
      <c r="J19" s="4" t="s">
        <v>467</v>
      </c>
      <c r="K19" s="5">
        <f t="shared" si="2"/>
        <v>2.5250532628422629E-3</v>
      </c>
    </row>
    <row r="20" spans="1:11" x14ac:dyDescent="0.2">
      <c r="A20" s="4" t="s">
        <v>38</v>
      </c>
      <c r="B20" s="4" t="s">
        <v>12</v>
      </c>
      <c r="C20" s="4" t="s">
        <v>39</v>
      </c>
      <c r="D20" s="5">
        <f t="shared" si="0"/>
        <v>0</v>
      </c>
      <c r="E20" s="4" t="s">
        <v>78</v>
      </c>
      <c r="F20" s="4" t="s">
        <v>307</v>
      </c>
      <c r="G20" s="5">
        <f t="shared" si="1"/>
        <v>1.0990822663076331E-4</v>
      </c>
      <c r="H20" s="4" t="s">
        <v>308</v>
      </c>
      <c r="I20" s="4" t="s">
        <v>468</v>
      </c>
      <c r="J20" s="4" t="s">
        <v>469</v>
      </c>
      <c r="K20" s="5">
        <f t="shared" si="2"/>
        <v>3.2535568545274071E-3</v>
      </c>
    </row>
    <row r="21" spans="1:11" x14ac:dyDescent="0.2">
      <c r="A21" s="4" t="s">
        <v>40</v>
      </c>
      <c r="B21" s="4" t="s">
        <v>41</v>
      </c>
      <c r="C21" s="4" t="s">
        <v>42</v>
      </c>
      <c r="D21" s="5">
        <f t="shared" si="0"/>
        <v>8.4083074077188259E-5</v>
      </c>
      <c r="E21" s="4" t="s">
        <v>12</v>
      </c>
      <c r="F21" s="4" t="s">
        <v>309</v>
      </c>
      <c r="G21" s="5">
        <f t="shared" si="1"/>
        <v>0</v>
      </c>
      <c r="H21" s="4" t="s">
        <v>291</v>
      </c>
      <c r="I21" s="4" t="s">
        <v>470</v>
      </c>
      <c r="J21" s="4" t="s">
        <v>471</v>
      </c>
      <c r="K21" s="5">
        <f t="shared" si="2"/>
        <v>4.0083507306889355E-3</v>
      </c>
    </row>
    <row r="22" spans="1:11" x14ac:dyDescent="0.2">
      <c r="A22" s="4" t="s">
        <v>43</v>
      </c>
      <c r="B22" s="4" t="s">
        <v>12</v>
      </c>
      <c r="C22" s="4" t="s">
        <v>44</v>
      </c>
      <c r="D22" s="5">
        <f t="shared" si="0"/>
        <v>0</v>
      </c>
      <c r="E22" s="4" t="s">
        <v>12</v>
      </c>
      <c r="F22" s="4" t="s">
        <v>310</v>
      </c>
      <c r="G22" s="5">
        <f t="shared" si="1"/>
        <v>0</v>
      </c>
      <c r="H22" s="4" t="s">
        <v>291</v>
      </c>
      <c r="I22" s="4" t="s">
        <v>472</v>
      </c>
      <c r="J22" s="4" t="s">
        <v>473</v>
      </c>
      <c r="K22" s="5">
        <f t="shared" si="2"/>
        <v>3.4659820282413349E-3</v>
      </c>
    </row>
    <row r="23" spans="1:11" x14ac:dyDescent="0.2">
      <c r="A23" s="4" t="s">
        <v>45</v>
      </c>
      <c r="B23" s="4" t="s">
        <v>12</v>
      </c>
      <c r="C23" s="4" t="s">
        <v>46</v>
      </c>
      <c r="D23" s="5">
        <f t="shared" si="0"/>
        <v>0</v>
      </c>
      <c r="E23" s="4" t="s">
        <v>251</v>
      </c>
      <c r="F23" s="4" t="s">
        <v>311</v>
      </c>
      <c r="G23" s="5">
        <f t="shared" si="1"/>
        <v>1.1003002247756174E-4</v>
      </c>
      <c r="H23" s="4" t="s">
        <v>312</v>
      </c>
      <c r="I23" s="4" t="s">
        <v>474</v>
      </c>
      <c r="J23" s="4" t="s">
        <v>475</v>
      </c>
      <c r="K23" s="5">
        <f t="shared" si="2"/>
        <v>1.3831703551209469E-3</v>
      </c>
    </row>
    <row r="24" spans="1:11" x14ac:dyDescent="0.2">
      <c r="A24" s="4" t="s">
        <v>47</v>
      </c>
      <c r="B24" s="4" t="s">
        <v>12</v>
      </c>
      <c r="C24" s="4" t="s">
        <v>48</v>
      </c>
      <c r="D24" s="5">
        <f t="shared" si="0"/>
        <v>0</v>
      </c>
      <c r="E24" s="4" t="s">
        <v>85</v>
      </c>
      <c r="F24" s="4" t="s">
        <v>313</v>
      </c>
      <c r="G24" s="5">
        <f t="shared" si="1"/>
        <v>1.4067467574487241E-4</v>
      </c>
      <c r="H24" s="4" t="s">
        <v>314</v>
      </c>
      <c r="I24" s="4" t="s">
        <v>476</v>
      </c>
      <c r="J24" s="4" t="s">
        <v>477</v>
      </c>
      <c r="K24" s="5">
        <f t="shared" si="2"/>
        <v>2.4598183088749125E-3</v>
      </c>
    </row>
    <row r="25" spans="1:11" x14ac:dyDescent="0.2">
      <c r="A25" s="4" t="s">
        <v>49</v>
      </c>
      <c r="B25" s="4" t="s">
        <v>12</v>
      </c>
      <c r="C25" s="4">
        <v>24219</v>
      </c>
      <c r="D25" s="5">
        <f t="shared" si="0"/>
        <v>0</v>
      </c>
      <c r="E25" s="4" t="s">
        <v>78</v>
      </c>
      <c r="F25" s="4" t="s">
        <v>315</v>
      </c>
      <c r="G25" s="5">
        <f t="shared" si="1"/>
        <v>8.1997458078799564E-5</v>
      </c>
      <c r="H25" s="4" t="s">
        <v>308</v>
      </c>
      <c r="I25" s="4" t="s">
        <v>478</v>
      </c>
      <c r="J25" s="4" t="s">
        <v>479</v>
      </c>
      <c r="K25" s="5">
        <f t="shared" si="2"/>
        <v>2.178291069006617E-3</v>
      </c>
    </row>
    <row r="26" spans="1:11" x14ac:dyDescent="0.2">
      <c r="A26" s="4" t="s">
        <v>50</v>
      </c>
      <c r="B26" s="4" t="s">
        <v>12</v>
      </c>
      <c r="C26" s="4" t="s">
        <v>51</v>
      </c>
      <c r="D26" s="5">
        <f t="shared" si="0"/>
        <v>0</v>
      </c>
      <c r="E26" s="4" t="s">
        <v>12</v>
      </c>
      <c r="F26" s="4" t="s">
        <v>316</v>
      </c>
      <c r="G26" s="5">
        <f t="shared" si="1"/>
        <v>0</v>
      </c>
      <c r="H26" s="4" t="s">
        <v>291</v>
      </c>
      <c r="I26" s="4" t="s">
        <v>452</v>
      </c>
      <c r="J26" s="4" t="s">
        <v>480</v>
      </c>
      <c r="K26" s="5">
        <f t="shared" si="2"/>
        <v>2.5338907893069809E-3</v>
      </c>
    </row>
    <row r="27" spans="1:11" x14ac:dyDescent="0.2">
      <c r="A27" s="4" t="s">
        <v>52</v>
      </c>
      <c r="B27" s="4" t="s">
        <v>12</v>
      </c>
      <c r="C27" s="4" t="s">
        <v>53</v>
      </c>
      <c r="D27" s="5">
        <f t="shared" si="0"/>
        <v>0</v>
      </c>
      <c r="E27" s="4" t="s">
        <v>12</v>
      </c>
      <c r="F27" s="4" t="s">
        <v>317</v>
      </c>
      <c r="G27" s="5">
        <f t="shared" si="1"/>
        <v>0</v>
      </c>
      <c r="H27" s="4" t="s">
        <v>291</v>
      </c>
      <c r="I27" s="4" t="s">
        <v>481</v>
      </c>
      <c r="J27" s="4" t="s">
        <v>482</v>
      </c>
      <c r="K27" s="5">
        <f t="shared" si="2"/>
        <v>3.1690525625614687E-3</v>
      </c>
    </row>
    <row r="28" spans="1:11" x14ac:dyDescent="0.2">
      <c r="A28" s="4" t="s">
        <v>54</v>
      </c>
      <c r="B28" s="4" t="s">
        <v>12</v>
      </c>
      <c r="C28" s="4" t="s">
        <v>55</v>
      </c>
      <c r="D28" s="5">
        <f t="shared" si="0"/>
        <v>0</v>
      </c>
      <c r="E28" s="4" t="s">
        <v>12</v>
      </c>
      <c r="F28" s="4" t="s">
        <v>318</v>
      </c>
      <c r="G28" s="5">
        <f t="shared" si="1"/>
        <v>0</v>
      </c>
      <c r="H28" s="4" t="s">
        <v>291</v>
      </c>
      <c r="I28" s="4" t="s">
        <v>483</v>
      </c>
      <c r="J28" s="4" t="s">
        <v>484</v>
      </c>
      <c r="K28" s="5">
        <f t="shared" si="2"/>
        <v>8.619125385592451E-4</v>
      </c>
    </row>
    <row r="29" spans="1:11" x14ac:dyDescent="0.2">
      <c r="A29" s="4" t="s">
        <v>56</v>
      </c>
      <c r="B29" s="4" t="s">
        <v>12</v>
      </c>
      <c r="C29" s="4" t="s">
        <v>57</v>
      </c>
      <c r="D29" s="5">
        <f t="shared" si="0"/>
        <v>0</v>
      </c>
      <c r="E29" s="4" t="s">
        <v>41</v>
      </c>
      <c r="F29" s="4" t="s">
        <v>319</v>
      </c>
      <c r="G29" s="5">
        <f t="shared" si="1"/>
        <v>4.7393364928909951E-5</v>
      </c>
      <c r="H29" s="4" t="s">
        <v>298</v>
      </c>
      <c r="I29" s="4" t="s">
        <v>483</v>
      </c>
      <c r="J29" s="4" t="s">
        <v>485</v>
      </c>
      <c r="K29" s="5">
        <f t="shared" si="2"/>
        <v>9.0657505487164809E-4</v>
      </c>
    </row>
    <row r="30" spans="1:11" x14ac:dyDescent="0.2">
      <c r="A30" s="4" t="s">
        <v>58</v>
      </c>
      <c r="B30" s="4" t="s">
        <v>12</v>
      </c>
      <c r="C30" s="4" t="s">
        <v>59</v>
      </c>
      <c r="D30" s="5">
        <f t="shared" si="0"/>
        <v>0</v>
      </c>
      <c r="E30" s="4" t="s">
        <v>12</v>
      </c>
      <c r="F30" s="4" t="s">
        <v>320</v>
      </c>
      <c r="G30" s="5">
        <f t="shared" si="1"/>
        <v>0</v>
      </c>
      <c r="H30" s="4" t="s">
        <v>291</v>
      </c>
      <c r="I30" s="4" t="s">
        <v>266</v>
      </c>
      <c r="J30" s="4" t="s">
        <v>486</v>
      </c>
      <c r="K30" s="5">
        <f t="shared" si="2"/>
        <v>1.2846291331546024E-3</v>
      </c>
    </row>
    <row r="31" spans="1:11" x14ac:dyDescent="0.2">
      <c r="A31" s="4" t="s">
        <v>60</v>
      </c>
      <c r="B31" s="4" t="s">
        <v>12</v>
      </c>
      <c r="C31" s="4" t="s">
        <v>61</v>
      </c>
      <c r="D31" s="5">
        <f t="shared" si="0"/>
        <v>0</v>
      </c>
      <c r="E31" s="4" t="s">
        <v>12</v>
      </c>
      <c r="F31" s="4" t="s">
        <v>321</v>
      </c>
      <c r="G31" s="5">
        <f t="shared" si="1"/>
        <v>0</v>
      </c>
      <c r="H31" s="4" t="s">
        <v>291</v>
      </c>
      <c r="I31" s="4" t="s">
        <v>411</v>
      </c>
      <c r="J31" s="4" t="s">
        <v>487</v>
      </c>
      <c r="K31" s="5">
        <f t="shared" si="2"/>
        <v>1.5536723163841809E-3</v>
      </c>
    </row>
    <row r="32" spans="1:11" x14ac:dyDescent="0.2">
      <c r="A32" s="4" t="s">
        <v>62</v>
      </c>
      <c r="B32" s="4" t="s">
        <v>12</v>
      </c>
      <c r="C32" s="4" t="s">
        <v>63</v>
      </c>
      <c r="D32" s="5">
        <f t="shared" si="0"/>
        <v>0</v>
      </c>
      <c r="E32" s="4" t="s">
        <v>12</v>
      </c>
      <c r="F32" s="4" t="s">
        <v>322</v>
      </c>
      <c r="G32" s="5">
        <f t="shared" si="1"/>
        <v>0</v>
      </c>
      <c r="H32" s="4" t="s">
        <v>291</v>
      </c>
      <c r="I32" s="4" t="s">
        <v>266</v>
      </c>
      <c r="J32" s="4" t="s">
        <v>488</v>
      </c>
      <c r="K32" s="5">
        <f t="shared" si="2"/>
        <v>2.2388786138421105E-3</v>
      </c>
    </row>
    <row r="33" spans="1:11" x14ac:dyDescent="0.2">
      <c r="A33" s="4" t="s">
        <v>64</v>
      </c>
      <c r="B33" s="4" t="s">
        <v>12</v>
      </c>
      <c r="C33" s="4" t="s">
        <v>65</v>
      </c>
      <c r="D33" s="5">
        <f t="shared" si="0"/>
        <v>0</v>
      </c>
      <c r="E33" s="4" t="s">
        <v>41</v>
      </c>
      <c r="F33" s="4" t="s">
        <v>323</v>
      </c>
      <c r="G33" s="5">
        <f t="shared" si="1"/>
        <v>1.0462439840970915E-4</v>
      </c>
      <c r="H33" s="4" t="s">
        <v>324</v>
      </c>
      <c r="I33" s="4" t="s">
        <v>4</v>
      </c>
      <c r="J33" s="4" t="s">
        <v>489</v>
      </c>
      <c r="K33" s="5">
        <f t="shared" si="2"/>
        <v>9.2850510677808728E-4</v>
      </c>
    </row>
    <row r="34" spans="1:11" x14ac:dyDescent="0.2">
      <c r="A34" s="4" t="s">
        <v>66</v>
      </c>
      <c r="B34" s="4" t="s">
        <v>12</v>
      </c>
      <c r="C34" s="4" t="s">
        <v>67</v>
      </c>
      <c r="D34" s="5">
        <f t="shared" si="0"/>
        <v>0</v>
      </c>
      <c r="E34" s="4" t="s">
        <v>12</v>
      </c>
      <c r="F34" s="4" t="s">
        <v>325</v>
      </c>
      <c r="G34" s="5">
        <f t="shared" si="1"/>
        <v>0</v>
      </c>
      <c r="H34" s="4" t="s">
        <v>291</v>
      </c>
      <c r="I34" s="4" t="s">
        <v>490</v>
      </c>
      <c r="J34" s="4" t="s">
        <v>491</v>
      </c>
      <c r="K34" s="5">
        <f t="shared" si="2"/>
        <v>1.7308524448290783E-3</v>
      </c>
    </row>
    <row r="35" spans="1:11" x14ac:dyDescent="0.2">
      <c r="A35" s="4" t="s">
        <v>68</v>
      </c>
      <c r="B35" s="4" t="s">
        <v>12</v>
      </c>
      <c r="C35" s="4" t="s">
        <v>69</v>
      </c>
      <c r="D35" s="5">
        <f t="shared" si="0"/>
        <v>0</v>
      </c>
      <c r="E35" s="4" t="s">
        <v>12</v>
      </c>
      <c r="F35" s="4" t="s">
        <v>326</v>
      </c>
      <c r="G35" s="5">
        <f t="shared" si="1"/>
        <v>0</v>
      </c>
      <c r="H35" s="4" t="s">
        <v>291</v>
      </c>
      <c r="I35" s="4" t="s">
        <v>490</v>
      </c>
      <c r="J35" s="4" t="s">
        <v>492</v>
      </c>
      <c r="K35" s="5">
        <f t="shared" si="2"/>
        <v>2.3790642347343376E-3</v>
      </c>
    </row>
    <row r="36" spans="1:11" x14ac:dyDescent="0.2">
      <c r="A36" s="4" t="s">
        <v>70</v>
      </c>
      <c r="B36" s="4" t="s">
        <v>12</v>
      </c>
      <c r="C36" s="4" t="s">
        <v>71</v>
      </c>
      <c r="D36" s="5">
        <f t="shared" si="0"/>
        <v>0</v>
      </c>
      <c r="E36" s="4" t="s">
        <v>12</v>
      </c>
      <c r="F36" s="4" t="s">
        <v>327</v>
      </c>
      <c r="G36" s="5">
        <f t="shared" si="1"/>
        <v>0</v>
      </c>
      <c r="H36" s="4" t="s">
        <v>291</v>
      </c>
      <c r="I36" s="4" t="s">
        <v>85</v>
      </c>
      <c r="J36" s="4" t="s">
        <v>493</v>
      </c>
      <c r="K36" s="5">
        <f t="shared" si="2"/>
        <v>1.3747594171020072E-3</v>
      </c>
    </row>
    <row r="37" spans="1:11" x14ac:dyDescent="0.2">
      <c r="A37" s="4" t="s">
        <v>72</v>
      </c>
      <c r="B37" s="4" t="s">
        <v>12</v>
      </c>
      <c r="C37" s="4" t="s">
        <v>73</v>
      </c>
      <c r="D37" s="5">
        <f t="shared" si="0"/>
        <v>0</v>
      </c>
      <c r="E37" s="4" t="s">
        <v>12</v>
      </c>
      <c r="F37" s="4" t="s">
        <v>328</v>
      </c>
      <c r="G37" s="5">
        <f t="shared" si="1"/>
        <v>0</v>
      </c>
      <c r="H37" s="4" t="s">
        <v>291</v>
      </c>
      <c r="I37" s="4" t="s">
        <v>85</v>
      </c>
      <c r="J37" s="4" t="s">
        <v>494</v>
      </c>
      <c r="K37" s="5">
        <f t="shared" si="2"/>
        <v>2.1204410517387615E-3</v>
      </c>
    </row>
    <row r="38" spans="1:11" x14ac:dyDescent="0.2">
      <c r="A38" s="4" t="s">
        <v>74</v>
      </c>
      <c r="B38" s="4" t="s">
        <v>75</v>
      </c>
      <c r="C38" s="4" t="s">
        <v>76</v>
      </c>
      <c r="D38" s="5">
        <f t="shared" si="0"/>
        <v>1.082915207739234E-4</v>
      </c>
      <c r="E38" s="4" t="s">
        <v>251</v>
      </c>
      <c r="F38" s="4" t="s">
        <v>329</v>
      </c>
      <c r="G38" s="5">
        <f t="shared" si="1"/>
        <v>2.5227043390514632E-4</v>
      </c>
      <c r="H38" s="4" t="s">
        <v>312</v>
      </c>
      <c r="I38" s="4" t="s">
        <v>495</v>
      </c>
      <c r="J38" s="4" t="s">
        <v>496</v>
      </c>
      <c r="K38" s="5">
        <f t="shared" si="2"/>
        <v>2.0256094914273314E-3</v>
      </c>
    </row>
    <row r="39" spans="1:11" x14ac:dyDescent="0.2">
      <c r="A39" s="4" t="s">
        <v>77</v>
      </c>
      <c r="B39" s="4" t="s">
        <v>78</v>
      </c>
      <c r="C39" s="4" t="s">
        <v>79</v>
      </c>
      <c r="D39" s="5">
        <f t="shared" si="0"/>
        <v>8.8656412075003324E-5</v>
      </c>
      <c r="E39" s="4" t="s">
        <v>1</v>
      </c>
      <c r="F39" s="4" t="s">
        <v>330</v>
      </c>
      <c r="G39" s="5">
        <f t="shared" si="1"/>
        <v>4.4010210368805564E-4</v>
      </c>
      <c r="H39" s="4" t="s">
        <v>287</v>
      </c>
      <c r="I39" s="4" t="s">
        <v>497</v>
      </c>
      <c r="J39" s="4" t="s">
        <v>498</v>
      </c>
      <c r="K39" s="5">
        <f t="shared" si="2"/>
        <v>3.1342427051604645E-3</v>
      </c>
    </row>
    <row r="40" spans="1:11" x14ac:dyDescent="0.2">
      <c r="A40" s="4" t="s">
        <v>80</v>
      </c>
      <c r="B40" s="4" t="s">
        <v>78</v>
      </c>
      <c r="C40" s="4" t="s">
        <v>81</v>
      </c>
      <c r="D40" s="5">
        <f t="shared" si="0"/>
        <v>1.1024750565018466E-4</v>
      </c>
      <c r="E40" s="4" t="s">
        <v>85</v>
      </c>
      <c r="F40" s="4" t="s">
        <v>331</v>
      </c>
      <c r="G40" s="5">
        <f t="shared" si="1"/>
        <v>2.8052064631956913E-4</v>
      </c>
      <c r="H40" s="4" t="s">
        <v>314</v>
      </c>
      <c r="I40" s="4" t="s">
        <v>450</v>
      </c>
      <c r="J40" s="4" t="s">
        <v>499</v>
      </c>
      <c r="K40" s="5">
        <f t="shared" si="2"/>
        <v>3.3288948069241011E-3</v>
      </c>
    </row>
    <row r="41" spans="1:11" x14ac:dyDescent="0.2">
      <c r="A41" s="4" t="s">
        <v>82</v>
      </c>
      <c r="B41" s="4" t="s">
        <v>75</v>
      </c>
      <c r="C41" s="4" t="s">
        <v>83</v>
      </c>
      <c r="D41" s="5">
        <f t="shared" si="0"/>
        <v>2.3349937733499379E-4</v>
      </c>
      <c r="E41" s="4" t="s">
        <v>75</v>
      </c>
      <c r="F41" s="4" t="s">
        <v>332</v>
      </c>
      <c r="G41" s="5">
        <f t="shared" si="1"/>
        <v>2.3618327822390176E-4</v>
      </c>
      <c r="H41" s="4" t="s">
        <v>333</v>
      </c>
      <c r="I41" s="4" t="s">
        <v>500</v>
      </c>
      <c r="J41" s="4" t="s">
        <v>501</v>
      </c>
      <c r="K41" s="5">
        <f t="shared" si="2"/>
        <v>3.8964015585606234E-3</v>
      </c>
    </row>
    <row r="42" spans="1:11" x14ac:dyDescent="0.2">
      <c r="A42" s="4" t="s">
        <v>84</v>
      </c>
      <c r="B42" s="4" t="s">
        <v>85</v>
      </c>
      <c r="C42" s="4" t="s">
        <v>86</v>
      </c>
      <c r="D42" s="5">
        <f t="shared" si="0"/>
        <v>6.014675808973896E-4</v>
      </c>
      <c r="E42" s="4" t="s">
        <v>78</v>
      </c>
      <c r="F42" s="4" t="s">
        <v>334</v>
      </c>
      <c r="G42" s="5">
        <f t="shared" si="1"/>
        <v>2.4372410431391665E-4</v>
      </c>
      <c r="H42" s="4" t="s">
        <v>308</v>
      </c>
      <c r="I42" s="4" t="s">
        <v>502</v>
      </c>
      <c r="J42" s="4" t="s">
        <v>503</v>
      </c>
      <c r="K42" s="5">
        <f t="shared" si="2"/>
        <v>5.7380051275790498E-3</v>
      </c>
    </row>
    <row r="43" spans="1:11" x14ac:dyDescent="0.2">
      <c r="A43" s="4" t="s">
        <v>87</v>
      </c>
      <c r="B43" s="4" t="s">
        <v>41</v>
      </c>
      <c r="C43" s="4" t="s">
        <v>88</v>
      </c>
      <c r="D43" s="5">
        <f t="shared" si="0"/>
        <v>5.54139421478444E-5</v>
      </c>
      <c r="E43" s="4" t="s">
        <v>304</v>
      </c>
      <c r="F43" s="4" t="s">
        <v>335</v>
      </c>
      <c r="G43" s="5">
        <f t="shared" si="1"/>
        <v>3.3409432596469735E-4</v>
      </c>
      <c r="H43" s="4" t="s">
        <v>336</v>
      </c>
      <c r="I43" s="4" t="s">
        <v>504</v>
      </c>
      <c r="J43" s="4" t="s">
        <v>505</v>
      </c>
      <c r="K43" s="5">
        <f t="shared" si="2"/>
        <v>1.9014505351225078E-3</v>
      </c>
    </row>
    <row r="44" spans="1:11" x14ac:dyDescent="0.2">
      <c r="A44" s="4" t="s">
        <v>89</v>
      </c>
      <c r="B44" s="4" t="s">
        <v>41</v>
      </c>
      <c r="C44" s="4" t="s">
        <v>90</v>
      </c>
      <c r="D44" s="5">
        <f t="shared" si="0"/>
        <v>7.0751379651903218E-5</v>
      </c>
      <c r="E44" s="4" t="s">
        <v>228</v>
      </c>
      <c r="F44" s="4" t="s">
        <v>337</v>
      </c>
      <c r="G44" s="5">
        <f t="shared" si="1"/>
        <v>2.7814477435505179E-4</v>
      </c>
      <c r="H44" s="4" t="s">
        <v>289</v>
      </c>
      <c r="I44" s="4" t="s">
        <v>430</v>
      </c>
      <c r="J44" s="4" t="s">
        <v>506</v>
      </c>
      <c r="K44" s="5">
        <f t="shared" si="2"/>
        <v>2.707581227436823E-3</v>
      </c>
    </row>
    <row r="45" spans="1:11" x14ac:dyDescent="0.2">
      <c r="A45" s="4" t="s">
        <v>91</v>
      </c>
      <c r="B45" s="4" t="s">
        <v>41</v>
      </c>
      <c r="C45" s="4" t="s">
        <v>92</v>
      </c>
      <c r="D45" s="5">
        <f t="shared" si="0"/>
        <v>9.1282519397535369E-5</v>
      </c>
      <c r="E45" s="4" t="s">
        <v>12</v>
      </c>
      <c r="F45" s="4" t="s">
        <v>338</v>
      </c>
      <c r="G45" s="5">
        <f t="shared" si="1"/>
        <v>0</v>
      </c>
      <c r="H45" s="4" t="s">
        <v>291</v>
      </c>
      <c r="I45" s="4" t="s">
        <v>260</v>
      </c>
      <c r="J45" s="4" t="s">
        <v>507</v>
      </c>
      <c r="K45" s="5">
        <f t="shared" si="2"/>
        <v>2.3640661938534278E-3</v>
      </c>
    </row>
    <row r="46" spans="1:11" x14ac:dyDescent="0.2">
      <c r="A46" s="4" t="s">
        <v>93</v>
      </c>
      <c r="B46" s="4" t="s">
        <v>78</v>
      </c>
      <c r="C46" s="4" t="s">
        <v>94</v>
      </c>
      <c r="D46" s="5">
        <f t="shared" si="0"/>
        <v>2.7229407760381212E-4</v>
      </c>
      <c r="E46" s="4" t="s">
        <v>78</v>
      </c>
      <c r="F46" s="4" t="s">
        <v>339</v>
      </c>
      <c r="G46" s="5">
        <f t="shared" si="1"/>
        <v>2.5923525599481532E-4</v>
      </c>
      <c r="H46" s="4" t="s">
        <v>308</v>
      </c>
      <c r="I46" s="4" t="s">
        <v>508</v>
      </c>
      <c r="J46" s="4" t="s">
        <v>509</v>
      </c>
      <c r="K46" s="5">
        <f t="shared" si="2"/>
        <v>3.977724741447892E-3</v>
      </c>
    </row>
    <row r="47" spans="1:11" x14ac:dyDescent="0.2">
      <c r="A47" s="4" t="s">
        <v>95</v>
      </c>
      <c r="B47" s="4" t="s">
        <v>12</v>
      </c>
      <c r="C47" s="4" t="s">
        <v>96</v>
      </c>
      <c r="D47" s="5">
        <f t="shared" si="0"/>
        <v>0</v>
      </c>
      <c r="E47" s="4" t="s">
        <v>12</v>
      </c>
      <c r="F47" s="4" t="s">
        <v>340</v>
      </c>
      <c r="G47" s="5">
        <f t="shared" si="1"/>
        <v>0</v>
      </c>
      <c r="H47" s="4" t="s">
        <v>291</v>
      </c>
      <c r="I47" s="4" t="s">
        <v>510</v>
      </c>
      <c r="J47" s="4" t="s">
        <v>511</v>
      </c>
      <c r="K47" s="5">
        <f t="shared" si="2"/>
        <v>3.381066030230708E-3</v>
      </c>
    </row>
    <row r="48" spans="1:11" x14ac:dyDescent="0.2">
      <c r="A48" s="4" t="s">
        <v>97</v>
      </c>
      <c r="B48" s="4" t="s">
        <v>12</v>
      </c>
      <c r="C48" s="4" t="s">
        <v>98</v>
      </c>
      <c r="D48" s="5">
        <f t="shared" si="0"/>
        <v>0</v>
      </c>
      <c r="E48" s="4" t="s">
        <v>12</v>
      </c>
      <c r="F48" s="4" t="s">
        <v>341</v>
      </c>
      <c r="G48" s="5">
        <f t="shared" si="1"/>
        <v>0</v>
      </c>
      <c r="H48" s="4" t="s">
        <v>291</v>
      </c>
      <c r="I48" s="4" t="s">
        <v>78</v>
      </c>
      <c r="J48" s="4" t="s">
        <v>512</v>
      </c>
      <c r="K48" s="5">
        <f t="shared" si="2"/>
        <v>2.2109219544550078E-4</v>
      </c>
    </row>
    <row r="49" spans="1:11" x14ac:dyDescent="0.2">
      <c r="A49" s="4" t="s">
        <v>99</v>
      </c>
      <c r="B49" s="4" t="s">
        <v>78</v>
      </c>
      <c r="C49" s="4" t="s">
        <v>100</v>
      </c>
      <c r="D49" s="5">
        <f t="shared" si="0"/>
        <v>2.6147208785462153E-4</v>
      </c>
      <c r="E49" s="4" t="s">
        <v>12</v>
      </c>
      <c r="F49" s="4" t="s">
        <v>342</v>
      </c>
      <c r="G49" s="5">
        <f t="shared" si="1"/>
        <v>0</v>
      </c>
      <c r="H49" s="4" t="s">
        <v>291</v>
      </c>
      <c r="I49" s="4" t="s">
        <v>271</v>
      </c>
      <c r="J49" s="4" t="s">
        <v>513</v>
      </c>
      <c r="K49" s="5">
        <f t="shared" si="2"/>
        <v>1.7259691980881571E-3</v>
      </c>
    </row>
    <row r="50" spans="1:11" x14ac:dyDescent="0.2">
      <c r="A50" s="4" t="s">
        <v>101</v>
      </c>
      <c r="B50" s="4" t="s">
        <v>12</v>
      </c>
      <c r="C50" s="4" t="s">
        <v>102</v>
      </c>
      <c r="D50" s="5">
        <f t="shared" si="0"/>
        <v>0</v>
      </c>
      <c r="E50" s="4" t="s">
        <v>41</v>
      </c>
      <c r="F50" s="4" t="s">
        <v>343</v>
      </c>
      <c r="G50" s="5">
        <f t="shared" si="1"/>
        <v>1.733402669440111E-4</v>
      </c>
      <c r="H50" s="4" t="s">
        <v>298</v>
      </c>
      <c r="I50" s="4" t="s">
        <v>282</v>
      </c>
      <c r="J50" s="4" t="s">
        <v>514</v>
      </c>
      <c r="K50" s="5">
        <f t="shared" si="2"/>
        <v>1.423994304022784E-3</v>
      </c>
    </row>
    <row r="51" spans="1:11" x14ac:dyDescent="0.2">
      <c r="A51" s="4" t="s">
        <v>103</v>
      </c>
      <c r="B51" s="4" t="s">
        <v>12</v>
      </c>
      <c r="C51" s="4" t="s">
        <v>104</v>
      </c>
      <c r="D51" s="5">
        <f t="shared" si="0"/>
        <v>0</v>
      </c>
      <c r="E51" s="4" t="s">
        <v>12</v>
      </c>
      <c r="F51" s="4" t="s">
        <v>344</v>
      </c>
      <c r="G51" s="5">
        <f t="shared" si="1"/>
        <v>0</v>
      </c>
      <c r="H51" s="4" t="s">
        <v>291</v>
      </c>
      <c r="I51" s="4" t="s">
        <v>304</v>
      </c>
      <c r="J51" s="4" t="s">
        <v>515</v>
      </c>
      <c r="K51" s="5">
        <f t="shared" si="2"/>
        <v>1.5178345560333923E-3</v>
      </c>
    </row>
    <row r="52" spans="1:11" x14ac:dyDescent="0.2">
      <c r="A52" s="4" t="s">
        <v>105</v>
      </c>
      <c r="B52" s="4" t="s">
        <v>41</v>
      </c>
      <c r="C52" s="4" t="s">
        <v>106</v>
      </c>
      <c r="D52" s="5">
        <f t="shared" si="0"/>
        <v>4.4033465433729633E-4</v>
      </c>
      <c r="E52" s="4" t="s">
        <v>12</v>
      </c>
      <c r="F52" s="4" t="s">
        <v>345</v>
      </c>
      <c r="G52" s="5">
        <f t="shared" si="1"/>
        <v>0</v>
      </c>
      <c r="H52" s="4" t="s">
        <v>291</v>
      </c>
      <c r="I52" s="4" t="s">
        <v>85</v>
      </c>
      <c r="J52" s="4" t="s">
        <v>516</v>
      </c>
      <c r="K52" s="5">
        <f t="shared" si="2"/>
        <v>2.1691973969631237E-3</v>
      </c>
    </row>
    <row r="53" spans="1:11" x14ac:dyDescent="0.2">
      <c r="A53" s="4" t="s">
        <v>107</v>
      </c>
      <c r="B53" s="4" t="s">
        <v>12</v>
      </c>
      <c r="C53" s="4" t="s">
        <v>108</v>
      </c>
      <c r="D53" s="5">
        <f t="shared" si="0"/>
        <v>0</v>
      </c>
      <c r="E53" s="4" t="s">
        <v>78</v>
      </c>
      <c r="F53" s="4" t="s">
        <v>346</v>
      </c>
      <c r="G53" s="5">
        <f t="shared" si="1"/>
        <v>2.488181139586962E-4</v>
      </c>
      <c r="H53" s="4" t="s">
        <v>308</v>
      </c>
      <c r="I53" s="4" t="s">
        <v>517</v>
      </c>
      <c r="J53" s="4" t="s">
        <v>518</v>
      </c>
      <c r="K53" s="5">
        <f t="shared" si="2"/>
        <v>1.9540791402051783E-3</v>
      </c>
    </row>
    <row r="54" spans="1:11" x14ac:dyDescent="0.2">
      <c r="A54" s="4" t="s">
        <v>109</v>
      </c>
      <c r="B54" s="4" t="s">
        <v>12</v>
      </c>
      <c r="C54" s="4" t="s">
        <v>110</v>
      </c>
      <c r="D54" s="5">
        <f t="shared" si="0"/>
        <v>0</v>
      </c>
      <c r="E54" s="4" t="s">
        <v>41</v>
      </c>
      <c r="F54" s="4" t="s">
        <v>347</v>
      </c>
      <c r="G54" s="5">
        <f t="shared" si="1"/>
        <v>1.6059097478721696E-4</v>
      </c>
      <c r="H54" s="4" t="s">
        <v>298</v>
      </c>
      <c r="I54" s="4" t="s">
        <v>414</v>
      </c>
      <c r="J54" s="4" t="s">
        <v>519</v>
      </c>
      <c r="K54" s="5">
        <f t="shared" si="2"/>
        <v>2.2939537932164509E-3</v>
      </c>
    </row>
    <row r="55" spans="1:11" x14ac:dyDescent="0.2">
      <c r="A55" s="4" t="s">
        <v>111</v>
      </c>
      <c r="B55" s="4" t="s">
        <v>12</v>
      </c>
      <c r="C55" s="4" t="s">
        <v>112</v>
      </c>
      <c r="D55" s="5">
        <f t="shared" si="0"/>
        <v>0</v>
      </c>
      <c r="E55" s="4" t="s">
        <v>12</v>
      </c>
      <c r="F55" s="4" t="s">
        <v>348</v>
      </c>
      <c r="G55" s="5">
        <f t="shared" si="1"/>
        <v>0</v>
      </c>
      <c r="H55" s="4" t="s">
        <v>291</v>
      </c>
      <c r="I55" s="4" t="s">
        <v>282</v>
      </c>
      <c r="J55" s="4" t="s">
        <v>520</v>
      </c>
      <c r="K55" s="5">
        <f t="shared" si="2"/>
        <v>1.7773828038213731E-3</v>
      </c>
    </row>
    <row r="56" spans="1:11" x14ac:dyDescent="0.2">
      <c r="A56" s="4" t="s">
        <v>113</v>
      </c>
      <c r="B56" s="4" t="s">
        <v>12</v>
      </c>
      <c r="C56" s="4" t="s">
        <v>114</v>
      </c>
      <c r="D56" s="5">
        <f t="shared" si="0"/>
        <v>0</v>
      </c>
      <c r="E56" s="4" t="s">
        <v>12</v>
      </c>
      <c r="F56" s="4" t="s">
        <v>349</v>
      </c>
      <c r="G56" s="5">
        <f t="shared" si="1"/>
        <v>0</v>
      </c>
      <c r="H56" s="4" t="s">
        <v>291</v>
      </c>
      <c r="I56" s="4" t="s">
        <v>4</v>
      </c>
      <c r="J56" s="4" t="s">
        <v>521</v>
      </c>
      <c r="K56" s="5">
        <f t="shared" si="2"/>
        <v>2.7932960893854749E-3</v>
      </c>
    </row>
    <row r="57" spans="1:11" x14ac:dyDescent="0.2">
      <c r="A57" s="4" t="s">
        <v>115</v>
      </c>
      <c r="B57" s="4" t="s">
        <v>12</v>
      </c>
      <c r="C57" s="4" t="s">
        <v>116</v>
      </c>
      <c r="D57" s="5">
        <f t="shared" si="0"/>
        <v>0</v>
      </c>
      <c r="E57" s="4" t="s">
        <v>12</v>
      </c>
      <c r="F57" s="4" t="s">
        <v>350</v>
      </c>
      <c r="G57" s="5">
        <f t="shared" si="1"/>
        <v>0</v>
      </c>
      <c r="H57" s="4" t="s">
        <v>291</v>
      </c>
      <c r="I57" s="4" t="s">
        <v>75</v>
      </c>
      <c r="J57" s="4" t="s">
        <v>522</v>
      </c>
      <c r="K57" s="5">
        <f t="shared" si="2"/>
        <v>1.3286093888396811E-3</v>
      </c>
    </row>
    <row r="58" spans="1:11" x14ac:dyDescent="0.2">
      <c r="A58" s="4" t="s">
        <v>117</v>
      </c>
      <c r="B58" s="4" t="s">
        <v>12</v>
      </c>
      <c r="C58" s="4" t="s">
        <v>118</v>
      </c>
      <c r="D58" s="5">
        <f t="shared" si="0"/>
        <v>0</v>
      </c>
      <c r="E58" s="4" t="s">
        <v>85</v>
      </c>
      <c r="F58" s="4" t="s">
        <v>351</v>
      </c>
      <c r="G58" s="5">
        <f t="shared" si="1"/>
        <v>5.466870763175158E-4</v>
      </c>
      <c r="H58" s="4" t="s">
        <v>314</v>
      </c>
      <c r="I58" s="4" t="s">
        <v>439</v>
      </c>
      <c r="J58" s="4" t="s">
        <v>98</v>
      </c>
      <c r="K58" s="5">
        <f t="shared" si="2"/>
        <v>2.2717438338381653E-3</v>
      </c>
    </row>
    <row r="59" spans="1:11" x14ac:dyDescent="0.2">
      <c r="A59" s="4" t="s">
        <v>119</v>
      </c>
      <c r="B59" s="4" t="s">
        <v>12</v>
      </c>
      <c r="C59" s="4" t="s">
        <v>120</v>
      </c>
      <c r="D59" s="5">
        <f t="shared" si="0"/>
        <v>0</v>
      </c>
      <c r="E59" s="4" t="s">
        <v>85</v>
      </c>
      <c r="F59" s="4" t="s">
        <v>352</v>
      </c>
      <c r="G59" s="5">
        <f t="shared" si="1"/>
        <v>8.2345191040843213E-4</v>
      </c>
      <c r="H59" s="4" t="s">
        <v>314</v>
      </c>
      <c r="I59" s="4" t="s">
        <v>433</v>
      </c>
      <c r="J59" s="4" t="s">
        <v>523</v>
      </c>
      <c r="K59" s="5">
        <f t="shared" si="2"/>
        <v>1.8509170452633351E-3</v>
      </c>
    </row>
    <row r="60" spans="1:11" x14ac:dyDescent="0.2">
      <c r="A60" s="4" t="s">
        <v>121</v>
      </c>
      <c r="B60" s="4" t="s">
        <v>12</v>
      </c>
      <c r="C60" s="4" t="s">
        <v>122</v>
      </c>
      <c r="D60" s="5">
        <f t="shared" si="0"/>
        <v>0</v>
      </c>
      <c r="E60" s="4" t="s">
        <v>78</v>
      </c>
      <c r="F60" s="4" t="s">
        <v>353</v>
      </c>
      <c r="G60" s="5">
        <f t="shared" si="1"/>
        <v>6.0864272671941571E-4</v>
      </c>
      <c r="H60" s="4" t="s">
        <v>308</v>
      </c>
      <c r="I60" s="4" t="s">
        <v>78</v>
      </c>
      <c r="J60" s="4" t="s">
        <v>524</v>
      </c>
      <c r="K60" s="5">
        <f t="shared" si="2"/>
        <v>6.2715584822828471E-4</v>
      </c>
    </row>
    <row r="61" spans="1:11" x14ac:dyDescent="0.2">
      <c r="A61" s="4" t="s">
        <v>123</v>
      </c>
      <c r="B61" s="4" t="s">
        <v>12</v>
      </c>
      <c r="C61" s="4" t="s">
        <v>124</v>
      </c>
      <c r="D61" s="5">
        <f t="shared" si="0"/>
        <v>0</v>
      </c>
      <c r="E61" s="4" t="s">
        <v>12</v>
      </c>
      <c r="F61" s="4" t="s">
        <v>354</v>
      </c>
      <c r="G61" s="5">
        <f t="shared" si="1"/>
        <v>0</v>
      </c>
      <c r="H61" s="4" t="s">
        <v>291</v>
      </c>
      <c r="I61" s="4" t="s">
        <v>228</v>
      </c>
      <c r="J61" s="4" t="s">
        <v>525</v>
      </c>
      <c r="K61" s="5">
        <f t="shared" si="2"/>
        <v>2.0181634712411706E-3</v>
      </c>
    </row>
    <row r="62" spans="1:11" x14ac:dyDescent="0.2">
      <c r="A62" s="4" t="s">
        <v>125</v>
      </c>
      <c r="B62" s="4" t="s">
        <v>12</v>
      </c>
      <c r="C62" s="4" t="s">
        <v>126</v>
      </c>
      <c r="D62" s="5">
        <f t="shared" si="0"/>
        <v>0</v>
      </c>
      <c r="E62" s="4" t="s">
        <v>12</v>
      </c>
      <c r="F62" s="4" t="s">
        <v>355</v>
      </c>
      <c r="G62" s="5">
        <f t="shared" si="1"/>
        <v>0</v>
      </c>
      <c r="H62" s="4" t="s">
        <v>291</v>
      </c>
      <c r="I62" s="4" t="s">
        <v>304</v>
      </c>
      <c r="J62" s="4" t="s">
        <v>526</v>
      </c>
      <c r="K62" s="5">
        <f t="shared" si="2"/>
        <v>4.6911649726348714E-3</v>
      </c>
    </row>
    <row r="63" spans="1:11" x14ac:dyDescent="0.2">
      <c r="A63" s="4" t="s">
        <v>127</v>
      </c>
      <c r="B63" s="4" t="s">
        <v>78</v>
      </c>
      <c r="C63" s="4" t="s">
        <v>128</v>
      </c>
      <c r="D63" s="5">
        <f t="shared" si="0"/>
        <v>3.3523298692591353E-4</v>
      </c>
      <c r="E63" s="4" t="s">
        <v>75</v>
      </c>
      <c r="F63" s="4" t="s">
        <v>356</v>
      </c>
      <c r="G63" s="5">
        <f t="shared" si="1"/>
        <v>4.9439683586025051E-4</v>
      </c>
      <c r="H63" s="4" t="s">
        <v>333</v>
      </c>
      <c r="I63" s="4" t="s">
        <v>481</v>
      </c>
      <c r="J63" s="4" t="s">
        <v>527</v>
      </c>
      <c r="K63" s="5">
        <f t="shared" si="2"/>
        <v>4.6834625322997418E-3</v>
      </c>
    </row>
    <row r="64" spans="1:11" x14ac:dyDescent="0.2">
      <c r="A64" s="4" t="s">
        <v>129</v>
      </c>
      <c r="B64" s="4" t="s">
        <v>12</v>
      </c>
      <c r="C64" s="4" t="s">
        <v>130</v>
      </c>
      <c r="D64" s="5">
        <f t="shared" si="0"/>
        <v>0</v>
      </c>
      <c r="E64" s="4" t="s">
        <v>78</v>
      </c>
      <c r="F64" s="4" t="s">
        <v>357</v>
      </c>
      <c r="G64" s="5">
        <f t="shared" si="1"/>
        <v>4.0160642570281126E-4</v>
      </c>
      <c r="H64" s="4" t="s">
        <v>308</v>
      </c>
      <c r="I64" s="4" t="s">
        <v>528</v>
      </c>
      <c r="J64" s="4" t="s">
        <v>529</v>
      </c>
      <c r="K64" s="5">
        <f t="shared" si="2"/>
        <v>8.7433916226108167E-3</v>
      </c>
    </row>
    <row r="65" spans="1:11" x14ac:dyDescent="0.2">
      <c r="A65" s="4" t="s">
        <v>131</v>
      </c>
      <c r="B65" s="4" t="s">
        <v>12</v>
      </c>
      <c r="C65" s="4" t="s">
        <v>132</v>
      </c>
      <c r="D65" s="5">
        <f t="shared" si="0"/>
        <v>0</v>
      </c>
      <c r="E65" s="4" t="s">
        <v>78</v>
      </c>
      <c r="F65" s="4" t="s">
        <v>358</v>
      </c>
      <c r="G65" s="5">
        <f t="shared" si="1"/>
        <v>4.9504950495049506E-4</v>
      </c>
      <c r="H65" s="4" t="s">
        <v>308</v>
      </c>
      <c r="I65" s="4" t="s">
        <v>9</v>
      </c>
      <c r="J65" s="4" t="s">
        <v>530</v>
      </c>
      <c r="K65" s="5">
        <f t="shared" si="2"/>
        <v>3.8353362311429303E-3</v>
      </c>
    </row>
    <row r="66" spans="1:11" x14ac:dyDescent="0.2">
      <c r="A66" s="4" t="s">
        <v>133</v>
      </c>
      <c r="B66" s="4" t="s">
        <v>12</v>
      </c>
      <c r="C66" s="4" t="s">
        <v>134</v>
      </c>
      <c r="D66" s="5">
        <f t="shared" si="0"/>
        <v>0</v>
      </c>
      <c r="E66" s="4" t="s">
        <v>12</v>
      </c>
      <c r="F66" s="4" t="s">
        <v>359</v>
      </c>
      <c r="G66" s="5">
        <f t="shared" si="1"/>
        <v>0</v>
      </c>
      <c r="H66" s="4" t="s">
        <v>291</v>
      </c>
      <c r="I66" s="4" t="s">
        <v>490</v>
      </c>
      <c r="J66" s="4" t="s">
        <v>531</v>
      </c>
      <c r="K66" s="5">
        <f t="shared" si="2"/>
        <v>4.1710114702815434E-3</v>
      </c>
    </row>
    <row r="67" spans="1:11" x14ac:dyDescent="0.2">
      <c r="A67" s="4" t="s">
        <v>135</v>
      </c>
      <c r="B67" s="4" t="s">
        <v>12</v>
      </c>
      <c r="C67" s="4" t="s">
        <v>136</v>
      </c>
      <c r="D67" s="5">
        <f t="shared" si="0"/>
        <v>0</v>
      </c>
      <c r="E67" s="4" t="s">
        <v>78</v>
      </c>
      <c r="F67" s="4" t="s">
        <v>360</v>
      </c>
      <c r="G67" s="5">
        <f t="shared" si="1"/>
        <v>1.1448196908986834E-3</v>
      </c>
      <c r="H67" s="4" t="s">
        <v>308</v>
      </c>
      <c r="I67" s="4" t="s">
        <v>282</v>
      </c>
      <c r="J67" s="4" t="s">
        <v>532</v>
      </c>
      <c r="K67" s="5">
        <f t="shared" si="2"/>
        <v>4.7309284447072742E-3</v>
      </c>
    </row>
    <row r="68" spans="1:11" x14ac:dyDescent="0.2">
      <c r="A68" s="4" t="s">
        <v>137</v>
      </c>
      <c r="B68" s="4" t="s">
        <v>78</v>
      </c>
      <c r="C68" s="4" t="s">
        <v>138</v>
      </c>
      <c r="D68" s="5">
        <f t="shared" ref="D68:D131" si="3">B68/C68</f>
        <v>2.3078698361412417E-4</v>
      </c>
      <c r="E68" s="4" t="s">
        <v>1</v>
      </c>
      <c r="F68" s="4" t="s">
        <v>361</v>
      </c>
      <c r="G68" s="5">
        <f t="shared" ref="G68:G131" si="4">E68/F68</f>
        <v>1.1587485515643105E-3</v>
      </c>
      <c r="H68" s="4" t="s">
        <v>287</v>
      </c>
      <c r="I68" s="4" t="s">
        <v>533</v>
      </c>
      <c r="J68" s="4" t="s">
        <v>534</v>
      </c>
      <c r="K68" s="5">
        <f t="shared" ref="K68:K131" si="5">I68/J68</f>
        <v>1.083323729399562E-2</v>
      </c>
    </row>
    <row r="69" spans="1:11" x14ac:dyDescent="0.2">
      <c r="A69" s="4" t="s">
        <v>139</v>
      </c>
      <c r="B69" s="4" t="s">
        <v>41</v>
      </c>
      <c r="C69" s="4" t="s">
        <v>140</v>
      </c>
      <c r="D69" s="5">
        <f t="shared" si="3"/>
        <v>1.2843565373747752E-4</v>
      </c>
      <c r="E69" s="4" t="s">
        <v>1</v>
      </c>
      <c r="F69" s="4" t="s">
        <v>362</v>
      </c>
      <c r="G69" s="5">
        <f t="shared" si="4"/>
        <v>1.2953367875647669E-3</v>
      </c>
      <c r="H69" s="4" t="s">
        <v>287</v>
      </c>
      <c r="I69" s="4" t="s">
        <v>535</v>
      </c>
      <c r="J69" s="4" t="s">
        <v>536</v>
      </c>
      <c r="K69" s="5">
        <f t="shared" si="5"/>
        <v>1.2092534174553101E-2</v>
      </c>
    </row>
    <row r="70" spans="1:11" x14ac:dyDescent="0.2">
      <c r="A70" s="4" t="s">
        <v>141</v>
      </c>
      <c r="B70" s="4" t="s">
        <v>78</v>
      </c>
      <c r="C70" s="4" t="s">
        <v>142</v>
      </c>
      <c r="D70" s="5">
        <f t="shared" si="3"/>
        <v>3.1007751937984498E-4</v>
      </c>
      <c r="E70" s="4" t="s">
        <v>1</v>
      </c>
      <c r="F70" s="4" t="s">
        <v>363</v>
      </c>
      <c r="G70" s="5">
        <f t="shared" si="4"/>
        <v>1.5384615384615385E-3</v>
      </c>
      <c r="H70" s="4" t="s">
        <v>287</v>
      </c>
      <c r="I70" s="4" t="s">
        <v>537</v>
      </c>
      <c r="J70" s="4" t="s">
        <v>538</v>
      </c>
      <c r="K70" s="5">
        <f t="shared" si="5"/>
        <v>1.0097871679353736E-2</v>
      </c>
    </row>
    <row r="71" spans="1:11" x14ac:dyDescent="0.2">
      <c r="A71" s="4" t="s">
        <v>143</v>
      </c>
      <c r="B71" s="4" t="s">
        <v>78</v>
      </c>
      <c r="C71" s="4" t="s">
        <v>144</v>
      </c>
      <c r="D71" s="5">
        <f t="shared" si="3"/>
        <v>4.0708324852432322E-4</v>
      </c>
      <c r="E71" s="4" t="s">
        <v>304</v>
      </c>
      <c r="F71" s="4" t="s">
        <v>364</v>
      </c>
      <c r="G71" s="5">
        <f t="shared" si="4"/>
        <v>1.2312743689718859E-3</v>
      </c>
      <c r="H71" s="4" t="s">
        <v>306</v>
      </c>
      <c r="I71" s="4" t="s">
        <v>539</v>
      </c>
      <c r="J71" s="4" t="s">
        <v>540</v>
      </c>
      <c r="K71" s="5">
        <f t="shared" si="5"/>
        <v>1.1757551185890938E-2</v>
      </c>
    </row>
    <row r="72" spans="1:11" x14ac:dyDescent="0.2">
      <c r="A72" s="4" t="s">
        <v>145</v>
      </c>
      <c r="B72" s="4" t="s">
        <v>41</v>
      </c>
      <c r="C72" s="4" t="s">
        <v>146</v>
      </c>
      <c r="D72" s="5">
        <f t="shared" si="3"/>
        <v>3.0931023816888341E-4</v>
      </c>
      <c r="E72" s="4" t="s">
        <v>78</v>
      </c>
      <c r="F72" s="4" t="s">
        <v>365</v>
      </c>
      <c r="G72" s="5">
        <f t="shared" si="4"/>
        <v>6.2932662051604787E-4</v>
      </c>
      <c r="H72" s="4" t="s">
        <v>366</v>
      </c>
      <c r="I72" s="4" t="s">
        <v>510</v>
      </c>
      <c r="J72" s="4" t="s">
        <v>541</v>
      </c>
      <c r="K72" s="5">
        <f t="shared" si="5"/>
        <v>5.398539218799619E-3</v>
      </c>
    </row>
    <row r="73" spans="1:11" x14ac:dyDescent="0.2">
      <c r="A73" s="4" t="s">
        <v>147</v>
      </c>
      <c r="B73" s="4" t="s">
        <v>12</v>
      </c>
      <c r="C73" s="4" t="s">
        <v>148</v>
      </c>
      <c r="D73" s="5">
        <f t="shared" si="3"/>
        <v>0</v>
      </c>
      <c r="E73" s="4" t="s">
        <v>41</v>
      </c>
      <c r="F73" s="4" t="s">
        <v>367</v>
      </c>
      <c r="G73" s="5">
        <f t="shared" si="4"/>
        <v>2.1500752526338422E-4</v>
      </c>
      <c r="H73" s="4" t="s">
        <v>298</v>
      </c>
      <c r="I73" s="4" t="s">
        <v>490</v>
      </c>
      <c r="J73" s="4" t="s">
        <v>542</v>
      </c>
      <c r="K73" s="5">
        <f t="shared" si="5"/>
        <v>2.6258205689277899E-3</v>
      </c>
    </row>
    <row r="74" spans="1:11" x14ac:dyDescent="0.2">
      <c r="A74" s="4" t="s">
        <v>149</v>
      </c>
      <c r="B74" s="4" t="s">
        <v>12</v>
      </c>
      <c r="C74" s="4" t="s">
        <v>150</v>
      </c>
      <c r="D74" s="5">
        <f t="shared" si="3"/>
        <v>0</v>
      </c>
      <c r="E74" s="4" t="s">
        <v>78</v>
      </c>
      <c r="F74" s="4" t="s">
        <v>368</v>
      </c>
      <c r="G74" s="5">
        <f t="shared" si="4"/>
        <v>5.1163980557687391E-4</v>
      </c>
      <c r="H74" s="4" t="s">
        <v>308</v>
      </c>
      <c r="I74" s="4" t="s">
        <v>433</v>
      </c>
      <c r="J74" s="4" t="s">
        <v>543</v>
      </c>
      <c r="K74" s="5">
        <f t="shared" si="5"/>
        <v>2.6184241847179244E-3</v>
      </c>
    </row>
    <row r="75" spans="1:11" x14ac:dyDescent="0.2">
      <c r="A75" s="4" t="s">
        <v>151</v>
      </c>
      <c r="B75" s="4" t="s">
        <v>12</v>
      </c>
      <c r="C75" s="4" t="s">
        <v>152</v>
      </c>
      <c r="D75" s="5">
        <f t="shared" si="3"/>
        <v>0</v>
      </c>
      <c r="E75" s="4" t="s">
        <v>12</v>
      </c>
      <c r="F75" s="4" t="s">
        <v>369</v>
      </c>
      <c r="G75" s="5">
        <f t="shared" si="4"/>
        <v>0</v>
      </c>
      <c r="H75" s="4" t="s">
        <v>291</v>
      </c>
      <c r="I75" s="4" t="s">
        <v>251</v>
      </c>
      <c r="J75" s="4" t="s">
        <v>544</v>
      </c>
      <c r="K75" s="5">
        <f t="shared" si="5"/>
        <v>1.9875070982396364E-3</v>
      </c>
    </row>
    <row r="76" spans="1:11" x14ac:dyDescent="0.2">
      <c r="A76" s="4" t="s">
        <v>153</v>
      </c>
      <c r="B76" s="4" t="s">
        <v>12</v>
      </c>
      <c r="C76" s="4" t="s">
        <v>154</v>
      </c>
      <c r="D76" s="5">
        <f t="shared" si="3"/>
        <v>0</v>
      </c>
      <c r="E76" s="4" t="s">
        <v>41</v>
      </c>
      <c r="F76" s="4" t="s">
        <v>370</v>
      </c>
      <c r="G76" s="5">
        <f t="shared" si="4"/>
        <v>4.0000000000000002E-4</v>
      </c>
      <c r="H76" s="4" t="s">
        <v>371</v>
      </c>
      <c r="I76" s="4" t="s">
        <v>85</v>
      </c>
      <c r="J76" s="4" t="s">
        <v>545</v>
      </c>
      <c r="K76" s="5">
        <f t="shared" si="5"/>
        <v>1.9778481012658229E-3</v>
      </c>
    </row>
    <row r="77" spans="1:11" x14ac:dyDescent="0.2">
      <c r="A77" s="4" t="s">
        <v>155</v>
      </c>
      <c r="B77" s="4" t="s">
        <v>12</v>
      </c>
      <c r="C77" s="4" t="s">
        <v>156</v>
      </c>
      <c r="D77" s="5">
        <f t="shared" si="3"/>
        <v>0</v>
      </c>
      <c r="E77" s="4" t="s">
        <v>12</v>
      </c>
      <c r="F77" s="4" t="s">
        <v>372</v>
      </c>
      <c r="G77" s="5">
        <f t="shared" si="4"/>
        <v>0</v>
      </c>
      <c r="H77" s="4" t="s">
        <v>291</v>
      </c>
      <c r="I77" s="4" t="s">
        <v>1</v>
      </c>
      <c r="J77" s="4" t="s">
        <v>546</v>
      </c>
      <c r="K77" s="5">
        <f t="shared" si="5"/>
        <v>6.1199510403916772E-3</v>
      </c>
    </row>
    <row r="78" spans="1:11" x14ac:dyDescent="0.2">
      <c r="A78" s="4" t="s">
        <v>157</v>
      </c>
      <c r="B78" s="4" t="s">
        <v>12</v>
      </c>
      <c r="C78" s="4" t="s">
        <v>158</v>
      </c>
      <c r="D78" s="5">
        <f t="shared" si="3"/>
        <v>0</v>
      </c>
      <c r="E78" s="4" t="s">
        <v>12</v>
      </c>
      <c r="F78" s="4" t="s">
        <v>373</v>
      </c>
      <c r="G78" s="5">
        <f t="shared" si="4"/>
        <v>0</v>
      </c>
      <c r="H78" s="4" t="s">
        <v>291</v>
      </c>
      <c r="I78" s="4" t="s">
        <v>282</v>
      </c>
      <c r="J78" s="4" t="s">
        <v>547</v>
      </c>
      <c r="K78" s="5">
        <f t="shared" si="5"/>
        <v>5.8565153733528552E-3</v>
      </c>
    </row>
    <row r="79" spans="1:11" x14ac:dyDescent="0.2">
      <c r="A79" s="4" t="s">
        <v>159</v>
      </c>
      <c r="B79" s="4" t="s">
        <v>12</v>
      </c>
      <c r="C79" s="4" t="s">
        <v>160</v>
      </c>
      <c r="D79" s="5">
        <f t="shared" si="3"/>
        <v>0</v>
      </c>
      <c r="E79" s="4" t="s">
        <v>12</v>
      </c>
      <c r="F79" s="4" t="s">
        <v>374</v>
      </c>
      <c r="G79" s="5">
        <f t="shared" si="4"/>
        <v>0</v>
      </c>
      <c r="H79" s="4" t="s">
        <v>291</v>
      </c>
      <c r="I79" s="4" t="s">
        <v>1</v>
      </c>
      <c r="J79" s="4" t="s">
        <v>548</v>
      </c>
      <c r="K79" s="5">
        <f t="shared" si="5"/>
        <v>9.0497737556561094E-3</v>
      </c>
    </row>
    <row r="80" spans="1:11" x14ac:dyDescent="0.2">
      <c r="A80" s="4" t="s">
        <v>161</v>
      </c>
      <c r="B80" s="4" t="s">
        <v>12</v>
      </c>
      <c r="C80" s="4" t="s">
        <v>162</v>
      </c>
      <c r="D80" s="5">
        <f t="shared" si="3"/>
        <v>0</v>
      </c>
      <c r="E80" s="4" t="s">
        <v>41</v>
      </c>
      <c r="F80" s="4" t="s">
        <v>375</v>
      </c>
      <c r="G80" s="5">
        <f t="shared" si="4"/>
        <v>1.2285012285012285E-3</v>
      </c>
      <c r="H80" s="4" t="s">
        <v>371</v>
      </c>
      <c r="I80" s="4" t="s">
        <v>304</v>
      </c>
      <c r="J80" s="4" t="s">
        <v>549</v>
      </c>
      <c r="K80" s="5">
        <f t="shared" si="5"/>
        <v>7.1684587813620072E-3</v>
      </c>
    </row>
    <row r="81" spans="1:11" x14ac:dyDescent="0.2">
      <c r="A81" s="4" t="s">
        <v>163</v>
      </c>
      <c r="B81" s="4" t="s">
        <v>12</v>
      </c>
      <c r="C81" s="4" t="s">
        <v>164</v>
      </c>
      <c r="D81" s="5">
        <f t="shared" si="3"/>
        <v>0</v>
      </c>
      <c r="E81" s="4" t="s">
        <v>78</v>
      </c>
      <c r="F81" s="4" t="s">
        <v>376</v>
      </c>
      <c r="G81" s="5">
        <f t="shared" si="4"/>
        <v>3.1397174254317113E-3</v>
      </c>
      <c r="H81" s="4" t="s">
        <v>366</v>
      </c>
      <c r="I81" s="4" t="s">
        <v>304</v>
      </c>
      <c r="J81" s="4" t="s">
        <v>550</v>
      </c>
      <c r="K81" s="5">
        <f t="shared" si="5"/>
        <v>1.0273972602739725E-2</v>
      </c>
    </row>
    <row r="82" spans="1:11" x14ac:dyDescent="0.2">
      <c r="A82" s="4" t="s">
        <v>165</v>
      </c>
      <c r="B82" s="4" t="s">
        <v>12</v>
      </c>
      <c r="C82" s="4" t="s">
        <v>166</v>
      </c>
      <c r="D82" s="5">
        <f t="shared" si="3"/>
        <v>0</v>
      </c>
      <c r="E82" s="4" t="s">
        <v>41</v>
      </c>
      <c r="F82" s="4" t="s">
        <v>377</v>
      </c>
      <c r="G82" s="5">
        <f t="shared" si="4"/>
        <v>2.6595744680851063E-3</v>
      </c>
      <c r="H82" s="4" t="s">
        <v>298</v>
      </c>
      <c r="I82" s="4" t="s">
        <v>75</v>
      </c>
      <c r="J82" s="4" t="s">
        <v>551</v>
      </c>
      <c r="K82" s="5">
        <f t="shared" si="5"/>
        <v>7.3170731707317077E-3</v>
      </c>
    </row>
    <row r="83" spans="1:11" x14ac:dyDescent="0.2">
      <c r="A83" s="4" t="s">
        <v>167</v>
      </c>
      <c r="B83" s="4" t="s">
        <v>12</v>
      </c>
      <c r="C83" s="4" t="s">
        <v>168</v>
      </c>
      <c r="D83" s="5">
        <f t="shared" si="3"/>
        <v>0</v>
      </c>
      <c r="E83" s="4" t="s">
        <v>78</v>
      </c>
      <c r="F83" s="4" t="s">
        <v>378</v>
      </c>
      <c r="G83" s="5">
        <f t="shared" si="4"/>
        <v>1.0554089709762533E-3</v>
      </c>
      <c r="H83" s="4" t="s">
        <v>308</v>
      </c>
      <c r="I83" s="4" t="s">
        <v>433</v>
      </c>
      <c r="J83" s="4" t="s">
        <v>552</v>
      </c>
      <c r="K83" s="5">
        <f t="shared" si="5"/>
        <v>5.620848237097598E-3</v>
      </c>
    </row>
    <row r="84" spans="1:11" x14ac:dyDescent="0.2">
      <c r="A84" s="4" t="s">
        <v>169</v>
      </c>
      <c r="B84" s="4" t="s">
        <v>12</v>
      </c>
      <c r="C84" s="4" t="s">
        <v>170</v>
      </c>
      <c r="D84" s="5">
        <f t="shared" si="3"/>
        <v>0</v>
      </c>
      <c r="E84" s="4" t="s">
        <v>41</v>
      </c>
      <c r="F84" s="4" t="s">
        <v>379</v>
      </c>
      <c r="G84" s="5">
        <f t="shared" si="4"/>
        <v>5.6915196357427435E-4</v>
      </c>
      <c r="H84" s="4" t="s">
        <v>298</v>
      </c>
      <c r="I84" s="4" t="s">
        <v>251</v>
      </c>
      <c r="J84" s="4" t="s">
        <v>553</v>
      </c>
      <c r="K84" s="5">
        <f t="shared" si="5"/>
        <v>4.154302670623145E-3</v>
      </c>
    </row>
    <row r="85" spans="1:11" x14ac:dyDescent="0.2">
      <c r="A85" s="4" t="s">
        <v>171</v>
      </c>
      <c r="B85" s="4" t="s">
        <v>41</v>
      </c>
      <c r="C85" s="4" t="s">
        <v>172</v>
      </c>
      <c r="D85" s="5">
        <f t="shared" si="3"/>
        <v>7.3637702503681884E-4</v>
      </c>
      <c r="E85" s="4" t="s">
        <v>12</v>
      </c>
      <c r="F85" s="4" t="s">
        <v>380</v>
      </c>
      <c r="G85" s="5">
        <f t="shared" si="4"/>
        <v>0</v>
      </c>
      <c r="H85" s="4" t="s">
        <v>291</v>
      </c>
      <c r="I85" s="4" t="s">
        <v>304</v>
      </c>
      <c r="J85" s="4" t="s">
        <v>554</v>
      </c>
      <c r="K85" s="5">
        <f t="shared" si="5"/>
        <v>4.6153846153846158E-3</v>
      </c>
    </row>
    <row r="86" spans="1:11" x14ac:dyDescent="0.2">
      <c r="A86" s="4" t="s">
        <v>173</v>
      </c>
      <c r="B86" s="4" t="s">
        <v>12</v>
      </c>
      <c r="C86" s="4" t="s">
        <v>174</v>
      </c>
      <c r="D86" s="5">
        <f t="shared" si="3"/>
        <v>0</v>
      </c>
      <c r="E86" s="4" t="s">
        <v>78</v>
      </c>
      <c r="F86" s="4" t="s">
        <v>381</v>
      </c>
      <c r="G86" s="5">
        <f t="shared" si="4"/>
        <v>2.2988505747126436E-3</v>
      </c>
      <c r="H86" s="4" t="s">
        <v>308</v>
      </c>
      <c r="I86" s="4" t="s">
        <v>78</v>
      </c>
      <c r="J86" s="4" t="s">
        <v>555</v>
      </c>
      <c r="K86" s="5">
        <f t="shared" si="5"/>
        <v>2.2197558268590455E-3</v>
      </c>
    </row>
    <row r="87" spans="1:11" x14ac:dyDescent="0.2">
      <c r="A87" s="4" t="s">
        <v>175</v>
      </c>
      <c r="B87" s="4" t="s">
        <v>12</v>
      </c>
      <c r="C87" s="4" t="s">
        <v>176</v>
      </c>
      <c r="D87" s="5">
        <f t="shared" si="3"/>
        <v>0</v>
      </c>
      <c r="E87" s="4" t="s">
        <v>41</v>
      </c>
      <c r="F87" s="4" t="s">
        <v>382</v>
      </c>
      <c r="G87" s="5">
        <f t="shared" si="4"/>
        <v>1.9493177387914229E-3</v>
      </c>
      <c r="H87" s="4" t="s">
        <v>371</v>
      </c>
      <c r="I87" s="4" t="s">
        <v>78</v>
      </c>
      <c r="J87" s="4" t="s">
        <v>556</v>
      </c>
      <c r="K87" s="5">
        <f t="shared" si="5"/>
        <v>3.9215686274509803E-3</v>
      </c>
    </row>
    <row r="88" spans="1:11" x14ac:dyDescent="0.2">
      <c r="A88" s="4" t="s">
        <v>177</v>
      </c>
      <c r="B88" s="4" t="s">
        <v>75</v>
      </c>
      <c r="C88" s="4" t="s">
        <v>178</v>
      </c>
      <c r="D88" s="5">
        <f t="shared" si="3"/>
        <v>1.0968921389396709E-3</v>
      </c>
      <c r="E88" s="4" t="s">
        <v>85</v>
      </c>
      <c r="F88" s="4" t="s">
        <v>383</v>
      </c>
      <c r="G88" s="5">
        <f t="shared" si="4"/>
        <v>1.827485380116959E-3</v>
      </c>
      <c r="H88" s="4" t="s">
        <v>314</v>
      </c>
      <c r="I88" s="4" t="s">
        <v>483</v>
      </c>
      <c r="J88" s="4" t="s">
        <v>557</v>
      </c>
      <c r="K88" s="5">
        <f t="shared" si="5"/>
        <v>6.8443804034582136E-3</v>
      </c>
    </row>
    <row r="89" spans="1:11" x14ac:dyDescent="0.2">
      <c r="A89" s="4" t="s">
        <v>179</v>
      </c>
      <c r="B89" s="4" t="s">
        <v>75</v>
      </c>
      <c r="C89" s="4" t="s">
        <v>180</v>
      </c>
      <c r="D89" s="5">
        <f t="shared" si="3"/>
        <v>1.3605442176870747E-3</v>
      </c>
      <c r="E89" s="4" t="s">
        <v>304</v>
      </c>
      <c r="F89" s="4" t="s">
        <v>180</v>
      </c>
      <c r="G89" s="5">
        <f t="shared" si="4"/>
        <v>2.7210884353741495E-3</v>
      </c>
      <c r="H89" s="4" t="s">
        <v>306</v>
      </c>
      <c r="I89" s="4" t="s">
        <v>4</v>
      </c>
      <c r="J89" s="4" t="s">
        <v>558</v>
      </c>
      <c r="K89" s="5">
        <f t="shared" si="5"/>
        <v>4.0723981900452491E-3</v>
      </c>
    </row>
    <row r="90" spans="1:11" x14ac:dyDescent="0.2">
      <c r="A90" s="4" t="s">
        <v>181</v>
      </c>
      <c r="B90" s="4" t="s">
        <v>41</v>
      </c>
      <c r="C90" s="4" t="s">
        <v>182</v>
      </c>
      <c r="D90" s="5">
        <f t="shared" si="3"/>
        <v>5.8548009367681499E-4</v>
      </c>
      <c r="E90" s="4" t="s">
        <v>304</v>
      </c>
      <c r="F90" s="4" t="s">
        <v>384</v>
      </c>
      <c r="G90" s="5">
        <f t="shared" si="4"/>
        <v>3.5252643948296123E-3</v>
      </c>
      <c r="H90" s="4" t="s">
        <v>336</v>
      </c>
      <c r="I90" s="4" t="s">
        <v>510</v>
      </c>
      <c r="J90" s="4" t="s">
        <v>559</v>
      </c>
      <c r="K90" s="5">
        <f t="shared" si="5"/>
        <v>9.52914798206278E-3</v>
      </c>
    </row>
    <row r="91" spans="1:11" x14ac:dyDescent="0.2">
      <c r="A91" s="4" t="s">
        <v>183</v>
      </c>
      <c r="B91" s="4" t="s">
        <v>75</v>
      </c>
      <c r="C91" s="4" t="s">
        <v>184</v>
      </c>
      <c r="D91" s="5">
        <f t="shared" si="3"/>
        <v>2.1645021645021645E-3</v>
      </c>
      <c r="E91" s="4" t="s">
        <v>85</v>
      </c>
      <c r="F91" s="4" t="s">
        <v>385</v>
      </c>
      <c r="G91" s="5">
        <f t="shared" si="4"/>
        <v>3.4482758620689655E-3</v>
      </c>
      <c r="H91" s="4" t="s">
        <v>314</v>
      </c>
      <c r="I91" s="4" t="s">
        <v>490</v>
      </c>
      <c r="J91" s="4" t="s">
        <v>560</v>
      </c>
      <c r="K91" s="5">
        <f t="shared" si="5"/>
        <v>8.5836909871244635E-3</v>
      </c>
    </row>
    <row r="92" spans="1:11" x14ac:dyDescent="0.2">
      <c r="A92" s="4" t="s">
        <v>185</v>
      </c>
      <c r="B92" s="4" t="s">
        <v>41</v>
      </c>
      <c r="C92" s="4" t="s">
        <v>186</v>
      </c>
      <c r="D92" s="5">
        <f t="shared" si="3"/>
        <v>9.6618357487922703E-4</v>
      </c>
      <c r="E92" s="4" t="s">
        <v>78</v>
      </c>
      <c r="F92" s="4" t="s">
        <v>386</v>
      </c>
      <c r="G92" s="5">
        <f t="shared" si="4"/>
        <v>1.8993352326685661E-3</v>
      </c>
      <c r="H92" s="4" t="s">
        <v>387</v>
      </c>
      <c r="I92" s="4" t="s">
        <v>414</v>
      </c>
      <c r="J92" s="4" t="s">
        <v>561</v>
      </c>
      <c r="K92" s="5">
        <f t="shared" si="5"/>
        <v>1.3133208255159476E-2</v>
      </c>
    </row>
    <row r="93" spans="1:11" x14ac:dyDescent="0.2">
      <c r="A93" s="4" t="s">
        <v>187</v>
      </c>
      <c r="B93" s="4" t="s">
        <v>41</v>
      </c>
      <c r="C93" s="4" t="s">
        <v>188</v>
      </c>
      <c r="D93" s="5">
        <f t="shared" si="3"/>
        <v>6.3051702395964691E-4</v>
      </c>
      <c r="E93" s="4" t="s">
        <v>12</v>
      </c>
      <c r="F93" s="4" t="s">
        <v>388</v>
      </c>
      <c r="G93" s="5">
        <f t="shared" si="4"/>
        <v>0</v>
      </c>
      <c r="H93" s="4" t="s">
        <v>291</v>
      </c>
      <c r="I93" s="4" t="s">
        <v>4</v>
      </c>
      <c r="J93" s="4" t="s">
        <v>562</v>
      </c>
      <c r="K93" s="5">
        <f t="shared" si="5"/>
        <v>5.8102001291155583E-3</v>
      </c>
    </row>
    <row r="94" spans="1:11" x14ac:dyDescent="0.2">
      <c r="A94" s="4" t="s">
        <v>189</v>
      </c>
      <c r="B94" s="4" t="s">
        <v>12</v>
      </c>
      <c r="C94" s="4" t="s">
        <v>190</v>
      </c>
      <c r="D94" s="5">
        <f t="shared" si="3"/>
        <v>0</v>
      </c>
      <c r="E94" s="4" t="s">
        <v>41</v>
      </c>
      <c r="F94" s="4" t="s">
        <v>389</v>
      </c>
      <c r="G94" s="5">
        <f t="shared" si="4"/>
        <v>6.9832402234636874E-4</v>
      </c>
      <c r="H94" s="4" t="s">
        <v>298</v>
      </c>
      <c r="I94" s="4" t="s">
        <v>228</v>
      </c>
      <c r="J94" s="4" t="s">
        <v>563</v>
      </c>
      <c r="K94" s="5">
        <f t="shared" si="5"/>
        <v>2.7913468248429866E-3</v>
      </c>
    </row>
    <row r="95" spans="1:11" x14ac:dyDescent="0.2">
      <c r="A95" s="4" t="s">
        <v>191</v>
      </c>
      <c r="B95" s="4" t="s">
        <v>12</v>
      </c>
      <c r="C95" s="4" t="s">
        <v>192</v>
      </c>
      <c r="D95" s="5">
        <f t="shared" si="3"/>
        <v>0</v>
      </c>
      <c r="E95" s="4" t="s">
        <v>41</v>
      </c>
      <c r="F95" s="4" t="s">
        <v>390</v>
      </c>
      <c r="G95" s="5">
        <f t="shared" si="4"/>
        <v>8.4817642069550466E-4</v>
      </c>
      <c r="H95" s="4" t="s">
        <v>298</v>
      </c>
      <c r="I95" s="4" t="s">
        <v>78</v>
      </c>
      <c r="J95" s="4" t="s">
        <v>564</v>
      </c>
      <c r="K95" s="5">
        <f t="shared" si="5"/>
        <v>1.5910898965791568E-3</v>
      </c>
    </row>
    <row r="96" spans="1:11" x14ac:dyDescent="0.2">
      <c r="A96" s="4" t="s">
        <v>193</v>
      </c>
      <c r="B96" s="4" t="s">
        <v>12</v>
      </c>
      <c r="C96" s="4" t="s">
        <v>194</v>
      </c>
      <c r="D96" s="5">
        <f t="shared" si="3"/>
        <v>0</v>
      </c>
      <c r="E96" s="4" t="s">
        <v>41</v>
      </c>
      <c r="F96" s="4" t="s">
        <v>391</v>
      </c>
      <c r="G96" s="5">
        <f t="shared" si="4"/>
        <v>1.0718113612004287E-3</v>
      </c>
      <c r="H96" s="4" t="s">
        <v>371</v>
      </c>
      <c r="I96" s="4" t="s">
        <v>4</v>
      </c>
      <c r="J96" s="4" t="s">
        <v>565</v>
      </c>
      <c r="K96" s="5">
        <f t="shared" si="5"/>
        <v>9.3749999999999997E-3</v>
      </c>
    </row>
    <row r="97" spans="1:11" x14ac:dyDescent="0.2">
      <c r="A97" s="4" t="s">
        <v>195</v>
      </c>
      <c r="B97" s="4" t="s">
        <v>12</v>
      </c>
      <c r="C97" s="4" t="s">
        <v>196</v>
      </c>
      <c r="D97" s="5">
        <f t="shared" si="3"/>
        <v>0</v>
      </c>
      <c r="E97" s="4" t="s">
        <v>41</v>
      </c>
      <c r="F97" s="4" t="s">
        <v>392</v>
      </c>
      <c r="G97" s="5">
        <f t="shared" si="4"/>
        <v>1.6103059581320451E-3</v>
      </c>
      <c r="H97" s="4" t="s">
        <v>324</v>
      </c>
      <c r="I97" s="4" t="s">
        <v>228</v>
      </c>
      <c r="J97" s="4" t="s">
        <v>566</v>
      </c>
      <c r="K97" s="5">
        <f t="shared" si="5"/>
        <v>6.7114093959731542E-3</v>
      </c>
    </row>
    <row r="98" spans="1:11" x14ac:dyDescent="0.2">
      <c r="A98" s="4" t="s">
        <v>197</v>
      </c>
      <c r="B98" s="4" t="s">
        <v>41</v>
      </c>
      <c r="C98" s="4" t="s">
        <v>198</v>
      </c>
      <c r="D98" s="5">
        <f t="shared" si="3"/>
        <v>1.3603591348115902E-4</v>
      </c>
      <c r="E98" s="4" t="s">
        <v>78</v>
      </c>
      <c r="F98" s="4" t="s">
        <v>393</v>
      </c>
      <c r="G98" s="5">
        <f t="shared" si="4"/>
        <v>2.7074590496818738E-4</v>
      </c>
      <c r="H98" s="4" t="s">
        <v>308</v>
      </c>
      <c r="I98" s="4" t="s">
        <v>282</v>
      </c>
      <c r="J98" s="4" t="s">
        <v>567</v>
      </c>
      <c r="K98" s="5">
        <f t="shared" si="5"/>
        <v>1.0596026490066225E-3</v>
      </c>
    </row>
    <row r="99" spans="1:11" x14ac:dyDescent="0.2">
      <c r="A99" s="4" t="s">
        <v>199</v>
      </c>
      <c r="B99" s="4" t="s">
        <v>12</v>
      </c>
      <c r="C99" s="4" t="s">
        <v>200</v>
      </c>
      <c r="D99" s="5">
        <f t="shared" si="3"/>
        <v>0</v>
      </c>
      <c r="E99" s="4" t="s">
        <v>41</v>
      </c>
      <c r="F99" s="4" t="s">
        <v>394</v>
      </c>
      <c r="G99" s="5">
        <f t="shared" si="4"/>
        <v>1.6857720836142953E-4</v>
      </c>
      <c r="H99" s="4" t="s">
        <v>298</v>
      </c>
      <c r="I99" s="4" t="s">
        <v>414</v>
      </c>
      <c r="J99" s="4" t="s">
        <v>568</v>
      </c>
      <c r="K99" s="5">
        <f t="shared" si="5"/>
        <v>2.3182646133465806E-3</v>
      </c>
    </row>
    <row r="100" spans="1:11" x14ac:dyDescent="0.2">
      <c r="A100" s="4" t="s">
        <v>201</v>
      </c>
      <c r="B100" s="4" t="s">
        <v>12</v>
      </c>
      <c r="C100" s="4" t="s">
        <v>202</v>
      </c>
      <c r="D100" s="5">
        <f t="shared" si="3"/>
        <v>0</v>
      </c>
      <c r="E100" s="4" t="s">
        <v>41</v>
      </c>
      <c r="F100" s="4" t="s">
        <v>395</v>
      </c>
      <c r="G100" s="5">
        <f t="shared" si="4"/>
        <v>2.0605810838656501E-4</v>
      </c>
      <c r="H100" s="4" t="s">
        <v>298</v>
      </c>
      <c r="I100" s="4" t="s">
        <v>517</v>
      </c>
      <c r="J100" s="4" t="s">
        <v>569</v>
      </c>
      <c r="K100" s="5">
        <f t="shared" si="5"/>
        <v>3.2606480538006927E-3</v>
      </c>
    </row>
    <row r="101" spans="1:11" x14ac:dyDescent="0.2">
      <c r="A101" s="4" t="s">
        <v>203</v>
      </c>
      <c r="B101" s="4" t="s">
        <v>12</v>
      </c>
      <c r="C101" s="4" t="s">
        <v>204</v>
      </c>
      <c r="D101" s="5">
        <f t="shared" si="3"/>
        <v>0</v>
      </c>
      <c r="E101" s="4" t="s">
        <v>12</v>
      </c>
      <c r="F101" s="4" t="s">
        <v>396</v>
      </c>
      <c r="G101" s="5">
        <f t="shared" si="4"/>
        <v>0</v>
      </c>
      <c r="H101" s="4" t="s">
        <v>291</v>
      </c>
      <c r="I101" s="4" t="s">
        <v>271</v>
      </c>
      <c r="J101" s="4" t="s">
        <v>570</v>
      </c>
      <c r="K101" s="5">
        <f t="shared" si="5"/>
        <v>3.8529934795494963E-3</v>
      </c>
    </row>
    <row r="102" spans="1:11" x14ac:dyDescent="0.2">
      <c r="A102" s="4" t="s">
        <v>205</v>
      </c>
      <c r="B102" s="4" t="s">
        <v>12</v>
      </c>
      <c r="C102" s="4" t="s">
        <v>206</v>
      </c>
      <c r="D102" s="5">
        <f t="shared" si="3"/>
        <v>0</v>
      </c>
      <c r="E102" s="4" t="s">
        <v>12</v>
      </c>
      <c r="F102" s="4" t="s">
        <v>397</v>
      </c>
      <c r="G102" s="5">
        <f t="shared" si="4"/>
        <v>0</v>
      </c>
      <c r="H102" s="4" t="s">
        <v>291</v>
      </c>
      <c r="I102" s="4" t="s">
        <v>271</v>
      </c>
      <c r="J102" s="4" t="s">
        <v>571</v>
      </c>
      <c r="K102" s="5">
        <f t="shared" si="5"/>
        <v>5.5389859394972306E-3</v>
      </c>
    </row>
    <row r="103" spans="1:11" x14ac:dyDescent="0.2">
      <c r="A103" s="4" t="s">
        <v>207</v>
      </c>
      <c r="B103" s="4" t="s">
        <v>12</v>
      </c>
      <c r="C103" s="4" t="s">
        <v>208</v>
      </c>
      <c r="D103" s="5">
        <f t="shared" si="3"/>
        <v>0</v>
      </c>
      <c r="E103" s="4" t="s">
        <v>12</v>
      </c>
      <c r="F103" s="4" t="s">
        <v>398</v>
      </c>
      <c r="G103" s="5">
        <f t="shared" si="4"/>
        <v>0</v>
      </c>
      <c r="H103" s="4" t="s">
        <v>291</v>
      </c>
      <c r="I103" s="4" t="s">
        <v>85</v>
      </c>
      <c r="J103" s="4" t="s">
        <v>572</v>
      </c>
      <c r="K103" s="5">
        <f t="shared" si="5"/>
        <v>1.1770244821092278E-3</v>
      </c>
    </row>
    <row r="104" spans="1:11" x14ac:dyDescent="0.2">
      <c r="A104" s="4" t="s">
        <v>209</v>
      </c>
      <c r="B104" s="4" t="s">
        <v>12</v>
      </c>
      <c r="C104" s="4" t="s">
        <v>210</v>
      </c>
      <c r="D104" s="5">
        <f t="shared" si="3"/>
        <v>0</v>
      </c>
      <c r="E104" s="4" t="s">
        <v>12</v>
      </c>
      <c r="F104" s="4" t="s">
        <v>399</v>
      </c>
      <c r="G104" s="5">
        <f t="shared" si="4"/>
        <v>0</v>
      </c>
      <c r="H104" s="4" t="s">
        <v>291</v>
      </c>
      <c r="I104" s="4" t="s">
        <v>75</v>
      </c>
      <c r="J104" s="4" t="s">
        <v>573</v>
      </c>
      <c r="K104" s="5">
        <f t="shared" si="5"/>
        <v>8.690614136732329E-4</v>
      </c>
    </row>
    <row r="105" spans="1:11" x14ac:dyDescent="0.2">
      <c r="A105" s="4" t="s">
        <v>211</v>
      </c>
      <c r="B105" s="4" t="s">
        <v>12</v>
      </c>
      <c r="C105" s="4" t="s">
        <v>212</v>
      </c>
      <c r="D105" s="5">
        <f t="shared" si="3"/>
        <v>0</v>
      </c>
      <c r="E105" s="4" t="s">
        <v>41</v>
      </c>
      <c r="F105" s="4" t="s">
        <v>400</v>
      </c>
      <c r="G105" s="5">
        <f t="shared" si="4"/>
        <v>3.5778175313059033E-4</v>
      </c>
      <c r="H105" s="4" t="s">
        <v>298</v>
      </c>
      <c r="I105" s="4" t="s">
        <v>78</v>
      </c>
      <c r="J105" s="4" t="s">
        <v>574</v>
      </c>
      <c r="K105" s="5">
        <f t="shared" si="5"/>
        <v>7.659900421294523E-4</v>
      </c>
    </row>
    <row r="106" spans="1:11" x14ac:dyDescent="0.2">
      <c r="A106" s="4" t="s">
        <v>213</v>
      </c>
      <c r="B106" s="4" t="s">
        <v>12</v>
      </c>
      <c r="C106" s="4" t="s">
        <v>214</v>
      </c>
      <c r="D106" s="5">
        <f t="shared" si="3"/>
        <v>0</v>
      </c>
      <c r="E106" s="4" t="s">
        <v>12</v>
      </c>
      <c r="F106" s="4" t="s">
        <v>401</v>
      </c>
      <c r="G106" s="5">
        <f t="shared" si="4"/>
        <v>0</v>
      </c>
      <c r="H106" s="4" t="s">
        <v>291</v>
      </c>
      <c r="I106" s="4" t="s">
        <v>41</v>
      </c>
      <c r="J106" s="4" t="s">
        <v>575</v>
      </c>
      <c r="K106" s="5">
        <f t="shared" si="5"/>
        <v>5.1948051948051948E-4</v>
      </c>
    </row>
    <row r="107" spans="1:11" x14ac:dyDescent="0.2">
      <c r="A107" s="4" t="s">
        <v>215</v>
      </c>
      <c r="B107" s="4" t="s">
        <v>12</v>
      </c>
      <c r="C107" s="4" t="s">
        <v>216</v>
      </c>
      <c r="D107" s="5">
        <f t="shared" si="3"/>
        <v>0</v>
      </c>
      <c r="E107" s="4" t="s">
        <v>12</v>
      </c>
      <c r="F107" s="4" t="s">
        <v>402</v>
      </c>
      <c r="G107" s="5">
        <f t="shared" si="4"/>
        <v>0</v>
      </c>
      <c r="H107" s="4" t="s">
        <v>291</v>
      </c>
      <c r="I107" s="4" t="s">
        <v>228</v>
      </c>
      <c r="J107" s="4" t="s">
        <v>172</v>
      </c>
      <c r="K107" s="5">
        <f t="shared" si="5"/>
        <v>2.9455081001472753E-3</v>
      </c>
    </row>
    <row r="108" spans="1:11" x14ac:dyDescent="0.2">
      <c r="A108" s="4" t="s">
        <v>217</v>
      </c>
      <c r="B108" s="4" t="s">
        <v>12</v>
      </c>
      <c r="C108" s="4" t="s">
        <v>218</v>
      </c>
      <c r="D108" s="5">
        <f t="shared" si="3"/>
        <v>0</v>
      </c>
      <c r="E108" s="4" t="s">
        <v>12</v>
      </c>
      <c r="F108" s="4" t="s">
        <v>403</v>
      </c>
      <c r="G108" s="5">
        <f t="shared" si="4"/>
        <v>0</v>
      </c>
      <c r="H108" s="4" t="s">
        <v>291</v>
      </c>
      <c r="I108" s="4" t="s">
        <v>1</v>
      </c>
      <c r="J108" s="4" t="s">
        <v>576</v>
      </c>
      <c r="K108" s="5">
        <f t="shared" si="5"/>
        <v>2.2316447221602323E-3</v>
      </c>
    </row>
    <row r="109" spans="1:11" x14ac:dyDescent="0.2">
      <c r="A109" s="4" t="s">
        <v>219</v>
      </c>
      <c r="B109" s="4" t="s">
        <v>12</v>
      </c>
      <c r="C109" s="4" t="s">
        <v>220</v>
      </c>
      <c r="D109" s="5">
        <f t="shared" si="3"/>
        <v>0</v>
      </c>
      <c r="E109" s="4" t="s">
        <v>12</v>
      </c>
      <c r="F109" s="4" t="s">
        <v>404</v>
      </c>
      <c r="G109" s="5">
        <f t="shared" si="4"/>
        <v>0</v>
      </c>
      <c r="H109" s="4" t="s">
        <v>291</v>
      </c>
      <c r="I109" s="4" t="s">
        <v>228</v>
      </c>
      <c r="J109" s="4" t="s">
        <v>577</v>
      </c>
      <c r="K109" s="5">
        <f t="shared" si="5"/>
        <v>1.008318628686665E-3</v>
      </c>
    </row>
    <row r="110" spans="1:11" x14ac:dyDescent="0.2">
      <c r="A110" s="4" t="s">
        <v>221</v>
      </c>
      <c r="B110" s="4" t="s">
        <v>12</v>
      </c>
      <c r="C110" s="4" t="s">
        <v>222</v>
      </c>
      <c r="D110" s="5">
        <f t="shared" si="3"/>
        <v>0</v>
      </c>
      <c r="E110" s="4" t="s">
        <v>12</v>
      </c>
      <c r="F110" s="4" t="s">
        <v>405</v>
      </c>
      <c r="G110" s="5">
        <f t="shared" si="4"/>
        <v>0</v>
      </c>
      <c r="H110" s="4" t="s">
        <v>291</v>
      </c>
      <c r="I110" s="4" t="s">
        <v>304</v>
      </c>
      <c r="J110" s="4" t="s">
        <v>578</v>
      </c>
      <c r="K110" s="5">
        <f t="shared" si="5"/>
        <v>1.7996400719856029E-3</v>
      </c>
    </row>
    <row r="111" spans="1:11" x14ac:dyDescent="0.2">
      <c r="A111" s="4" t="s">
        <v>223</v>
      </c>
      <c r="B111" s="4" t="s">
        <v>12</v>
      </c>
      <c r="C111" s="4" t="s">
        <v>224</v>
      </c>
      <c r="D111" s="5">
        <f t="shared" si="3"/>
        <v>0</v>
      </c>
      <c r="E111" s="4" t="s">
        <v>12</v>
      </c>
      <c r="F111" s="4" t="s">
        <v>406</v>
      </c>
      <c r="G111" s="5">
        <f t="shared" si="4"/>
        <v>0</v>
      </c>
      <c r="H111" s="4" t="s">
        <v>291</v>
      </c>
      <c r="I111" s="4" t="s">
        <v>228</v>
      </c>
      <c r="J111" s="4" t="s">
        <v>579</v>
      </c>
      <c r="K111" s="5">
        <f t="shared" si="5"/>
        <v>1.6116035455278001E-3</v>
      </c>
    </row>
    <row r="112" spans="1:11" x14ac:dyDescent="0.2">
      <c r="A112" s="4" t="s">
        <v>225</v>
      </c>
      <c r="B112" s="4" t="s">
        <v>12</v>
      </c>
      <c r="C112" s="4" t="s">
        <v>226</v>
      </c>
      <c r="D112" s="5">
        <f t="shared" si="3"/>
        <v>0</v>
      </c>
      <c r="E112" s="4" t="s">
        <v>12</v>
      </c>
      <c r="F112" s="4" t="s">
        <v>407</v>
      </c>
      <c r="G112" s="5">
        <f t="shared" si="4"/>
        <v>0</v>
      </c>
      <c r="H112" s="4" t="s">
        <v>291</v>
      </c>
      <c r="I112" s="4" t="s">
        <v>75</v>
      </c>
      <c r="J112" s="4" t="s">
        <v>580</v>
      </c>
      <c r="K112" s="5">
        <f t="shared" si="5"/>
        <v>1.6077170418006431E-3</v>
      </c>
    </row>
    <row r="113" spans="1:11" x14ac:dyDescent="0.2">
      <c r="A113" s="4" t="s">
        <v>227</v>
      </c>
      <c r="B113" s="4" t="s">
        <v>228</v>
      </c>
      <c r="C113" s="4" t="s">
        <v>229</v>
      </c>
      <c r="D113" s="5">
        <f t="shared" si="3"/>
        <v>1.4151777817088271E-4</v>
      </c>
      <c r="E113" s="4" t="s">
        <v>408</v>
      </c>
      <c r="F113" s="4" t="s">
        <v>409</v>
      </c>
      <c r="G113" s="5">
        <f t="shared" si="4"/>
        <v>1.6297031106072416E-3</v>
      </c>
      <c r="H113" s="4" t="s">
        <v>410</v>
      </c>
      <c r="I113" s="4" t="s">
        <v>581</v>
      </c>
      <c r="J113" s="4" t="s">
        <v>582</v>
      </c>
      <c r="K113" s="5">
        <f t="shared" si="5"/>
        <v>6.5951027853785168E-3</v>
      </c>
    </row>
    <row r="114" spans="1:11" x14ac:dyDescent="0.2">
      <c r="A114" s="4" t="s">
        <v>230</v>
      </c>
      <c r="B114" s="4" t="s">
        <v>78</v>
      </c>
      <c r="C114" s="4" t="s">
        <v>231</v>
      </c>
      <c r="D114" s="5">
        <f t="shared" si="3"/>
        <v>9.3733889487744289E-5</v>
      </c>
      <c r="E114" s="4" t="s">
        <v>411</v>
      </c>
      <c r="F114" s="4" t="s">
        <v>412</v>
      </c>
      <c r="G114" s="5">
        <f t="shared" si="4"/>
        <v>1.0192263145703034E-3</v>
      </c>
      <c r="H114" s="4" t="s">
        <v>413</v>
      </c>
      <c r="I114" s="4" t="s">
        <v>583</v>
      </c>
      <c r="J114" s="4" t="s">
        <v>584</v>
      </c>
      <c r="K114" s="5">
        <f t="shared" si="5"/>
        <v>6.6619081608374972E-3</v>
      </c>
    </row>
    <row r="115" spans="1:11" x14ac:dyDescent="0.2">
      <c r="A115" s="4" t="s">
        <v>232</v>
      </c>
      <c r="B115" s="4" t="s">
        <v>75</v>
      </c>
      <c r="C115" s="4" t="s">
        <v>233</v>
      </c>
      <c r="D115" s="5">
        <f t="shared" si="3"/>
        <v>2.0289463005545788E-4</v>
      </c>
      <c r="E115" s="4" t="s">
        <v>414</v>
      </c>
      <c r="F115" s="4" t="s">
        <v>415</v>
      </c>
      <c r="G115" s="5">
        <f t="shared" si="4"/>
        <v>9.5018324962671367E-4</v>
      </c>
      <c r="H115" s="4" t="s">
        <v>416</v>
      </c>
      <c r="I115" s="4" t="s">
        <v>585</v>
      </c>
      <c r="J115" s="4" t="s">
        <v>586</v>
      </c>
      <c r="K115" s="5">
        <f t="shared" si="5"/>
        <v>5.446842848497075E-3</v>
      </c>
    </row>
    <row r="116" spans="1:11" x14ac:dyDescent="0.2">
      <c r="A116" s="4" t="s">
        <v>234</v>
      </c>
      <c r="B116" s="4" t="s">
        <v>78</v>
      </c>
      <c r="C116" s="4" t="s">
        <v>235</v>
      </c>
      <c r="D116" s="5">
        <f t="shared" si="3"/>
        <v>2.0529665366454526E-4</v>
      </c>
      <c r="E116" s="4" t="s">
        <v>251</v>
      </c>
      <c r="F116" s="4" t="s">
        <v>417</v>
      </c>
      <c r="G116" s="5">
        <f t="shared" si="4"/>
        <v>6.9944044764188652E-4</v>
      </c>
      <c r="H116" s="4" t="s">
        <v>312</v>
      </c>
      <c r="I116" s="4" t="s">
        <v>587</v>
      </c>
      <c r="J116" s="4" t="s">
        <v>588</v>
      </c>
      <c r="K116" s="5">
        <f t="shared" si="5"/>
        <v>7.9728921666334471E-3</v>
      </c>
    </row>
    <row r="117" spans="1:11" x14ac:dyDescent="0.2">
      <c r="A117" s="4" t="s">
        <v>236</v>
      </c>
      <c r="B117" s="4" t="s">
        <v>85</v>
      </c>
      <c r="C117" s="4" t="s">
        <v>237</v>
      </c>
      <c r="D117" s="5">
        <f t="shared" si="3"/>
        <v>8.6325966850828726E-4</v>
      </c>
      <c r="E117" s="4" t="s">
        <v>75</v>
      </c>
      <c r="F117" s="4" t="s">
        <v>418</v>
      </c>
      <c r="G117" s="5">
        <f t="shared" si="4"/>
        <v>5.1378660729576979E-4</v>
      </c>
      <c r="H117" s="4" t="s">
        <v>333</v>
      </c>
      <c r="I117" s="4" t="s">
        <v>279</v>
      </c>
      <c r="J117" s="4" t="s">
        <v>589</v>
      </c>
      <c r="K117" s="5">
        <f t="shared" si="5"/>
        <v>6.6480055983205036E-3</v>
      </c>
    </row>
    <row r="118" spans="1:11" x14ac:dyDescent="0.2">
      <c r="A118" s="4" t="s">
        <v>238</v>
      </c>
      <c r="B118" s="4" t="s">
        <v>12</v>
      </c>
      <c r="C118" s="4" t="s">
        <v>239</v>
      </c>
      <c r="D118" s="5">
        <f t="shared" si="3"/>
        <v>0</v>
      </c>
      <c r="E118" s="4" t="s">
        <v>85</v>
      </c>
      <c r="F118" s="4" t="s">
        <v>419</v>
      </c>
      <c r="G118" s="5">
        <f t="shared" si="4"/>
        <v>5.9403587976713797E-4</v>
      </c>
      <c r="H118" s="4" t="s">
        <v>314</v>
      </c>
      <c r="I118" s="4" t="s">
        <v>263</v>
      </c>
      <c r="J118" s="4" t="s">
        <v>590</v>
      </c>
      <c r="K118" s="5">
        <f t="shared" si="5"/>
        <v>2.3860653781913625E-3</v>
      </c>
    </row>
    <row r="119" spans="1:11" x14ac:dyDescent="0.2">
      <c r="A119" s="4" t="s">
        <v>240</v>
      </c>
      <c r="B119" s="4" t="s">
        <v>12</v>
      </c>
      <c r="C119" s="4" t="s">
        <v>241</v>
      </c>
      <c r="D119" s="5">
        <f t="shared" si="3"/>
        <v>0</v>
      </c>
      <c r="E119" s="4" t="s">
        <v>228</v>
      </c>
      <c r="F119" s="4" t="s">
        <v>420</v>
      </c>
      <c r="G119" s="5">
        <f t="shared" si="4"/>
        <v>7.7026766801463508E-4</v>
      </c>
      <c r="H119" s="4" t="s">
        <v>289</v>
      </c>
      <c r="I119" s="4" t="s">
        <v>414</v>
      </c>
      <c r="J119" s="4" t="s">
        <v>591</v>
      </c>
      <c r="K119" s="5">
        <f t="shared" si="5"/>
        <v>2.6809651474530832E-3</v>
      </c>
    </row>
    <row r="120" spans="1:11" x14ac:dyDescent="0.2">
      <c r="A120" s="4" t="s">
        <v>242</v>
      </c>
      <c r="B120" s="4" t="s">
        <v>12</v>
      </c>
      <c r="C120" s="4" t="s">
        <v>243</v>
      </c>
      <c r="D120" s="5">
        <f t="shared" si="3"/>
        <v>0</v>
      </c>
      <c r="E120" s="4" t="s">
        <v>41</v>
      </c>
      <c r="F120" s="4" t="s">
        <v>421</v>
      </c>
      <c r="G120" s="5">
        <f t="shared" si="4"/>
        <v>3.3046926635822867E-4</v>
      </c>
      <c r="H120" s="4" t="s">
        <v>298</v>
      </c>
      <c r="I120" s="4" t="s">
        <v>85</v>
      </c>
      <c r="J120" s="4" t="s">
        <v>592</v>
      </c>
      <c r="K120" s="5">
        <f t="shared" si="5"/>
        <v>1.7041581458759373E-3</v>
      </c>
    </row>
    <row r="121" spans="1:11" x14ac:dyDescent="0.2">
      <c r="A121" s="4" t="s">
        <v>244</v>
      </c>
      <c r="B121" s="4" t="s">
        <v>12</v>
      </c>
      <c r="C121" s="4" t="s">
        <v>245</v>
      </c>
      <c r="D121" s="5">
        <f t="shared" si="3"/>
        <v>0</v>
      </c>
      <c r="E121" s="4" t="s">
        <v>41</v>
      </c>
      <c r="F121" s="4" t="s">
        <v>422</v>
      </c>
      <c r="G121" s="5">
        <f t="shared" si="4"/>
        <v>5.0175614651279475E-4</v>
      </c>
      <c r="H121" s="4" t="s">
        <v>298</v>
      </c>
      <c r="I121" s="4" t="s">
        <v>1</v>
      </c>
      <c r="J121" s="4" t="s">
        <v>593</v>
      </c>
      <c r="K121" s="5">
        <f t="shared" si="5"/>
        <v>4.945598417408506E-3</v>
      </c>
    </row>
    <row r="122" spans="1:11" x14ac:dyDescent="0.2">
      <c r="A122" s="4" t="s">
        <v>246</v>
      </c>
      <c r="B122" s="4" t="s">
        <v>12</v>
      </c>
      <c r="C122" s="4" t="s">
        <v>247</v>
      </c>
      <c r="D122" s="5">
        <f t="shared" si="3"/>
        <v>0</v>
      </c>
      <c r="E122" s="4" t="s">
        <v>41</v>
      </c>
      <c r="F122" s="4" t="s">
        <v>423</v>
      </c>
      <c r="G122" s="5">
        <f t="shared" si="4"/>
        <v>7.8616352201257866E-4</v>
      </c>
      <c r="H122" s="4" t="s">
        <v>298</v>
      </c>
      <c r="I122" s="4" t="s">
        <v>78</v>
      </c>
      <c r="J122" s="4" t="s">
        <v>594</v>
      </c>
      <c r="K122" s="5">
        <f t="shared" si="5"/>
        <v>1.6194331983805667E-3</v>
      </c>
    </row>
    <row r="123" spans="1:11" x14ac:dyDescent="0.2">
      <c r="A123" s="4" t="s">
        <v>248</v>
      </c>
      <c r="B123" s="4" t="s">
        <v>228</v>
      </c>
      <c r="C123" s="4" t="s">
        <v>249</v>
      </c>
      <c r="D123" s="5">
        <f t="shared" si="3"/>
        <v>5.0460451621042008E-4</v>
      </c>
      <c r="E123" s="4" t="s">
        <v>424</v>
      </c>
      <c r="F123" s="4" t="s">
        <v>425</v>
      </c>
      <c r="G123" s="5">
        <f t="shared" si="4"/>
        <v>1.431238332296204E-2</v>
      </c>
      <c r="H123" s="4" t="s">
        <v>426</v>
      </c>
      <c r="I123" s="4" t="s">
        <v>595</v>
      </c>
      <c r="J123" s="4" t="s">
        <v>596</v>
      </c>
      <c r="K123" s="5">
        <f t="shared" si="5"/>
        <v>4.7325102880658436E-2</v>
      </c>
    </row>
    <row r="124" spans="1:11" x14ac:dyDescent="0.2">
      <c r="A124" s="4" t="s">
        <v>250</v>
      </c>
      <c r="B124" s="4" t="s">
        <v>251</v>
      </c>
      <c r="C124" s="4" t="s">
        <v>252</v>
      </c>
      <c r="D124" s="5">
        <f t="shared" si="3"/>
        <v>1.0665854030169129E-3</v>
      </c>
      <c r="E124" s="4" t="s">
        <v>427</v>
      </c>
      <c r="F124" s="4" t="s">
        <v>428</v>
      </c>
      <c r="G124" s="5">
        <f t="shared" si="4"/>
        <v>1.2127724900214921E-2</v>
      </c>
      <c r="H124" s="4" t="s">
        <v>429</v>
      </c>
      <c r="I124" s="4" t="s">
        <v>597</v>
      </c>
      <c r="J124" s="4" t="s">
        <v>598</v>
      </c>
      <c r="K124" s="5">
        <f t="shared" si="5"/>
        <v>3.9544545314663795E-2</v>
      </c>
    </row>
    <row r="125" spans="1:11" x14ac:dyDescent="0.2">
      <c r="A125" s="4" t="s">
        <v>253</v>
      </c>
      <c r="B125" s="4" t="s">
        <v>78</v>
      </c>
      <c r="C125" s="4" t="s">
        <v>254</v>
      </c>
      <c r="D125" s="5">
        <f t="shared" si="3"/>
        <v>3.8387715930902113E-4</v>
      </c>
      <c r="E125" s="4" t="s">
        <v>430</v>
      </c>
      <c r="F125" s="4" t="s">
        <v>17</v>
      </c>
      <c r="G125" s="5">
        <f t="shared" si="4"/>
        <v>7.6291079812206572E-3</v>
      </c>
      <c r="H125" s="4" t="s">
        <v>431</v>
      </c>
      <c r="I125" s="4" t="s">
        <v>599</v>
      </c>
      <c r="J125" s="4" t="s">
        <v>600</v>
      </c>
      <c r="K125" s="5">
        <f t="shared" si="5"/>
        <v>3.4928598996526436E-2</v>
      </c>
    </row>
    <row r="126" spans="1:11" x14ac:dyDescent="0.2">
      <c r="A126" s="4" t="s">
        <v>255</v>
      </c>
      <c r="B126" s="4" t="s">
        <v>12</v>
      </c>
      <c r="C126" s="4" t="s">
        <v>256</v>
      </c>
      <c r="D126" s="5">
        <f t="shared" si="3"/>
        <v>0</v>
      </c>
      <c r="E126" s="4" t="s">
        <v>414</v>
      </c>
      <c r="F126" s="4" t="s">
        <v>432</v>
      </c>
      <c r="G126" s="5">
        <f t="shared" si="4"/>
        <v>3.1927023945267957E-3</v>
      </c>
      <c r="H126" s="4" t="s">
        <v>416</v>
      </c>
      <c r="I126" s="4" t="s">
        <v>424</v>
      </c>
      <c r="J126" s="4" t="s">
        <v>601</v>
      </c>
      <c r="K126" s="5">
        <f t="shared" si="5"/>
        <v>2.5976959566297718E-2</v>
      </c>
    </row>
    <row r="127" spans="1:11" x14ac:dyDescent="0.2">
      <c r="A127" s="4" t="s">
        <v>257</v>
      </c>
      <c r="B127" s="4" t="s">
        <v>41</v>
      </c>
      <c r="C127" s="4" t="s">
        <v>258</v>
      </c>
      <c r="D127" s="5">
        <f t="shared" si="3"/>
        <v>2.6143790849673205E-4</v>
      </c>
      <c r="E127" s="4" t="s">
        <v>433</v>
      </c>
      <c r="F127" s="4" t="s">
        <v>434</v>
      </c>
      <c r="G127" s="5">
        <f t="shared" si="4"/>
        <v>2.8147389969293756E-3</v>
      </c>
      <c r="H127" s="4" t="s">
        <v>435</v>
      </c>
      <c r="I127" s="4" t="s">
        <v>476</v>
      </c>
      <c r="J127" s="4" t="s">
        <v>602</v>
      </c>
      <c r="K127" s="5">
        <f t="shared" si="5"/>
        <v>2.2733143890467579E-2</v>
      </c>
    </row>
    <row r="128" spans="1:11" x14ac:dyDescent="0.2">
      <c r="A128" s="4" t="s">
        <v>259</v>
      </c>
      <c r="B128" s="4" t="s">
        <v>260</v>
      </c>
      <c r="C128" s="4" t="s">
        <v>261</v>
      </c>
      <c r="D128" s="5">
        <f t="shared" si="3"/>
        <v>5.3497942386831277E-3</v>
      </c>
      <c r="E128" s="4" t="s">
        <v>436</v>
      </c>
      <c r="F128" s="4" t="s">
        <v>437</v>
      </c>
      <c r="G128" s="5">
        <f t="shared" si="4"/>
        <v>5.8589663109437119E-3</v>
      </c>
      <c r="H128" s="4" t="s">
        <v>438</v>
      </c>
      <c r="I128" s="4" t="s">
        <v>603</v>
      </c>
      <c r="J128" s="4" t="s">
        <v>604</v>
      </c>
      <c r="K128" s="5">
        <f t="shared" si="5"/>
        <v>2.6205450733752619E-2</v>
      </c>
    </row>
    <row r="129" spans="1:11" x14ac:dyDescent="0.2">
      <c r="A129" s="4" t="s">
        <v>262</v>
      </c>
      <c r="B129" s="4" t="s">
        <v>263</v>
      </c>
      <c r="C129" s="4" t="s">
        <v>264</v>
      </c>
      <c r="D129" s="5">
        <f t="shared" si="3"/>
        <v>4.7732696897374704E-3</v>
      </c>
      <c r="E129" s="4" t="s">
        <v>439</v>
      </c>
      <c r="F129" s="4" t="s">
        <v>19</v>
      </c>
      <c r="G129" s="5">
        <f t="shared" si="4"/>
        <v>5.0785973397823462E-3</v>
      </c>
      <c r="H129" s="4" t="s">
        <v>440</v>
      </c>
      <c r="I129" s="4" t="s">
        <v>605</v>
      </c>
      <c r="J129" s="4" t="s">
        <v>606</v>
      </c>
      <c r="K129" s="5">
        <f t="shared" si="5"/>
        <v>2.649656526005888E-2</v>
      </c>
    </row>
    <row r="130" spans="1:11" x14ac:dyDescent="0.2">
      <c r="A130" s="4" t="s">
        <v>265</v>
      </c>
      <c r="B130" s="4" t="s">
        <v>266</v>
      </c>
      <c r="C130" s="4" t="s">
        <v>267</v>
      </c>
      <c r="D130" s="5">
        <f t="shared" si="3"/>
        <v>6.5155807365439092E-3</v>
      </c>
      <c r="E130" s="4" t="s">
        <v>441</v>
      </c>
      <c r="F130" s="4" t="s">
        <v>442</v>
      </c>
      <c r="G130" s="5">
        <f t="shared" si="4"/>
        <v>5.1724137931034482E-3</v>
      </c>
      <c r="H130" s="4" t="s">
        <v>443</v>
      </c>
      <c r="I130" s="4" t="s">
        <v>607</v>
      </c>
      <c r="J130" s="4" t="s">
        <v>608</v>
      </c>
      <c r="K130" s="5">
        <f t="shared" si="5"/>
        <v>2.5021570319240724E-2</v>
      </c>
    </row>
    <row r="131" spans="1:11" x14ac:dyDescent="0.2">
      <c r="A131" s="4" t="s">
        <v>268</v>
      </c>
      <c r="B131" s="4" t="s">
        <v>1</v>
      </c>
      <c r="C131" s="4" t="s">
        <v>269</v>
      </c>
      <c r="D131" s="5">
        <f t="shared" si="3"/>
        <v>3.3921302578018998E-3</v>
      </c>
      <c r="E131" s="4" t="s">
        <v>251</v>
      </c>
      <c r="F131" s="4" t="s">
        <v>444</v>
      </c>
      <c r="G131" s="5">
        <f t="shared" si="4"/>
        <v>2.3279015630196208E-3</v>
      </c>
      <c r="H131" s="4" t="s">
        <v>312</v>
      </c>
      <c r="I131" s="4" t="s">
        <v>609</v>
      </c>
      <c r="J131" s="4" t="s">
        <v>610</v>
      </c>
      <c r="K131" s="5">
        <f t="shared" si="5"/>
        <v>2.7917928018836191E-2</v>
      </c>
    </row>
    <row r="132" spans="1:11" x14ac:dyDescent="0.2">
      <c r="A132" s="4" t="s">
        <v>270</v>
      </c>
      <c r="B132" s="4" t="s">
        <v>271</v>
      </c>
      <c r="C132" s="4" t="s">
        <v>272</v>
      </c>
      <c r="D132" s="5">
        <f t="shared" ref="D132" si="6">B132/C132</f>
        <v>5.295315682281059E-3</v>
      </c>
      <c r="E132" s="4" t="s">
        <v>228</v>
      </c>
      <c r="F132" s="4" t="s">
        <v>445</v>
      </c>
      <c r="G132" s="5">
        <f t="shared" ref="G132" si="7">E132/F132</f>
        <v>1.5680125441003528E-3</v>
      </c>
      <c r="H132" s="4" t="s">
        <v>289</v>
      </c>
      <c r="I132" s="4" t="s">
        <v>502</v>
      </c>
      <c r="J132" s="4" t="s">
        <v>611</v>
      </c>
      <c r="K132" s="5">
        <f t="shared" ref="K132" si="8">I132/J132</f>
        <v>1.9405450041288193E-2</v>
      </c>
    </row>
  </sheetData>
  <mergeCells count="3">
    <mergeCell ref="A1:D1"/>
    <mergeCell ref="E1:H1"/>
    <mergeCell ref="I1:K1"/>
  </mergeCells>
  <phoneticPr fontId="1" type="noConversion"/>
  <conditionalFormatting sqref="B1:B1048576">
    <cfRule type="aboveAverage" dxfId="17" priority="1"/>
  </conditionalFormatting>
  <conditionalFormatting sqref="C133:C1048576 D3:D132">
    <cfRule type="aboveAverage" dxfId="16" priority="6"/>
  </conditionalFormatting>
  <conditionalFormatting sqref="G3:G132">
    <cfRule type="aboveAverage" dxfId="15" priority="4"/>
    <cfRule type="aboveAverage" dxfId="14" priority="5"/>
  </conditionalFormatting>
  <conditionalFormatting sqref="K3:K132">
    <cfRule type="aboveAverage" dxfId="13" priority="2"/>
    <cfRule type="top10" dxfId="12" priority="3" percent="1" rank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2F9-DE78-44CC-B968-60C40EBECAB6}">
  <dimension ref="A1:P132"/>
  <sheetViews>
    <sheetView topLeftCell="A64" zoomScale="70" zoomScaleNormal="70" workbookViewId="0">
      <selection activeCell="P2" sqref="P1:P1048576"/>
    </sheetView>
  </sheetViews>
  <sheetFormatPr defaultRowHeight="14.25" x14ac:dyDescent="0.2"/>
  <cols>
    <col min="1" max="1" width="61.625" bestFit="1" customWidth="1"/>
    <col min="2" max="2" width="19.875" bestFit="1" customWidth="1"/>
    <col min="3" max="3" width="7.375" bestFit="1" customWidth="1"/>
    <col min="4" max="4" width="7.625" bestFit="1" customWidth="1"/>
    <col min="5" max="13" width="7.5" bestFit="1" customWidth="1"/>
    <col min="14" max="14" width="6.5" bestFit="1" customWidth="1"/>
    <col min="15" max="15" width="17.25" bestFit="1" customWidth="1"/>
    <col min="16" max="16" width="28.25" bestFit="1" customWidth="1"/>
  </cols>
  <sheetData>
    <row r="1" spans="1:16" x14ac:dyDescent="0.2">
      <c r="A1" s="16" t="s">
        <v>273</v>
      </c>
      <c r="B1" s="16" t="s">
        <v>274</v>
      </c>
      <c r="C1" s="16" t="s">
        <v>614</v>
      </c>
      <c r="D1" s="16" t="s">
        <v>276</v>
      </c>
      <c r="E1" s="15" t="s">
        <v>617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2">
      <c r="A2" s="16"/>
      <c r="B2" s="16"/>
      <c r="C2" s="16"/>
      <c r="D2" s="16"/>
      <c r="E2">
        <v>-1E-3</v>
      </c>
      <c r="F2">
        <v>-2E-3</v>
      </c>
      <c r="G2">
        <v>-3.0000000000000001E-3</v>
      </c>
      <c r="H2">
        <v>-4.0000000000000001E-3</v>
      </c>
      <c r="I2">
        <v>-5.0000000000000001E-3</v>
      </c>
      <c r="J2">
        <v>-6.0000000000000001E-3</v>
      </c>
      <c r="K2">
        <v>-7.0000000000000001E-3</v>
      </c>
      <c r="L2">
        <v>-8.0000000000000002E-3</v>
      </c>
      <c r="M2">
        <v>-8.9999999999999993E-3</v>
      </c>
      <c r="N2">
        <v>-0.01</v>
      </c>
      <c r="O2" t="s">
        <v>615</v>
      </c>
      <c r="P2" t="s">
        <v>616</v>
      </c>
    </row>
    <row r="3" spans="1:16" x14ac:dyDescent="0.2">
      <c r="A3" t="s">
        <v>0</v>
      </c>
      <c r="B3" t="s">
        <v>279</v>
      </c>
      <c r="C3" t="s">
        <v>280</v>
      </c>
      <c r="D3" s="1">
        <f>B3/C3</f>
        <v>7.2465149983790694E-4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38</v>
      </c>
      <c r="O3">
        <v>-0.01</v>
      </c>
      <c r="P3" s="6">
        <v>1</v>
      </c>
    </row>
    <row r="4" spans="1:16" x14ac:dyDescent="0.2">
      <c r="A4" t="s">
        <v>3</v>
      </c>
      <c r="B4" t="s">
        <v>282</v>
      </c>
      <c r="C4" t="s">
        <v>283</v>
      </c>
      <c r="D4" s="1">
        <f t="shared" ref="D4:D67" si="0">B4/C4</f>
        <v>2.3874183055298576E-4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</v>
      </c>
      <c r="O4">
        <v>-0.01</v>
      </c>
      <c r="P4" s="6">
        <v>1</v>
      </c>
    </row>
    <row r="5" spans="1:16" x14ac:dyDescent="0.2">
      <c r="A5" t="s">
        <v>6</v>
      </c>
      <c r="B5" t="s">
        <v>282</v>
      </c>
      <c r="C5" t="s">
        <v>285</v>
      </c>
      <c r="D5" s="1">
        <f t="shared" si="0"/>
        <v>4.1556282790504391E-4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</v>
      </c>
      <c r="O5">
        <v>-0.01</v>
      </c>
      <c r="P5" s="6">
        <v>1</v>
      </c>
    </row>
    <row r="6" spans="1:16" x14ac:dyDescent="0.2">
      <c r="A6" t="s">
        <v>8</v>
      </c>
      <c r="B6" t="s">
        <v>1</v>
      </c>
      <c r="C6" t="s">
        <v>286</v>
      </c>
      <c r="D6" s="1">
        <f t="shared" si="0"/>
        <v>8.1201786439301664E-4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>
        <v>-0.01</v>
      </c>
      <c r="P6" s="6">
        <v>1</v>
      </c>
    </row>
    <row r="7" spans="1:16" x14ac:dyDescent="0.2">
      <c r="A7" t="s">
        <v>11</v>
      </c>
      <c r="B7" t="s">
        <v>228</v>
      </c>
      <c r="C7" t="s">
        <v>288</v>
      </c>
      <c r="D7" s="1">
        <f t="shared" si="0"/>
        <v>5.1314945477870435E-4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-0.01</v>
      </c>
      <c r="P7" s="6">
        <v>1</v>
      </c>
    </row>
    <row r="8" spans="1:16" x14ac:dyDescent="0.2">
      <c r="A8" t="s">
        <v>14</v>
      </c>
      <c r="B8" t="s">
        <v>12</v>
      </c>
      <c r="C8" t="s">
        <v>290</v>
      </c>
      <c r="D8" s="1">
        <f t="shared" si="0"/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6" x14ac:dyDescent="0.2">
      <c r="A9" t="s">
        <v>16</v>
      </c>
      <c r="B9" t="s">
        <v>12</v>
      </c>
      <c r="C9" t="s">
        <v>292</v>
      </c>
      <c r="D9" s="1">
        <f t="shared" si="0"/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6" x14ac:dyDescent="0.2">
      <c r="A10" t="s">
        <v>18</v>
      </c>
      <c r="B10" t="s">
        <v>12</v>
      </c>
      <c r="C10" t="s">
        <v>293</v>
      </c>
      <c r="D10" s="1">
        <f t="shared" si="0"/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6" x14ac:dyDescent="0.2">
      <c r="A11" t="s">
        <v>20</v>
      </c>
      <c r="B11" t="s">
        <v>41</v>
      </c>
      <c r="C11" t="s">
        <v>294</v>
      </c>
      <c r="D11" s="1">
        <f t="shared" si="0"/>
        <v>3.2594524119947848E-4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7">
        <v>-1E-3</v>
      </c>
      <c r="P11" s="8"/>
    </row>
    <row r="12" spans="1:16" x14ac:dyDescent="0.2">
      <c r="A12" t="s">
        <v>22</v>
      </c>
      <c r="B12" t="s">
        <v>12</v>
      </c>
      <c r="C12" t="s">
        <v>296</v>
      </c>
      <c r="D12" s="1">
        <f t="shared" si="0"/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6" x14ac:dyDescent="0.2">
      <c r="A13" t="s">
        <v>24</v>
      </c>
      <c r="B13" t="s">
        <v>41</v>
      </c>
      <c r="C13" t="s">
        <v>297</v>
      </c>
      <c r="D13" s="1">
        <f t="shared" si="0"/>
        <v>4.9985004498650404E-5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-0.01</v>
      </c>
      <c r="P13" s="6">
        <v>1</v>
      </c>
    </row>
    <row r="14" spans="1:16" x14ac:dyDescent="0.2">
      <c r="A14" t="s">
        <v>26</v>
      </c>
      <c r="B14" t="s">
        <v>12</v>
      </c>
      <c r="C14" t="s">
        <v>299</v>
      </c>
      <c r="D14" s="1">
        <f t="shared" si="0"/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6" x14ac:dyDescent="0.2">
      <c r="A15" t="s">
        <v>28</v>
      </c>
      <c r="B15" t="s">
        <v>12</v>
      </c>
      <c r="C15" t="s">
        <v>300</v>
      </c>
      <c r="D15" s="1">
        <f t="shared" si="0"/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6" x14ac:dyDescent="0.2">
      <c r="A16" t="s">
        <v>30</v>
      </c>
      <c r="B16" t="s">
        <v>12</v>
      </c>
      <c r="C16" t="s">
        <v>301</v>
      </c>
      <c r="D16" s="1">
        <f t="shared" si="0"/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6" x14ac:dyDescent="0.2">
      <c r="A17" t="s">
        <v>32</v>
      </c>
      <c r="B17" t="s">
        <v>12</v>
      </c>
      <c r="C17" t="s">
        <v>302</v>
      </c>
      <c r="D17" s="1">
        <f t="shared" si="0"/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6" x14ac:dyDescent="0.2">
      <c r="A18" t="s">
        <v>34</v>
      </c>
      <c r="B18" t="s">
        <v>282</v>
      </c>
      <c r="C18" t="s">
        <v>303</v>
      </c>
      <c r="D18" s="1">
        <f t="shared" si="0"/>
        <v>2.0675040057890112E-4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</v>
      </c>
      <c r="O18">
        <v>-0.01</v>
      </c>
      <c r="P18" s="6">
        <v>1</v>
      </c>
    </row>
    <row r="19" spans="1:16" x14ac:dyDescent="0.2">
      <c r="A19" t="s">
        <v>36</v>
      </c>
      <c r="B19" t="s">
        <v>304</v>
      </c>
      <c r="C19" t="s">
        <v>305</v>
      </c>
      <c r="D19" s="1">
        <f t="shared" si="0"/>
        <v>2.3369946249123628E-4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</v>
      </c>
      <c r="O19">
        <v>-0.01</v>
      </c>
      <c r="P19" s="6">
        <v>1</v>
      </c>
    </row>
    <row r="20" spans="1:16" x14ac:dyDescent="0.2">
      <c r="A20" t="s">
        <v>38</v>
      </c>
      <c r="B20" t="s">
        <v>78</v>
      </c>
      <c r="C20" t="s">
        <v>307</v>
      </c>
      <c r="D20" s="1">
        <f t="shared" si="0"/>
        <v>1.0990822663076331E-4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-0.01</v>
      </c>
      <c r="P20" s="6">
        <v>1</v>
      </c>
    </row>
    <row r="21" spans="1:16" x14ac:dyDescent="0.2">
      <c r="A21" t="s">
        <v>40</v>
      </c>
      <c r="B21" t="s">
        <v>12</v>
      </c>
      <c r="C21" t="s">
        <v>309</v>
      </c>
      <c r="D21" s="1">
        <f t="shared" si="0"/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6" x14ac:dyDescent="0.2">
      <c r="A22" t="s">
        <v>43</v>
      </c>
      <c r="B22" t="s">
        <v>12</v>
      </c>
      <c r="C22" t="s">
        <v>310</v>
      </c>
      <c r="D22" s="1">
        <f t="shared" si="0"/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6" x14ac:dyDescent="0.2">
      <c r="A23" t="s">
        <v>45</v>
      </c>
      <c r="B23" t="s">
        <v>251</v>
      </c>
      <c r="C23" t="s">
        <v>311</v>
      </c>
      <c r="D23" s="1">
        <f t="shared" si="0"/>
        <v>1.1003002247756174E-4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</v>
      </c>
      <c r="O23">
        <v>-0.01</v>
      </c>
      <c r="P23" s="6">
        <v>1</v>
      </c>
    </row>
    <row r="24" spans="1:16" x14ac:dyDescent="0.2">
      <c r="A24" t="s">
        <v>47</v>
      </c>
      <c r="B24" t="s">
        <v>85</v>
      </c>
      <c r="C24" t="s">
        <v>313</v>
      </c>
      <c r="D24" s="1">
        <f t="shared" si="0"/>
        <v>1.4067467574487241E-4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</v>
      </c>
      <c r="O24">
        <v>-0.01</v>
      </c>
      <c r="P24" s="6">
        <v>1</v>
      </c>
    </row>
    <row r="25" spans="1:16" x14ac:dyDescent="0.2">
      <c r="A25" t="s">
        <v>49</v>
      </c>
      <c r="B25" t="s">
        <v>78</v>
      </c>
      <c r="C25" t="s">
        <v>315</v>
      </c>
      <c r="D25" s="1">
        <f t="shared" si="0"/>
        <v>8.1997458078799564E-5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</v>
      </c>
      <c r="O25">
        <v>-0.01</v>
      </c>
      <c r="P25" s="6">
        <v>1</v>
      </c>
    </row>
    <row r="26" spans="1:16" x14ac:dyDescent="0.2">
      <c r="A26" t="s">
        <v>50</v>
      </c>
      <c r="B26" t="s">
        <v>12</v>
      </c>
      <c r="C26" t="s">
        <v>316</v>
      </c>
      <c r="D26" s="1">
        <f t="shared" si="0"/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6" x14ac:dyDescent="0.2">
      <c r="A27" t="s">
        <v>52</v>
      </c>
      <c r="B27" t="s">
        <v>12</v>
      </c>
      <c r="C27" t="s">
        <v>317</v>
      </c>
      <c r="D27" s="1">
        <f t="shared" si="0"/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6" x14ac:dyDescent="0.2">
      <c r="A28" t="s">
        <v>54</v>
      </c>
      <c r="B28" t="s">
        <v>12</v>
      </c>
      <c r="C28" t="s">
        <v>318</v>
      </c>
      <c r="D28" s="1">
        <f t="shared" si="0"/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6" x14ac:dyDescent="0.2">
      <c r="A29" t="s">
        <v>56</v>
      </c>
      <c r="B29" t="s">
        <v>41</v>
      </c>
      <c r="C29" t="s">
        <v>319</v>
      </c>
      <c r="D29" s="1">
        <f t="shared" si="0"/>
        <v>4.7393364928909951E-5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-0.01</v>
      </c>
      <c r="P29" s="6">
        <v>1</v>
      </c>
    </row>
    <row r="30" spans="1:16" x14ac:dyDescent="0.2">
      <c r="A30" t="s">
        <v>58</v>
      </c>
      <c r="B30" t="s">
        <v>12</v>
      </c>
      <c r="C30" t="s">
        <v>320</v>
      </c>
      <c r="D30" s="1">
        <f t="shared" si="0"/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6" x14ac:dyDescent="0.2">
      <c r="A31" t="s">
        <v>60</v>
      </c>
      <c r="B31" t="s">
        <v>12</v>
      </c>
      <c r="C31" t="s">
        <v>321</v>
      </c>
      <c r="D31" s="1">
        <f t="shared" si="0"/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6" x14ac:dyDescent="0.2">
      <c r="A32" t="s">
        <v>62</v>
      </c>
      <c r="B32" t="s">
        <v>12</v>
      </c>
      <c r="C32" t="s">
        <v>322</v>
      </c>
      <c r="D32" s="1">
        <f t="shared" si="0"/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6" x14ac:dyDescent="0.2">
      <c r="A33" t="s">
        <v>64</v>
      </c>
      <c r="B33" t="s">
        <v>41</v>
      </c>
      <c r="C33" t="s">
        <v>323</v>
      </c>
      <c r="D33" s="1">
        <f t="shared" si="0"/>
        <v>1.0462439840970915E-4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 s="7">
        <v>-6.0000000000000001E-3</v>
      </c>
      <c r="P33" s="8"/>
    </row>
    <row r="34" spans="1:16" x14ac:dyDescent="0.2">
      <c r="A34" t="s">
        <v>66</v>
      </c>
      <c r="B34" t="s">
        <v>12</v>
      </c>
      <c r="C34" t="s">
        <v>325</v>
      </c>
      <c r="D34" s="1">
        <f t="shared" si="0"/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6" x14ac:dyDescent="0.2">
      <c r="A35" t="s">
        <v>68</v>
      </c>
      <c r="B35" t="s">
        <v>12</v>
      </c>
      <c r="C35" t="s">
        <v>326</v>
      </c>
      <c r="D35" s="1">
        <f t="shared" si="0"/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6" x14ac:dyDescent="0.2">
      <c r="A36" t="s">
        <v>70</v>
      </c>
      <c r="B36" t="s">
        <v>12</v>
      </c>
      <c r="C36" t="s">
        <v>327</v>
      </c>
      <c r="D36" s="1">
        <f t="shared" si="0"/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6" x14ac:dyDescent="0.2">
      <c r="A37" t="s">
        <v>72</v>
      </c>
      <c r="B37" t="s">
        <v>12</v>
      </c>
      <c r="C37" t="s">
        <v>328</v>
      </c>
      <c r="D37" s="1">
        <f t="shared" si="0"/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6" x14ac:dyDescent="0.2">
      <c r="A38" t="s">
        <v>74</v>
      </c>
      <c r="B38" t="s">
        <v>251</v>
      </c>
      <c r="C38" t="s">
        <v>329</v>
      </c>
      <c r="D38" s="1">
        <f t="shared" si="0"/>
        <v>2.5227043390514632E-4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7</v>
      </c>
      <c r="O38">
        <v>-0.01</v>
      </c>
      <c r="P38" s="6">
        <v>1</v>
      </c>
    </row>
    <row r="39" spans="1:16" x14ac:dyDescent="0.2">
      <c r="A39" t="s">
        <v>77</v>
      </c>
      <c r="B39" t="s">
        <v>1</v>
      </c>
      <c r="C39" t="s">
        <v>330</v>
      </c>
      <c r="D39" s="1">
        <f t="shared" si="0"/>
        <v>4.4010210368805564E-4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10</v>
      </c>
      <c r="O39">
        <v>-0.01</v>
      </c>
      <c r="P39" s="6">
        <v>1</v>
      </c>
    </row>
    <row r="40" spans="1:16" x14ac:dyDescent="0.2">
      <c r="A40" t="s">
        <v>80</v>
      </c>
      <c r="B40" t="s">
        <v>85</v>
      </c>
      <c r="C40" t="s">
        <v>331</v>
      </c>
      <c r="D40" s="1">
        <f t="shared" si="0"/>
        <v>2.8052064631956913E-4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</v>
      </c>
      <c r="O40">
        <v>-0.01</v>
      </c>
      <c r="P40" s="6">
        <v>1</v>
      </c>
    </row>
    <row r="41" spans="1:16" x14ac:dyDescent="0.2">
      <c r="A41" t="s">
        <v>82</v>
      </c>
      <c r="B41" t="s">
        <v>75</v>
      </c>
      <c r="C41" t="s">
        <v>332</v>
      </c>
      <c r="D41" s="1">
        <f t="shared" si="0"/>
        <v>2.3618327822390176E-4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-0.01</v>
      </c>
      <c r="P41" s="6">
        <v>1</v>
      </c>
    </row>
    <row r="42" spans="1:16" x14ac:dyDescent="0.2">
      <c r="A42" t="s">
        <v>84</v>
      </c>
      <c r="B42" t="s">
        <v>78</v>
      </c>
      <c r="C42" t="s">
        <v>334</v>
      </c>
      <c r="D42" s="1">
        <f t="shared" si="0"/>
        <v>2.4372410431391665E-4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-0.01</v>
      </c>
      <c r="P42" s="6">
        <v>1</v>
      </c>
    </row>
    <row r="43" spans="1:16" x14ac:dyDescent="0.2">
      <c r="A43" t="s">
        <v>87</v>
      </c>
      <c r="B43" t="s">
        <v>304</v>
      </c>
      <c r="C43" t="s">
        <v>335</v>
      </c>
      <c r="D43" s="1">
        <f t="shared" si="0"/>
        <v>3.3409432596469735E-4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5</v>
      </c>
      <c r="O43" s="10" t="s">
        <v>619</v>
      </c>
      <c r="P43" s="11">
        <f>5/6</f>
        <v>0.83333333333333337</v>
      </c>
    </row>
    <row r="44" spans="1:16" x14ac:dyDescent="0.2">
      <c r="A44" t="s">
        <v>89</v>
      </c>
      <c r="B44" t="s">
        <v>228</v>
      </c>
      <c r="C44" t="s">
        <v>337</v>
      </c>
      <c r="D44" s="1">
        <f t="shared" si="0"/>
        <v>2.7814477435505179E-4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</v>
      </c>
      <c r="O44">
        <v>-0.01</v>
      </c>
      <c r="P44" s="6">
        <v>1</v>
      </c>
    </row>
    <row r="45" spans="1:16" x14ac:dyDescent="0.2">
      <c r="A45" t="s">
        <v>91</v>
      </c>
      <c r="B45" t="s">
        <v>12</v>
      </c>
      <c r="C45" t="s">
        <v>338</v>
      </c>
      <c r="D45" s="1">
        <f t="shared" si="0"/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6" x14ac:dyDescent="0.2">
      <c r="A46" t="s">
        <v>93</v>
      </c>
      <c r="B46" t="s">
        <v>78</v>
      </c>
      <c r="C46" t="s">
        <v>339</v>
      </c>
      <c r="D46" s="1">
        <f t="shared" si="0"/>
        <v>2.5923525599481532E-4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-0.01</v>
      </c>
      <c r="P46" s="6">
        <v>1</v>
      </c>
    </row>
    <row r="47" spans="1:16" x14ac:dyDescent="0.2">
      <c r="A47" t="s">
        <v>95</v>
      </c>
      <c r="B47" t="s">
        <v>12</v>
      </c>
      <c r="C47" t="s">
        <v>340</v>
      </c>
      <c r="D47" s="1">
        <f t="shared" si="0"/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6" x14ac:dyDescent="0.2">
      <c r="A48" t="s">
        <v>97</v>
      </c>
      <c r="B48" t="s">
        <v>12</v>
      </c>
      <c r="C48" t="s">
        <v>341</v>
      </c>
      <c r="D48" s="1">
        <f t="shared" si="0"/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6" x14ac:dyDescent="0.2">
      <c r="A49" t="s">
        <v>99</v>
      </c>
      <c r="B49" t="s">
        <v>12</v>
      </c>
      <c r="C49" t="s">
        <v>342</v>
      </c>
      <c r="D49" s="1">
        <f t="shared" si="0"/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6" x14ac:dyDescent="0.2">
      <c r="A50" t="s">
        <v>101</v>
      </c>
      <c r="B50" t="s">
        <v>41</v>
      </c>
      <c r="C50" t="s">
        <v>343</v>
      </c>
      <c r="D50" s="1">
        <f t="shared" si="0"/>
        <v>1.733402669440111E-4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-0.01</v>
      </c>
      <c r="P50" s="6">
        <v>1</v>
      </c>
    </row>
    <row r="51" spans="1:16" x14ac:dyDescent="0.2">
      <c r="A51" t="s">
        <v>103</v>
      </c>
      <c r="B51" t="s">
        <v>12</v>
      </c>
      <c r="C51" t="s">
        <v>344</v>
      </c>
      <c r="D51" s="1">
        <f t="shared" si="0"/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6" x14ac:dyDescent="0.2">
      <c r="A52" t="s">
        <v>105</v>
      </c>
      <c r="B52" t="s">
        <v>12</v>
      </c>
      <c r="C52" t="s">
        <v>345</v>
      </c>
      <c r="D52" s="1">
        <f t="shared" si="0"/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6" x14ac:dyDescent="0.2">
      <c r="A53" t="s">
        <v>107</v>
      </c>
      <c r="B53" t="s">
        <v>78</v>
      </c>
      <c r="C53" t="s">
        <v>346</v>
      </c>
      <c r="D53" s="1">
        <f t="shared" si="0"/>
        <v>2.488181139586962E-4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-0.01</v>
      </c>
      <c r="P53" s="6">
        <v>1</v>
      </c>
    </row>
    <row r="54" spans="1:16" x14ac:dyDescent="0.2">
      <c r="A54" t="s">
        <v>109</v>
      </c>
      <c r="B54" t="s">
        <v>41</v>
      </c>
      <c r="C54" t="s">
        <v>347</v>
      </c>
      <c r="D54" s="1">
        <f t="shared" si="0"/>
        <v>1.6059097478721696E-4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-0.01</v>
      </c>
      <c r="P54" s="6">
        <v>1</v>
      </c>
    </row>
    <row r="55" spans="1:16" x14ac:dyDescent="0.2">
      <c r="A55" t="s">
        <v>111</v>
      </c>
      <c r="B55" t="s">
        <v>12</v>
      </c>
      <c r="C55" t="s">
        <v>348</v>
      </c>
      <c r="D55" s="1">
        <f t="shared" si="0"/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6" x14ac:dyDescent="0.2">
      <c r="A56" t="s">
        <v>113</v>
      </c>
      <c r="B56" t="s">
        <v>12</v>
      </c>
      <c r="C56" t="s">
        <v>349</v>
      </c>
      <c r="D56" s="1">
        <f t="shared" si="0"/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6" x14ac:dyDescent="0.2">
      <c r="A57" t="s">
        <v>115</v>
      </c>
      <c r="B57" t="s">
        <v>12</v>
      </c>
      <c r="C57" t="s">
        <v>350</v>
      </c>
      <c r="D57" s="1">
        <f t="shared" si="0"/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6" x14ac:dyDescent="0.2">
      <c r="A58" t="s">
        <v>117</v>
      </c>
      <c r="B58" t="s">
        <v>85</v>
      </c>
      <c r="C58" t="s">
        <v>351</v>
      </c>
      <c r="D58" s="1">
        <f t="shared" si="0"/>
        <v>5.466870763175158E-4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>
        <v>-0.01</v>
      </c>
      <c r="P58" s="6">
        <v>1</v>
      </c>
    </row>
    <row r="59" spans="1:16" x14ac:dyDescent="0.2">
      <c r="A59" t="s">
        <v>119</v>
      </c>
      <c r="B59" t="s">
        <v>85</v>
      </c>
      <c r="C59" t="s">
        <v>352</v>
      </c>
      <c r="D59" s="1">
        <f t="shared" si="0"/>
        <v>8.2345191040843213E-4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</v>
      </c>
      <c r="O59">
        <v>-0.01</v>
      </c>
      <c r="P59" s="6">
        <v>1</v>
      </c>
    </row>
    <row r="60" spans="1:16" x14ac:dyDescent="0.2">
      <c r="A60" t="s">
        <v>121</v>
      </c>
      <c r="B60" t="s">
        <v>78</v>
      </c>
      <c r="C60" t="s">
        <v>353</v>
      </c>
      <c r="D60" s="1">
        <f t="shared" si="0"/>
        <v>6.0864272671941571E-4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-0.01</v>
      </c>
      <c r="P60" s="6">
        <v>1</v>
      </c>
    </row>
    <row r="61" spans="1:16" x14ac:dyDescent="0.2">
      <c r="A61" t="s">
        <v>123</v>
      </c>
      <c r="B61" t="s">
        <v>12</v>
      </c>
      <c r="C61" t="s">
        <v>354</v>
      </c>
      <c r="D61" s="1">
        <f t="shared" si="0"/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6" x14ac:dyDescent="0.2">
      <c r="A62" t="s">
        <v>125</v>
      </c>
      <c r="B62" t="s">
        <v>12</v>
      </c>
      <c r="C62" t="s">
        <v>355</v>
      </c>
      <c r="D62" s="1">
        <f t="shared" si="0"/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6" x14ac:dyDescent="0.2">
      <c r="A63" t="s">
        <v>127</v>
      </c>
      <c r="B63" t="s">
        <v>75</v>
      </c>
      <c r="C63" t="s">
        <v>356</v>
      </c>
      <c r="D63" s="1">
        <f t="shared" si="0"/>
        <v>4.9439683586025051E-4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O63">
        <v>-0.01</v>
      </c>
      <c r="P63" s="6">
        <v>1</v>
      </c>
    </row>
    <row r="64" spans="1:16" x14ac:dyDescent="0.2">
      <c r="A64" t="s">
        <v>129</v>
      </c>
      <c r="B64" t="s">
        <v>78</v>
      </c>
      <c r="C64" t="s">
        <v>357</v>
      </c>
      <c r="D64" s="1">
        <f t="shared" si="0"/>
        <v>4.0160642570281126E-4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-0.01</v>
      </c>
      <c r="P64" s="6">
        <v>1</v>
      </c>
    </row>
    <row r="65" spans="1:16" x14ac:dyDescent="0.2">
      <c r="A65" t="s">
        <v>131</v>
      </c>
      <c r="B65" t="s">
        <v>78</v>
      </c>
      <c r="C65" t="s">
        <v>358</v>
      </c>
      <c r="D65" s="1">
        <f t="shared" si="0"/>
        <v>4.9504950495049506E-4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-0.01</v>
      </c>
      <c r="P65" s="6">
        <v>1</v>
      </c>
    </row>
    <row r="66" spans="1:16" x14ac:dyDescent="0.2">
      <c r="A66" t="s">
        <v>133</v>
      </c>
      <c r="B66" t="s">
        <v>12</v>
      </c>
      <c r="C66" t="s">
        <v>359</v>
      </c>
      <c r="D66" s="1">
        <f t="shared" si="0"/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6" x14ac:dyDescent="0.2">
      <c r="A67" t="s">
        <v>135</v>
      </c>
      <c r="B67" t="s">
        <v>78</v>
      </c>
      <c r="C67" t="s">
        <v>360</v>
      </c>
      <c r="D67" s="1">
        <f t="shared" si="0"/>
        <v>1.1448196908986834E-3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-0.01</v>
      </c>
      <c r="P67" s="6">
        <v>1</v>
      </c>
    </row>
    <row r="68" spans="1:16" x14ac:dyDescent="0.2">
      <c r="A68" t="s">
        <v>137</v>
      </c>
      <c r="B68" t="s">
        <v>1</v>
      </c>
      <c r="C68" t="s">
        <v>361</v>
      </c>
      <c r="D68" s="1">
        <f t="shared" ref="D68:D131" si="1">B68/C68</f>
        <v>1.1587485515643105E-3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10</v>
      </c>
      <c r="O68">
        <v>-0.01</v>
      </c>
      <c r="P68" s="6">
        <v>1</v>
      </c>
    </row>
    <row r="69" spans="1:16" x14ac:dyDescent="0.2">
      <c r="A69" t="s">
        <v>139</v>
      </c>
      <c r="B69" t="s">
        <v>1</v>
      </c>
      <c r="C69" t="s">
        <v>362</v>
      </c>
      <c r="D69" s="1">
        <f t="shared" si="1"/>
        <v>1.2953367875647669E-3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10</v>
      </c>
      <c r="O69">
        <v>-0.01</v>
      </c>
      <c r="P69" s="6">
        <v>1</v>
      </c>
    </row>
    <row r="70" spans="1:16" x14ac:dyDescent="0.2">
      <c r="A70" t="s">
        <v>141</v>
      </c>
      <c r="B70" t="s">
        <v>1</v>
      </c>
      <c r="C70" t="s">
        <v>363</v>
      </c>
      <c r="D70" s="1">
        <f t="shared" si="1"/>
        <v>1.5384615384615385E-3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</v>
      </c>
      <c r="O70">
        <v>-0.01</v>
      </c>
      <c r="P70" s="6">
        <v>1</v>
      </c>
    </row>
    <row r="71" spans="1:16" x14ac:dyDescent="0.2">
      <c r="A71" t="s">
        <v>143</v>
      </c>
      <c r="B71" t="s">
        <v>304</v>
      </c>
      <c r="C71" t="s">
        <v>364</v>
      </c>
      <c r="D71" s="1">
        <f t="shared" si="1"/>
        <v>1.2312743689718859E-3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</v>
      </c>
      <c r="O71">
        <v>-0.01</v>
      </c>
      <c r="P71" s="6">
        <v>1</v>
      </c>
    </row>
    <row r="72" spans="1:16" x14ac:dyDescent="0.2">
      <c r="A72" t="s">
        <v>145</v>
      </c>
      <c r="B72" t="s">
        <v>78</v>
      </c>
      <c r="C72" t="s">
        <v>365</v>
      </c>
      <c r="D72" s="1">
        <f t="shared" si="1"/>
        <v>6.2932662051604787E-4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 s="10" t="s">
        <v>618</v>
      </c>
      <c r="P72" s="9">
        <v>0.5</v>
      </c>
    </row>
    <row r="73" spans="1:16" x14ac:dyDescent="0.2">
      <c r="A73" t="s">
        <v>147</v>
      </c>
      <c r="B73" t="s">
        <v>41</v>
      </c>
      <c r="C73" t="s">
        <v>367</v>
      </c>
      <c r="D73" s="1">
        <f t="shared" si="1"/>
        <v>2.1500752526338422E-4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-0.01</v>
      </c>
      <c r="P73" s="6">
        <v>1</v>
      </c>
    </row>
    <row r="74" spans="1:16" x14ac:dyDescent="0.2">
      <c r="A74" t="s">
        <v>149</v>
      </c>
      <c r="B74" t="s">
        <v>78</v>
      </c>
      <c r="C74" t="s">
        <v>368</v>
      </c>
      <c r="D74" s="1">
        <f t="shared" si="1"/>
        <v>5.1163980557687391E-4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-0.01</v>
      </c>
      <c r="P74" s="6">
        <v>1</v>
      </c>
    </row>
    <row r="75" spans="1:16" x14ac:dyDescent="0.2">
      <c r="A75" t="s">
        <v>151</v>
      </c>
      <c r="B75" t="s">
        <v>12</v>
      </c>
      <c r="C75" t="s">
        <v>369</v>
      </c>
      <c r="D75" s="1">
        <f t="shared" si="1"/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6" x14ac:dyDescent="0.2">
      <c r="A76" t="s">
        <v>153</v>
      </c>
      <c r="B76" t="s">
        <v>41</v>
      </c>
      <c r="C76" t="s">
        <v>370</v>
      </c>
      <c r="D76" s="1">
        <f t="shared" si="1"/>
        <v>4.0000000000000002E-4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 s="7">
        <v>-7.0000000000000001E-3</v>
      </c>
      <c r="P76" s="8"/>
    </row>
    <row r="77" spans="1:16" x14ac:dyDescent="0.2">
      <c r="A77" t="s">
        <v>155</v>
      </c>
      <c r="B77" t="s">
        <v>12</v>
      </c>
      <c r="C77" t="s">
        <v>372</v>
      </c>
      <c r="D77" s="1">
        <f t="shared" si="1"/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6" x14ac:dyDescent="0.2">
      <c r="A78" t="s">
        <v>157</v>
      </c>
      <c r="B78" t="s">
        <v>12</v>
      </c>
      <c r="C78" t="s">
        <v>373</v>
      </c>
      <c r="D78" s="1">
        <f t="shared" si="1"/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6" x14ac:dyDescent="0.2">
      <c r="A79" t="s">
        <v>159</v>
      </c>
      <c r="B79" t="s">
        <v>12</v>
      </c>
      <c r="C79" t="s">
        <v>374</v>
      </c>
      <c r="D79" s="1">
        <f t="shared" si="1"/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6" x14ac:dyDescent="0.2">
      <c r="A80" t="s">
        <v>161</v>
      </c>
      <c r="B80" t="s">
        <v>41</v>
      </c>
      <c r="C80" t="s">
        <v>375</v>
      </c>
      <c r="D80" s="1">
        <f t="shared" si="1"/>
        <v>1.2285012285012285E-3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 s="7">
        <v>-7.0000000000000001E-3</v>
      </c>
      <c r="P80" s="8"/>
    </row>
    <row r="81" spans="1:16" x14ac:dyDescent="0.2">
      <c r="A81" t="s">
        <v>163</v>
      </c>
      <c r="B81" t="s">
        <v>78</v>
      </c>
      <c r="C81" t="s">
        <v>376</v>
      </c>
      <c r="D81" s="1">
        <f t="shared" si="1"/>
        <v>3.1397174254317113E-3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 s="10" t="s">
        <v>618</v>
      </c>
      <c r="P81" s="9">
        <v>0.5</v>
      </c>
    </row>
    <row r="82" spans="1:16" x14ac:dyDescent="0.2">
      <c r="A82" t="s">
        <v>165</v>
      </c>
      <c r="B82" t="s">
        <v>41</v>
      </c>
      <c r="C82" t="s">
        <v>377</v>
      </c>
      <c r="D82" s="1">
        <f t="shared" si="1"/>
        <v>2.6595744680851063E-3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-0.01</v>
      </c>
      <c r="P82" s="6">
        <v>1</v>
      </c>
    </row>
    <row r="83" spans="1:16" x14ac:dyDescent="0.2">
      <c r="A83" t="s">
        <v>167</v>
      </c>
      <c r="B83" t="s">
        <v>78</v>
      </c>
      <c r="C83" t="s">
        <v>378</v>
      </c>
      <c r="D83" s="1">
        <f t="shared" si="1"/>
        <v>1.0554089709762533E-3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-0.01</v>
      </c>
      <c r="P83" s="6">
        <v>1</v>
      </c>
    </row>
    <row r="84" spans="1:16" x14ac:dyDescent="0.2">
      <c r="A84" t="s">
        <v>169</v>
      </c>
      <c r="B84" t="s">
        <v>41</v>
      </c>
      <c r="C84" t="s">
        <v>379</v>
      </c>
      <c r="D84" s="1">
        <f t="shared" si="1"/>
        <v>5.6915196357427435E-4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-0.01</v>
      </c>
      <c r="P84" s="6">
        <v>1</v>
      </c>
    </row>
    <row r="85" spans="1:16" x14ac:dyDescent="0.2">
      <c r="A85" t="s">
        <v>171</v>
      </c>
      <c r="B85" t="s">
        <v>12</v>
      </c>
      <c r="C85" t="s">
        <v>380</v>
      </c>
      <c r="D85" s="1">
        <f t="shared" si="1"/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 s="6"/>
    </row>
    <row r="86" spans="1:16" x14ac:dyDescent="0.2">
      <c r="A86" t="s">
        <v>173</v>
      </c>
      <c r="B86" t="s">
        <v>78</v>
      </c>
      <c r="C86" t="s">
        <v>381</v>
      </c>
      <c r="D86" s="1">
        <f t="shared" si="1"/>
        <v>2.2988505747126436E-3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-0.01</v>
      </c>
      <c r="P86" s="6">
        <v>1</v>
      </c>
    </row>
    <row r="87" spans="1:16" x14ac:dyDescent="0.2">
      <c r="A87" t="s">
        <v>175</v>
      </c>
      <c r="B87" t="s">
        <v>41</v>
      </c>
      <c r="C87" t="s">
        <v>382</v>
      </c>
      <c r="D87" s="1">
        <f t="shared" si="1"/>
        <v>1.9493177387914229E-3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 s="7">
        <v>-7.0000000000000001E-3</v>
      </c>
      <c r="P87" s="8"/>
    </row>
    <row r="88" spans="1:16" x14ac:dyDescent="0.2">
      <c r="A88" t="s">
        <v>177</v>
      </c>
      <c r="B88" t="s">
        <v>85</v>
      </c>
      <c r="C88" t="s">
        <v>383</v>
      </c>
      <c r="D88" s="1">
        <f t="shared" si="1"/>
        <v>1.827485380116959E-3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</v>
      </c>
      <c r="O88">
        <v>-0.01</v>
      </c>
      <c r="P88" s="6">
        <v>1</v>
      </c>
    </row>
    <row r="89" spans="1:16" x14ac:dyDescent="0.2">
      <c r="A89" t="s">
        <v>179</v>
      </c>
      <c r="B89" t="s">
        <v>304</v>
      </c>
      <c r="C89" t="s">
        <v>180</v>
      </c>
      <c r="D89" s="1">
        <f t="shared" si="1"/>
        <v>2.7210884353741495E-3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</v>
      </c>
      <c r="O89">
        <v>-0.01</v>
      </c>
      <c r="P89" s="6">
        <v>1</v>
      </c>
    </row>
    <row r="90" spans="1:16" x14ac:dyDescent="0.2">
      <c r="A90" t="s">
        <v>181</v>
      </c>
      <c r="B90" t="s">
        <v>304</v>
      </c>
      <c r="C90" t="s">
        <v>384</v>
      </c>
      <c r="D90" s="1">
        <f t="shared" si="1"/>
        <v>3.5252643948296123E-3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5</v>
      </c>
      <c r="O90" s="10" t="s">
        <v>619</v>
      </c>
      <c r="P90" s="11">
        <f>5/6</f>
        <v>0.83333333333333337</v>
      </c>
    </row>
    <row r="91" spans="1:16" x14ac:dyDescent="0.2">
      <c r="A91" t="s">
        <v>183</v>
      </c>
      <c r="B91" t="s">
        <v>85</v>
      </c>
      <c r="C91" t="s">
        <v>385</v>
      </c>
      <c r="D91" s="1">
        <f t="shared" si="1"/>
        <v>3.4482758620689655E-3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</v>
      </c>
      <c r="O91">
        <v>-0.01</v>
      </c>
      <c r="P91" s="6">
        <v>1</v>
      </c>
    </row>
    <row r="92" spans="1:16" x14ac:dyDescent="0.2">
      <c r="A92" t="s">
        <v>185</v>
      </c>
      <c r="B92" t="s">
        <v>78</v>
      </c>
      <c r="C92" t="s">
        <v>386</v>
      </c>
      <c r="D92" s="1">
        <f t="shared" si="1"/>
        <v>1.8993352326685661E-3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 s="10" t="s">
        <v>619</v>
      </c>
      <c r="P92" s="9">
        <v>0.5</v>
      </c>
    </row>
    <row r="93" spans="1:16" x14ac:dyDescent="0.2">
      <c r="A93" t="s">
        <v>187</v>
      </c>
      <c r="B93" t="s">
        <v>12</v>
      </c>
      <c r="C93" t="s">
        <v>388</v>
      </c>
      <c r="D93" s="1">
        <f t="shared" si="1"/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6" x14ac:dyDescent="0.2">
      <c r="A94" t="s">
        <v>189</v>
      </c>
      <c r="B94" t="s">
        <v>41</v>
      </c>
      <c r="C94" t="s">
        <v>389</v>
      </c>
      <c r="D94" s="1">
        <f t="shared" si="1"/>
        <v>6.9832402234636874E-4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-0.01</v>
      </c>
      <c r="P94" s="6">
        <v>1</v>
      </c>
    </row>
    <row r="95" spans="1:16" x14ac:dyDescent="0.2">
      <c r="A95" t="s">
        <v>191</v>
      </c>
      <c r="B95" t="s">
        <v>41</v>
      </c>
      <c r="C95" t="s">
        <v>390</v>
      </c>
      <c r="D95" s="1">
        <f t="shared" si="1"/>
        <v>8.4817642069550466E-4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-0.01</v>
      </c>
      <c r="P95" s="6">
        <v>1</v>
      </c>
    </row>
    <row r="96" spans="1:16" x14ac:dyDescent="0.2">
      <c r="A96" t="s">
        <v>193</v>
      </c>
      <c r="B96" t="s">
        <v>41</v>
      </c>
      <c r="C96" t="s">
        <v>391</v>
      </c>
      <c r="D96" s="1">
        <f t="shared" si="1"/>
        <v>1.0718113612004287E-3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 s="7">
        <v>-7.0000000000000001E-3</v>
      </c>
      <c r="P96" s="8"/>
    </row>
    <row r="97" spans="1:16" x14ac:dyDescent="0.2">
      <c r="A97" t="s">
        <v>195</v>
      </c>
      <c r="B97" t="s">
        <v>41</v>
      </c>
      <c r="C97" t="s">
        <v>392</v>
      </c>
      <c r="D97" s="1">
        <f t="shared" si="1"/>
        <v>1.6103059581320451E-3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 s="7">
        <v>-6.0000000000000001E-3</v>
      </c>
      <c r="P97" s="8"/>
    </row>
    <row r="98" spans="1:16" x14ac:dyDescent="0.2">
      <c r="A98" t="s">
        <v>197</v>
      </c>
      <c r="B98" t="s">
        <v>78</v>
      </c>
      <c r="C98" t="s">
        <v>393</v>
      </c>
      <c r="D98" s="1">
        <f t="shared" si="1"/>
        <v>2.7074590496818738E-4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-0.01</v>
      </c>
      <c r="P98" s="6">
        <v>1</v>
      </c>
    </row>
    <row r="99" spans="1:16" x14ac:dyDescent="0.2">
      <c r="A99" t="s">
        <v>199</v>
      </c>
      <c r="B99" t="s">
        <v>41</v>
      </c>
      <c r="C99" t="s">
        <v>394</v>
      </c>
      <c r="D99" s="1">
        <f t="shared" si="1"/>
        <v>1.6857720836142953E-4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-0.01</v>
      </c>
      <c r="P99" s="6">
        <v>1</v>
      </c>
    </row>
    <row r="100" spans="1:16" x14ac:dyDescent="0.2">
      <c r="A100" t="s">
        <v>201</v>
      </c>
      <c r="B100" t="s">
        <v>41</v>
      </c>
      <c r="C100" t="s">
        <v>395</v>
      </c>
      <c r="D100" s="1">
        <f t="shared" si="1"/>
        <v>2.0605810838656501E-4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-0.01</v>
      </c>
      <c r="P100" s="6">
        <v>1</v>
      </c>
    </row>
    <row r="101" spans="1:16" x14ac:dyDescent="0.2">
      <c r="A101" t="s">
        <v>203</v>
      </c>
      <c r="B101" t="s">
        <v>12</v>
      </c>
      <c r="C101" t="s">
        <v>396</v>
      </c>
      <c r="D101" s="1">
        <f t="shared" si="1"/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6" x14ac:dyDescent="0.2">
      <c r="A102" t="s">
        <v>205</v>
      </c>
      <c r="B102" t="s">
        <v>12</v>
      </c>
      <c r="C102" t="s">
        <v>397</v>
      </c>
      <c r="D102" s="1">
        <f t="shared" si="1"/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6" x14ac:dyDescent="0.2">
      <c r="A103" t="s">
        <v>207</v>
      </c>
      <c r="B103" t="s">
        <v>12</v>
      </c>
      <c r="C103" t="s">
        <v>398</v>
      </c>
      <c r="D103" s="1">
        <f t="shared" si="1"/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6" x14ac:dyDescent="0.2">
      <c r="A104" t="s">
        <v>209</v>
      </c>
      <c r="B104" t="s">
        <v>12</v>
      </c>
      <c r="C104" t="s">
        <v>399</v>
      </c>
      <c r="D104" s="1">
        <f t="shared" si="1"/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6" x14ac:dyDescent="0.2">
      <c r="A105" t="s">
        <v>211</v>
      </c>
      <c r="B105" t="s">
        <v>41</v>
      </c>
      <c r="C105" t="s">
        <v>400</v>
      </c>
      <c r="D105" s="1">
        <f t="shared" si="1"/>
        <v>3.5778175313059033E-4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-0.01</v>
      </c>
      <c r="P105" s="6">
        <v>1</v>
      </c>
    </row>
    <row r="106" spans="1:16" x14ac:dyDescent="0.2">
      <c r="A106" t="s">
        <v>213</v>
      </c>
      <c r="B106" t="s">
        <v>12</v>
      </c>
      <c r="C106" t="s">
        <v>401</v>
      </c>
      <c r="D106" s="1">
        <f t="shared" si="1"/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6" x14ac:dyDescent="0.2">
      <c r="A107" t="s">
        <v>215</v>
      </c>
      <c r="B107" t="s">
        <v>12</v>
      </c>
      <c r="C107" t="s">
        <v>402</v>
      </c>
      <c r="D107" s="1">
        <f t="shared" si="1"/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6" x14ac:dyDescent="0.2">
      <c r="A108" t="s">
        <v>217</v>
      </c>
      <c r="B108" t="s">
        <v>12</v>
      </c>
      <c r="C108" t="s">
        <v>403</v>
      </c>
      <c r="D108" s="1">
        <f t="shared" si="1"/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6" x14ac:dyDescent="0.2">
      <c r="A109" t="s">
        <v>219</v>
      </c>
      <c r="B109" t="s">
        <v>12</v>
      </c>
      <c r="C109" t="s">
        <v>404</v>
      </c>
      <c r="D109" s="1">
        <f t="shared" si="1"/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6" x14ac:dyDescent="0.2">
      <c r="A110" t="s">
        <v>221</v>
      </c>
      <c r="B110" t="s">
        <v>12</v>
      </c>
      <c r="C110" t="s">
        <v>405</v>
      </c>
      <c r="D110" s="1">
        <f t="shared" si="1"/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6" x14ac:dyDescent="0.2">
      <c r="A111" t="s">
        <v>223</v>
      </c>
      <c r="B111" t="s">
        <v>12</v>
      </c>
      <c r="C111" t="s">
        <v>406</v>
      </c>
      <c r="D111" s="1">
        <f t="shared" si="1"/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6" x14ac:dyDescent="0.2">
      <c r="A112" t="s">
        <v>225</v>
      </c>
      <c r="B112" t="s">
        <v>12</v>
      </c>
      <c r="C112" t="s">
        <v>407</v>
      </c>
      <c r="D112" s="1">
        <f t="shared" si="1"/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6" x14ac:dyDescent="0.2">
      <c r="A113" t="s">
        <v>227</v>
      </c>
      <c r="B113" t="s">
        <v>408</v>
      </c>
      <c r="C113" t="s">
        <v>409</v>
      </c>
      <c r="D113" s="1">
        <f t="shared" si="1"/>
        <v>1.6297031106072416E-3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46</v>
      </c>
      <c r="O113">
        <v>-0.01</v>
      </c>
      <c r="P113" s="6">
        <v>1</v>
      </c>
    </row>
    <row r="114" spans="1:16" x14ac:dyDescent="0.2">
      <c r="A114" t="s">
        <v>230</v>
      </c>
      <c r="B114" t="s">
        <v>411</v>
      </c>
      <c r="C114" t="s">
        <v>412</v>
      </c>
      <c r="D114" s="1">
        <f t="shared" si="1"/>
        <v>1.0192263145703034E-3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22</v>
      </c>
      <c r="O114">
        <v>-0.01</v>
      </c>
      <c r="P114" s="6">
        <v>1</v>
      </c>
    </row>
    <row r="115" spans="1:16" x14ac:dyDescent="0.2">
      <c r="A115" t="s">
        <v>232</v>
      </c>
      <c r="B115" t="s">
        <v>414</v>
      </c>
      <c r="C115" t="s">
        <v>415</v>
      </c>
      <c r="D115" s="1">
        <f t="shared" si="1"/>
        <v>9.5018324962671367E-4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-0.01</v>
      </c>
      <c r="P115" s="6">
        <v>1</v>
      </c>
    </row>
    <row r="116" spans="1:16" x14ac:dyDescent="0.2">
      <c r="A116" t="s">
        <v>234</v>
      </c>
      <c r="B116" t="s">
        <v>251</v>
      </c>
      <c r="C116" t="s">
        <v>417</v>
      </c>
      <c r="D116" s="1">
        <f t="shared" si="1"/>
        <v>6.9944044764188652E-4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</v>
      </c>
      <c r="O116">
        <v>-0.01</v>
      </c>
      <c r="P116" s="6">
        <v>1</v>
      </c>
    </row>
    <row r="117" spans="1:16" x14ac:dyDescent="0.2">
      <c r="A117" t="s">
        <v>236</v>
      </c>
      <c r="B117" t="s">
        <v>75</v>
      </c>
      <c r="C117" t="s">
        <v>418</v>
      </c>
      <c r="D117" s="1">
        <f t="shared" si="1"/>
        <v>5.1378660729576979E-4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-0.01</v>
      </c>
      <c r="P117" s="6">
        <v>1</v>
      </c>
    </row>
    <row r="118" spans="1:16" x14ac:dyDescent="0.2">
      <c r="A118" t="s">
        <v>238</v>
      </c>
      <c r="B118" t="s">
        <v>85</v>
      </c>
      <c r="C118" t="s">
        <v>419</v>
      </c>
      <c r="D118" s="1">
        <f t="shared" si="1"/>
        <v>5.9403587976713797E-4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5</v>
      </c>
      <c r="O118">
        <v>-0.01</v>
      </c>
      <c r="P118" s="6">
        <v>1</v>
      </c>
    </row>
    <row r="119" spans="1:16" x14ac:dyDescent="0.2">
      <c r="A119" t="s">
        <v>240</v>
      </c>
      <c r="B119" t="s">
        <v>228</v>
      </c>
      <c r="C119" t="s">
        <v>420</v>
      </c>
      <c r="D119" s="1">
        <f t="shared" si="1"/>
        <v>7.7026766801463508E-4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-0.01</v>
      </c>
      <c r="P119" s="6">
        <v>1</v>
      </c>
    </row>
    <row r="120" spans="1:16" x14ac:dyDescent="0.2">
      <c r="A120" t="s">
        <v>242</v>
      </c>
      <c r="B120" t="s">
        <v>41</v>
      </c>
      <c r="C120" t="s">
        <v>421</v>
      </c>
      <c r="D120" s="1">
        <f t="shared" si="1"/>
        <v>3.3046926635822867E-4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-0.01</v>
      </c>
      <c r="P120" s="6">
        <v>1</v>
      </c>
    </row>
    <row r="121" spans="1:16" x14ac:dyDescent="0.2">
      <c r="A121" t="s">
        <v>244</v>
      </c>
      <c r="B121" t="s">
        <v>41</v>
      </c>
      <c r="C121" t="s">
        <v>422</v>
      </c>
      <c r="D121" s="1">
        <f t="shared" si="1"/>
        <v>5.0175614651279475E-4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-0.01</v>
      </c>
      <c r="P121" s="6">
        <v>1</v>
      </c>
    </row>
    <row r="122" spans="1:16" x14ac:dyDescent="0.2">
      <c r="A122" t="s">
        <v>246</v>
      </c>
      <c r="B122" t="s">
        <v>41</v>
      </c>
      <c r="C122" t="s">
        <v>423</v>
      </c>
      <c r="D122" s="1">
        <f t="shared" si="1"/>
        <v>7.8616352201257866E-4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-0.01</v>
      </c>
      <c r="P122" s="6">
        <v>1</v>
      </c>
    </row>
    <row r="123" spans="1:16" x14ac:dyDescent="0.2">
      <c r="A123" t="s">
        <v>248</v>
      </c>
      <c r="B123" t="s">
        <v>424</v>
      </c>
      <c r="C123" t="s">
        <v>425</v>
      </c>
      <c r="D123" s="1">
        <f t="shared" si="1"/>
        <v>1.431238332296204E-2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114</v>
      </c>
      <c r="O123" s="10" t="s">
        <v>618</v>
      </c>
      <c r="P123" s="11">
        <f>114/115</f>
        <v>0.99130434782608701</v>
      </c>
    </row>
    <row r="124" spans="1:16" x14ac:dyDescent="0.2">
      <c r="A124" t="s">
        <v>250</v>
      </c>
      <c r="B124" t="s">
        <v>427</v>
      </c>
      <c r="C124" t="s">
        <v>428</v>
      </c>
      <c r="D124" s="1">
        <f t="shared" si="1"/>
        <v>1.2127724900214921E-2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78</v>
      </c>
      <c r="O124" s="10" t="s">
        <v>619</v>
      </c>
      <c r="P124" s="11">
        <f>78/79</f>
        <v>0.98734177215189878</v>
      </c>
    </row>
    <row r="125" spans="1:16" x14ac:dyDescent="0.2">
      <c r="A125" t="s">
        <v>253</v>
      </c>
      <c r="B125" t="s">
        <v>430</v>
      </c>
      <c r="C125" t="s">
        <v>17</v>
      </c>
      <c r="D125" s="1">
        <f t="shared" si="1"/>
        <v>7.6291079812206572E-3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39</v>
      </c>
      <c r="O125">
        <v>-0.01</v>
      </c>
      <c r="P125" s="6">
        <v>1</v>
      </c>
    </row>
    <row r="126" spans="1:16" x14ac:dyDescent="0.2">
      <c r="A126" t="s">
        <v>255</v>
      </c>
      <c r="B126" t="s">
        <v>414</v>
      </c>
      <c r="C126" t="s">
        <v>432</v>
      </c>
      <c r="D126" s="1">
        <f t="shared" si="1"/>
        <v>3.1927023945267957E-3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14</v>
      </c>
      <c r="O126">
        <v>-0.01</v>
      </c>
      <c r="P126" s="6">
        <v>1</v>
      </c>
    </row>
    <row r="127" spans="1:16" x14ac:dyDescent="0.2">
      <c r="A127" t="s">
        <v>257</v>
      </c>
      <c r="B127" t="s">
        <v>433</v>
      </c>
      <c r="C127" t="s">
        <v>434</v>
      </c>
      <c r="D127" s="1">
        <f t="shared" si="1"/>
        <v>2.8147389969293756E-3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10</v>
      </c>
      <c r="O127" s="10" t="s">
        <v>619</v>
      </c>
      <c r="P127" s="11">
        <f>10/11</f>
        <v>0.90909090909090906</v>
      </c>
    </row>
    <row r="128" spans="1:16" x14ac:dyDescent="0.2">
      <c r="A128" t="s">
        <v>259</v>
      </c>
      <c r="B128" t="s">
        <v>436</v>
      </c>
      <c r="C128" t="s">
        <v>437</v>
      </c>
      <c r="D128" s="1">
        <f t="shared" si="1"/>
        <v>5.8589663109437119E-3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27</v>
      </c>
      <c r="O128" s="10" t="s">
        <v>618</v>
      </c>
      <c r="P128" s="11">
        <f>27/28</f>
        <v>0.9642857142857143</v>
      </c>
    </row>
    <row r="129" spans="1:16" x14ac:dyDescent="0.2">
      <c r="A129" t="s">
        <v>262</v>
      </c>
      <c r="B129" t="s">
        <v>439</v>
      </c>
      <c r="C129" t="s">
        <v>19</v>
      </c>
      <c r="D129" s="1">
        <f t="shared" si="1"/>
        <v>5.0785973397823462E-3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20</v>
      </c>
      <c r="O129" s="10" t="s">
        <v>619</v>
      </c>
      <c r="P129" s="11">
        <f>20/21</f>
        <v>0.95238095238095233</v>
      </c>
    </row>
    <row r="130" spans="1:16" x14ac:dyDescent="0.2">
      <c r="A130" t="s">
        <v>265</v>
      </c>
      <c r="B130" t="s">
        <v>441</v>
      </c>
      <c r="C130" t="s">
        <v>442</v>
      </c>
      <c r="D130" s="1">
        <f t="shared" si="1"/>
        <v>5.1724137931034482E-3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18</v>
      </c>
      <c r="O130">
        <v>-0.01</v>
      </c>
      <c r="P130" s="6">
        <v>1</v>
      </c>
    </row>
    <row r="131" spans="1:16" x14ac:dyDescent="0.2">
      <c r="A131" t="s">
        <v>268</v>
      </c>
      <c r="B131" t="s">
        <v>251</v>
      </c>
      <c r="C131" t="s">
        <v>444</v>
      </c>
      <c r="D131" s="1">
        <f t="shared" si="1"/>
        <v>2.3279015630196208E-3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7</v>
      </c>
      <c r="O131">
        <v>-0.01</v>
      </c>
      <c r="P131" s="6">
        <v>1</v>
      </c>
    </row>
    <row r="132" spans="1:16" x14ac:dyDescent="0.2">
      <c r="A132" t="s">
        <v>270</v>
      </c>
      <c r="B132" t="s">
        <v>228</v>
      </c>
      <c r="C132" t="s">
        <v>445</v>
      </c>
      <c r="D132" s="1">
        <f t="shared" ref="D132" si="2">B132/C132</f>
        <v>1.5680125441003528E-3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</v>
      </c>
      <c r="O132">
        <v>-0.01</v>
      </c>
      <c r="P132" s="6">
        <v>1</v>
      </c>
    </row>
  </sheetData>
  <mergeCells count="5">
    <mergeCell ref="E1:P1"/>
    <mergeCell ref="D1:D2"/>
    <mergeCell ref="C1:C2"/>
    <mergeCell ref="B1:B2"/>
    <mergeCell ref="A1:A2"/>
  </mergeCells>
  <phoneticPr fontId="1" type="noConversion"/>
  <conditionalFormatting sqref="D3:D132">
    <cfRule type="aboveAverage" dxfId="11" priority="83"/>
    <cfRule type="aboveAverage" dxfId="10" priority="82"/>
  </conditionalFormatting>
  <conditionalFormatting sqref="E3:N132">
    <cfRule type="cellIs" dxfId="9" priority="80" operator="equal">
      <formula>0</formula>
    </cfRule>
  </conditionalFormatting>
  <conditionalFormatting sqref="O3:O42">
    <cfRule type="cellIs" dxfId="8" priority="67" operator="equal">
      <formula>0</formula>
    </cfRule>
  </conditionalFormatting>
  <conditionalFormatting sqref="O44">
    <cfRule type="cellIs" dxfId="7" priority="81" operator="equal">
      <formula>0</formula>
    </cfRule>
  </conditionalFormatting>
  <conditionalFormatting sqref="O46:O86">
    <cfRule type="cellIs" dxfId="6" priority="1" operator="equal">
      <formula>0</formula>
    </cfRule>
  </conditionalFormatting>
  <conditionalFormatting sqref="O88:O89">
    <cfRule type="cellIs" dxfId="5" priority="18" operator="equal">
      <formula>0</formula>
    </cfRule>
  </conditionalFormatting>
  <conditionalFormatting sqref="O91">
    <cfRule type="cellIs" dxfId="4" priority="17" operator="equal">
      <formula>0</formula>
    </cfRule>
  </conditionalFormatting>
  <conditionalFormatting sqref="O94:O95">
    <cfRule type="cellIs" dxfId="3" priority="25" operator="equal">
      <formula>0</formula>
    </cfRule>
  </conditionalFormatting>
  <conditionalFormatting sqref="O98:O122">
    <cfRule type="cellIs" dxfId="2" priority="27" operator="equal">
      <formula>0</formula>
    </cfRule>
  </conditionalFormatting>
  <conditionalFormatting sqref="O125:O126">
    <cfRule type="cellIs" dxfId="1" priority="38" operator="equal">
      <formula>0</formula>
    </cfRule>
  </conditionalFormatting>
  <conditionalFormatting sqref="O130:O132">
    <cfRule type="cellIs" dxfId="0" priority="3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250108_CU占比统计</vt:lpstr>
      <vt:lpstr>250108_函数参数选择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Wenrui Lv</cp:lastModifiedBy>
  <dcterms:created xsi:type="dcterms:W3CDTF">2015-06-05T18:19:34Z</dcterms:created>
  <dcterms:modified xsi:type="dcterms:W3CDTF">2025-01-15T03:12:38Z</dcterms:modified>
</cp:coreProperties>
</file>